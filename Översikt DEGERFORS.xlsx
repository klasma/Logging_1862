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45711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45711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45711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45711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45711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45711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45711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45711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45711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45711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45711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45711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45711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45711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45711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45711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48284-2023</t>
        </is>
      </c>
      <c r="B18" s="1" t="n">
        <v>45205</v>
      </c>
      <c r="C18" s="1" t="n">
        <v>45711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6.7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48284-2023 artfynd.xlsx", "A 48284-2023")</f>
        <v/>
      </c>
      <c r="T18">
        <f>HYPERLINK("https://klasma.github.io/Logging_1862/kartor/A 48284-2023 karta.png", "A 48284-2023")</f>
        <v/>
      </c>
      <c r="V18">
        <f>HYPERLINK("https://klasma.github.io/Logging_1862/klagomål/A 48284-2023 FSC-klagomål.docx", "A 48284-2023")</f>
        <v/>
      </c>
      <c r="W18">
        <f>HYPERLINK("https://klasma.github.io/Logging_1862/klagomålsmail/A 48284-2023 FSC-klagomål mail.docx", "A 48284-2023")</f>
        <v/>
      </c>
      <c r="X18">
        <f>HYPERLINK("https://klasma.github.io/Logging_1862/tillsyn/A 48284-2023 tillsynsbegäran.docx", "A 48284-2023")</f>
        <v/>
      </c>
      <c r="Y18">
        <f>HYPERLINK("https://klasma.github.io/Logging_1862/tillsynsmail/A 48284-2023 tillsynsbegäran mail.docx", "A 48284-2023")</f>
        <v/>
      </c>
      <c r="Z18">
        <f>HYPERLINK("https://klasma.github.io/Logging_1862/fåglar/A 48284-2023 prioriterade fågelarter.docx", "A 48284-2023")</f>
        <v/>
      </c>
    </row>
    <row r="19" ht="15" customHeight="1">
      <c r="A19" t="inlineStr">
        <is>
          <t>A 51630-2023</t>
        </is>
      </c>
      <c r="B19" s="1" t="n">
        <v>45222</v>
      </c>
      <c r="C19" s="1" t="n">
        <v>45711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Sångsvan</t>
        </is>
      </c>
      <c r="S19">
        <f>HYPERLINK("https://klasma.github.io/Logging_1862/artfynd/A 51630-2023 artfynd.xlsx", "A 51630-2023")</f>
        <v/>
      </c>
      <c r="T19">
        <f>HYPERLINK("https://klasma.github.io/Logging_1862/kartor/A 51630-2023 karta.png", "A 51630-2023")</f>
        <v/>
      </c>
      <c r="V19">
        <f>HYPERLINK("https://klasma.github.io/Logging_1862/klagomål/A 51630-2023 FSC-klagomål.docx", "A 51630-2023")</f>
        <v/>
      </c>
      <c r="W19">
        <f>HYPERLINK("https://klasma.github.io/Logging_1862/klagomålsmail/A 51630-2023 FSC-klagomål mail.docx", "A 51630-2023")</f>
        <v/>
      </c>
      <c r="X19">
        <f>HYPERLINK("https://klasma.github.io/Logging_1862/tillsyn/A 51630-2023 tillsynsbegäran.docx", "A 51630-2023")</f>
        <v/>
      </c>
      <c r="Y19">
        <f>HYPERLINK("https://klasma.github.io/Logging_1862/tillsynsmail/A 51630-2023 tillsynsbegäran mail.docx", "A 51630-2023")</f>
        <v/>
      </c>
      <c r="Z19">
        <f>HYPERLINK("https://klasma.github.io/Logging_1862/fåglar/A 51630-2023 prioriterade fågelarter.docx", "A 51630-2023")</f>
        <v/>
      </c>
    </row>
    <row r="20" ht="15" customHeight="1">
      <c r="A20" t="inlineStr">
        <is>
          <t>A 53895-2023</t>
        </is>
      </c>
      <c r="B20" s="1" t="n">
        <v>45224</v>
      </c>
      <c r="C20" s="1" t="n">
        <v>45711</v>
      </c>
      <c r="D20" t="inlineStr">
        <is>
          <t>ÖREBRO LÄN</t>
        </is>
      </c>
      <c r="E20" t="inlineStr">
        <is>
          <t>DEGERFORS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HYPERLINK("https://klasma.github.io/Logging_1862/artfynd/A 53895-2023 artfynd.xlsx", "A 53895-2023")</f>
        <v/>
      </c>
      <c r="T20">
        <f>HYPERLINK("https://klasma.github.io/Logging_1862/kartor/A 53895-2023 karta.png", "A 53895-2023")</f>
        <v/>
      </c>
      <c r="V20">
        <f>HYPERLINK("https://klasma.github.io/Logging_1862/klagomål/A 53895-2023 FSC-klagomål.docx", "A 53895-2023")</f>
        <v/>
      </c>
      <c r="W20">
        <f>HYPERLINK("https://klasma.github.io/Logging_1862/klagomålsmail/A 53895-2023 FSC-klagomål mail.docx", "A 53895-2023")</f>
        <v/>
      </c>
      <c r="X20">
        <f>HYPERLINK("https://klasma.github.io/Logging_1862/tillsyn/A 53895-2023 tillsynsbegäran.docx", "A 53895-2023")</f>
        <v/>
      </c>
      <c r="Y20">
        <f>HYPERLINK("https://klasma.github.io/Logging_1862/tillsynsmail/A 53895-2023 tillsynsbegäran mail.docx", "A 53895-2023")</f>
        <v/>
      </c>
    </row>
    <row r="21" ht="15" customHeight="1">
      <c r="A21" t="inlineStr">
        <is>
          <t>A 12720-2024</t>
        </is>
      </c>
      <c r="B21" s="1" t="n">
        <v>45384</v>
      </c>
      <c r="C21" s="1" t="n">
        <v>45711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12720-2024 artfynd.xlsx", "A 12720-2024")</f>
        <v/>
      </c>
      <c r="T21">
        <f>HYPERLINK("https://klasma.github.io/Logging_1862/kartor/A 12720-2024 karta.png", "A 12720-2024")</f>
        <v/>
      </c>
      <c r="V21">
        <f>HYPERLINK("https://klasma.github.io/Logging_1862/klagomål/A 12720-2024 FSC-klagomål.docx", "A 12720-2024")</f>
        <v/>
      </c>
      <c r="W21">
        <f>HYPERLINK("https://klasma.github.io/Logging_1862/klagomålsmail/A 12720-2024 FSC-klagomål mail.docx", "A 12720-2024")</f>
        <v/>
      </c>
      <c r="X21">
        <f>HYPERLINK("https://klasma.github.io/Logging_1862/tillsyn/A 12720-2024 tillsynsbegäran.docx", "A 12720-2024")</f>
        <v/>
      </c>
      <c r="Y21">
        <f>HYPERLINK("https://klasma.github.io/Logging_1862/tillsynsmail/A 12720-2024 tillsynsbegäran mail.docx", "A 12720-2024")</f>
        <v/>
      </c>
      <c r="Z21">
        <f>HYPERLINK("https://klasma.github.io/Logging_1862/fåglar/A 12720-2024 prioriterade fågelarter.docx", "A 12720-2024")</f>
        <v/>
      </c>
    </row>
    <row r="22" ht="15" customHeight="1">
      <c r="A22" t="inlineStr">
        <is>
          <t>A 21951-2024</t>
        </is>
      </c>
      <c r="B22" s="1" t="n">
        <v>45443</v>
      </c>
      <c r="C22" s="1" t="n">
        <v>45711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Strandlummer</t>
        </is>
      </c>
      <c r="S22">
        <f>HYPERLINK("https://klasma.github.io/Logging_1862/artfynd/A 21951-2024 artfynd.xlsx", "A 21951-2024")</f>
        <v/>
      </c>
      <c r="T22">
        <f>HYPERLINK("https://klasma.github.io/Logging_1862/kartor/A 21951-2024 karta.png", "A 21951-2024")</f>
        <v/>
      </c>
      <c r="V22">
        <f>HYPERLINK("https://klasma.github.io/Logging_1862/klagomål/A 21951-2024 FSC-klagomål.docx", "A 21951-2024")</f>
        <v/>
      </c>
      <c r="W22">
        <f>HYPERLINK("https://klasma.github.io/Logging_1862/klagomålsmail/A 21951-2024 FSC-klagomål mail.docx", "A 21951-2024")</f>
        <v/>
      </c>
      <c r="X22">
        <f>HYPERLINK("https://klasma.github.io/Logging_1862/tillsyn/A 21951-2024 tillsynsbegäran.docx", "A 21951-2024")</f>
        <v/>
      </c>
      <c r="Y22">
        <f>HYPERLINK("https://klasma.github.io/Logging_1862/tillsynsmail/A 21951-2024 tillsynsbegäran mail.docx", "A 21951-2024")</f>
        <v/>
      </c>
    </row>
    <row r="23" ht="15" customHeight="1">
      <c r="A23" t="inlineStr">
        <is>
          <t>A 47917-2024</t>
        </is>
      </c>
      <c r="B23" s="1" t="n">
        <v>45589</v>
      </c>
      <c r="C23" s="1" t="n">
        <v>45711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47917-2024 artfynd.xlsx", "A 47917-2024")</f>
        <v/>
      </c>
      <c r="T23">
        <f>HYPERLINK("https://klasma.github.io/Logging_1862/kartor/A 47917-2024 karta.png", "A 47917-2024")</f>
        <v/>
      </c>
      <c r="V23">
        <f>HYPERLINK("https://klasma.github.io/Logging_1862/klagomål/A 47917-2024 FSC-klagomål.docx", "A 47917-2024")</f>
        <v/>
      </c>
      <c r="W23">
        <f>HYPERLINK("https://klasma.github.io/Logging_1862/klagomålsmail/A 47917-2024 FSC-klagomål mail.docx", "A 47917-2024")</f>
        <v/>
      </c>
      <c r="X23">
        <f>HYPERLINK("https://klasma.github.io/Logging_1862/tillsyn/A 47917-2024 tillsynsbegäran.docx", "A 47917-2024")</f>
        <v/>
      </c>
      <c r="Y23">
        <f>HYPERLINK("https://klasma.github.io/Logging_1862/tillsynsmail/A 47917-2024 tillsynsbegäran mail.docx", "A 47917-2024")</f>
        <v/>
      </c>
    </row>
    <row r="24" ht="15" customHeight="1">
      <c r="A24" t="inlineStr">
        <is>
          <t>A 47915-2024</t>
        </is>
      </c>
      <c r="B24" s="1" t="n">
        <v>45589</v>
      </c>
      <c r="C24" s="1" t="n">
        <v>45711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17842-2019</t>
        </is>
      </c>
      <c r="B25" s="1" t="n">
        <v>43556</v>
      </c>
      <c r="C25" s="1" t="n">
        <v>45711</v>
      </c>
      <c r="D25" t="inlineStr">
        <is>
          <t>ÖREBRO LÄN</t>
        </is>
      </c>
      <c r="E25" t="inlineStr">
        <is>
          <t>DEGERFORS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20506-2019</t>
        </is>
      </c>
      <c r="B26" s="1" t="n">
        <v>43572</v>
      </c>
      <c r="C26" s="1" t="n">
        <v>45711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20514-2019</t>
        </is>
      </c>
      <c r="B27" s="1" t="n">
        <v>43572</v>
      </c>
      <c r="C27" s="1" t="n">
        <v>45711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25224-2019</t>
        </is>
      </c>
      <c r="B28" s="1" t="n">
        <v>43601</v>
      </c>
      <c r="C28" s="1" t="n">
        <v>45711</v>
      </c>
      <c r="D28" t="inlineStr">
        <is>
          <t>ÖREBRO LÄN</t>
        </is>
      </c>
      <c r="E28" t="inlineStr">
        <is>
          <t>DEGERFORS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25071-2019</t>
        </is>
      </c>
      <c r="B29" s="1" t="n">
        <v>43601</v>
      </c>
      <c r="C29" s="1" t="n">
        <v>45711</v>
      </c>
      <c r="D29" t="inlineStr">
        <is>
          <t>ÖREBRO LÄN</t>
        </is>
      </c>
      <c r="E29" t="inlineStr">
        <is>
          <t>DEGERFORS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26293-2019</t>
        </is>
      </c>
      <c r="B30" s="1" t="n">
        <v>43611</v>
      </c>
      <c r="C30" s="1" t="n">
        <v>45711</v>
      </c>
      <c r="D30" t="inlineStr">
        <is>
          <t>ÖREBRO LÄN</t>
        </is>
      </c>
      <c r="E30" t="inlineStr">
        <is>
          <t>DEGERFORS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28069-2019</t>
        </is>
      </c>
      <c r="B31" s="1" t="n">
        <v>43613</v>
      </c>
      <c r="C31" s="1" t="n">
        <v>45711</v>
      </c>
      <c r="D31" t="inlineStr">
        <is>
          <t>ÖREBRO LÄN</t>
        </is>
      </c>
      <c r="E31" t="inlineStr">
        <is>
          <t>DEGERFORS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28636-2019</t>
        </is>
      </c>
      <c r="B32" s="1" t="n">
        <v>43614</v>
      </c>
      <c r="C32" s="1" t="n">
        <v>45711</v>
      </c>
      <c r="D32" t="inlineStr">
        <is>
          <t>ÖREBRO LÄN</t>
        </is>
      </c>
      <c r="E32" t="inlineStr">
        <is>
          <t>DEGERFORS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29240-2019</t>
        </is>
      </c>
      <c r="B33" s="1" t="n">
        <v>43623</v>
      </c>
      <c r="C33" s="1" t="n">
        <v>45711</v>
      </c>
      <c r="D33" t="inlineStr">
        <is>
          <t>ÖREBRO LÄN</t>
        </is>
      </c>
      <c r="E33" t="inlineStr">
        <is>
          <t>DEGERFORS</t>
        </is>
      </c>
      <c r="G33" t="n">
        <v>23.2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29242-2019</t>
        </is>
      </c>
      <c r="B34" s="1" t="n">
        <v>43623</v>
      </c>
      <c r="C34" s="1" t="n">
        <v>45711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29239-2019</t>
        </is>
      </c>
      <c r="B35" s="1" t="n">
        <v>43623</v>
      </c>
      <c r="C35" s="1" t="n">
        <v>45711</v>
      </c>
      <c r="D35" t="inlineStr">
        <is>
          <t>ÖREBRO LÄN</t>
        </is>
      </c>
      <c r="E35" t="inlineStr">
        <is>
          <t>DEGERFORS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34508-2019</t>
        </is>
      </c>
      <c r="B36" s="1" t="n">
        <v>43647</v>
      </c>
      <c r="C36" s="1" t="n">
        <v>45711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35426-2019</t>
        </is>
      </c>
      <c r="B37" s="1" t="n">
        <v>43654</v>
      </c>
      <c r="C37" s="1" t="n">
        <v>45711</v>
      </c>
      <c r="D37" t="inlineStr">
        <is>
          <t>ÖREBRO LÄN</t>
        </is>
      </c>
      <c r="E37" t="inlineStr">
        <is>
          <t>DEGERFORS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36913-2019</t>
        </is>
      </c>
      <c r="B38" s="1" t="n">
        <v>43675</v>
      </c>
      <c r="C38" s="1" t="n">
        <v>45711</v>
      </c>
      <c r="D38" t="inlineStr">
        <is>
          <t>ÖREBRO LÄN</t>
        </is>
      </c>
      <c r="E38" t="inlineStr">
        <is>
          <t>DEGERFORS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43762-2019</t>
        </is>
      </c>
      <c r="B39" s="1" t="n">
        <v>43706</v>
      </c>
      <c r="C39" s="1" t="n">
        <v>45711</v>
      </c>
      <c r="D39" t="inlineStr">
        <is>
          <t>ÖREBRO LÄN</t>
        </is>
      </c>
      <c r="E39" t="inlineStr">
        <is>
          <t>DEGERFORS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45669-2019</t>
        </is>
      </c>
      <c r="B40" s="1" t="n">
        <v>43717</v>
      </c>
      <c r="C40" s="1" t="n">
        <v>45711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45689-2019</t>
        </is>
      </c>
      <c r="B41" s="1" t="n">
        <v>43717</v>
      </c>
      <c r="C41" s="1" t="n">
        <v>45711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45688-2019</t>
        </is>
      </c>
      <c r="B42" s="1" t="n">
        <v>43717</v>
      </c>
      <c r="C42" s="1" t="n">
        <v>45711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45718-2019</t>
        </is>
      </c>
      <c r="B43" s="1" t="n">
        <v>43717</v>
      </c>
      <c r="C43" s="1" t="n">
        <v>45711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45706-2019</t>
        </is>
      </c>
      <c r="B44" s="1" t="n">
        <v>43717</v>
      </c>
      <c r="C44" s="1" t="n">
        <v>45711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52400-2019</t>
        </is>
      </c>
      <c r="B45" s="1" t="n">
        <v>43745</v>
      </c>
      <c r="C45" s="1" t="n">
        <v>45711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52360-2019</t>
        </is>
      </c>
      <c r="B46" s="1" t="n">
        <v>43745</v>
      </c>
      <c r="C46" s="1" t="n">
        <v>45711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52357-2019</t>
        </is>
      </c>
      <c r="B47" s="1" t="n">
        <v>43745</v>
      </c>
      <c r="C47" s="1" t="n">
        <v>45711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52372-2019</t>
        </is>
      </c>
      <c r="B48" s="1" t="n">
        <v>43745</v>
      </c>
      <c r="C48" s="1" t="n">
        <v>45711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55179-2019</t>
        </is>
      </c>
      <c r="B49" s="1" t="n">
        <v>43756</v>
      </c>
      <c r="C49" s="1" t="n">
        <v>45711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55879-2019</t>
        </is>
      </c>
      <c r="B50" s="1" t="n">
        <v>43759</v>
      </c>
      <c r="C50" s="1" t="n">
        <v>45711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57741-2019</t>
        </is>
      </c>
      <c r="B51" s="1" t="n">
        <v>43763</v>
      </c>
      <c r="C51" s="1" t="n">
        <v>45711</v>
      </c>
      <c r="D51" t="inlineStr">
        <is>
          <t>ÖREBRO LÄN</t>
        </is>
      </c>
      <c r="E51" t="inlineStr">
        <is>
          <t>DEGERFORS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57737-2019</t>
        </is>
      </c>
      <c r="B52" s="1" t="n">
        <v>43763</v>
      </c>
      <c r="C52" s="1" t="n">
        <v>45711</v>
      </c>
      <c r="D52" t="inlineStr">
        <is>
          <t>ÖREBRO LÄN</t>
        </is>
      </c>
      <c r="E52" t="inlineStr">
        <is>
          <t>DEGERFORS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59713-2019</t>
        </is>
      </c>
      <c r="B53" s="1" t="n">
        <v>43776</v>
      </c>
      <c r="C53" s="1" t="n">
        <v>45711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59673-2019</t>
        </is>
      </c>
      <c r="B54" s="1" t="n">
        <v>43776</v>
      </c>
      <c r="C54" s="1" t="n">
        <v>45711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60002-2019</t>
        </is>
      </c>
      <c r="B55" s="1" t="n">
        <v>43777</v>
      </c>
      <c r="C55" s="1" t="n">
        <v>45711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59993-2019</t>
        </is>
      </c>
      <c r="B56" s="1" t="n">
        <v>43777</v>
      </c>
      <c r="C56" s="1" t="n">
        <v>45711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60005-2019</t>
        </is>
      </c>
      <c r="B57" s="1" t="n">
        <v>43777</v>
      </c>
      <c r="C57" s="1" t="n">
        <v>45711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60004-2019</t>
        </is>
      </c>
      <c r="B58" s="1" t="n">
        <v>43777</v>
      </c>
      <c r="C58" s="1" t="n">
        <v>45711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59986-2019</t>
        </is>
      </c>
      <c r="B59" s="1" t="n">
        <v>43777</v>
      </c>
      <c r="C59" s="1" t="n">
        <v>45711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62821-2019</t>
        </is>
      </c>
      <c r="B60" s="1" t="n">
        <v>43783</v>
      </c>
      <c r="C60" s="1" t="n">
        <v>45711</v>
      </c>
      <c r="D60" t="inlineStr">
        <is>
          <t>ÖREBRO LÄN</t>
        </is>
      </c>
      <c r="E60" t="inlineStr">
        <is>
          <t>DEGERFORS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61579-2019</t>
        </is>
      </c>
      <c r="B61" s="1" t="n">
        <v>43784</v>
      </c>
      <c r="C61" s="1" t="n">
        <v>45711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63600-2019</t>
        </is>
      </c>
      <c r="B62" s="1" t="n">
        <v>43789</v>
      </c>
      <c r="C62" s="1" t="n">
        <v>45711</v>
      </c>
      <c r="D62" t="inlineStr">
        <is>
          <t>ÖREBRO LÄN</t>
        </is>
      </c>
      <c r="E62" t="inlineStr">
        <is>
          <t>DEGERFORS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64828-2019</t>
        </is>
      </c>
      <c r="B63" s="1" t="n">
        <v>43801</v>
      </c>
      <c r="C63" s="1" t="n">
        <v>45711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66547-2019</t>
        </is>
      </c>
      <c r="B64" s="1" t="n">
        <v>43809</v>
      </c>
      <c r="C64" s="1" t="n">
        <v>45711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66546-2019</t>
        </is>
      </c>
      <c r="B65" s="1" t="n">
        <v>43809</v>
      </c>
      <c r="C65" s="1" t="n">
        <v>45711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332-2020</t>
        </is>
      </c>
      <c r="B66" s="1" t="n">
        <v>43816</v>
      </c>
      <c r="C66" s="1" t="n">
        <v>45711</v>
      </c>
      <c r="D66" t="inlineStr">
        <is>
          <t>ÖREBRO LÄN</t>
        </is>
      </c>
      <c r="E66" t="inlineStr">
        <is>
          <t>DEGERFORS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68270-2019</t>
        </is>
      </c>
      <c r="B67" s="1" t="n">
        <v>43817</v>
      </c>
      <c r="C67" s="1" t="n">
        <v>45711</v>
      </c>
      <c r="D67" t="inlineStr">
        <is>
          <t>ÖREBRO LÄN</t>
        </is>
      </c>
      <c r="E67" t="inlineStr">
        <is>
          <t>DEGERFORS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3680-2020</t>
        </is>
      </c>
      <c r="B68" s="1" t="n">
        <v>43845</v>
      </c>
      <c r="C68" s="1" t="n">
        <v>45711</v>
      </c>
      <c r="D68" t="inlineStr">
        <is>
          <t>ÖREBRO LÄN</t>
        </is>
      </c>
      <c r="E68" t="inlineStr">
        <is>
          <t>DEGERFORS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2188-2020</t>
        </is>
      </c>
      <c r="B69" s="1" t="n">
        <v>43846</v>
      </c>
      <c r="C69" s="1" t="n">
        <v>45711</v>
      </c>
      <c r="D69" t="inlineStr">
        <is>
          <t>ÖREBRO LÄN</t>
        </is>
      </c>
      <c r="E69" t="inlineStr">
        <is>
          <t>DEGERFORS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5477-2020</t>
        </is>
      </c>
      <c r="B70" s="1" t="n">
        <v>43858</v>
      </c>
      <c r="C70" s="1" t="n">
        <v>45711</v>
      </c>
      <c r="D70" t="inlineStr">
        <is>
          <t>ÖREBRO LÄN</t>
        </is>
      </c>
      <c r="E70" t="inlineStr">
        <is>
          <t>DEGERFORS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7369-2020</t>
        </is>
      </c>
      <c r="B71" s="1" t="n">
        <v>43871</v>
      </c>
      <c r="C71" s="1" t="n">
        <v>45711</v>
      </c>
      <c r="D71" t="inlineStr">
        <is>
          <t>ÖREBRO LÄN</t>
        </is>
      </c>
      <c r="E71" t="inlineStr">
        <is>
          <t>DEGERFORS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8157-2020</t>
        </is>
      </c>
      <c r="B72" s="1" t="n">
        <v>43873</v>
      </c>
      <c r="C72" s="1" t="n">
        <v>45711</v>
      </c>
      <c r="D72" t="inlineStr">
        <is>
          <t>ÖREBRO LÄN</t>
        </is>
      </c>
      <c r="E72" t="inlineStr">
        <is>
          <t>DEGERFORS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12471-2020</t>
        </is>
      </c>
      <c r="B73" s="1" t="n">
        <v>43896</v>
      </c>
      <c r="C73" s="1" t="n">
        <v>45711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16990-2020</t>
        </is>
      </c>
      <c r="B74" s="1" t="n">
        <v>43913</v>
      </c>
      <c r="C74" s="1" t="n">
        <v>45711</v>
      </c>
      <c r="D74" t="inlineStr">
        <is>
          <t>ÖREBRO LÄN</t>
        </is>
      </c>
      <c r="E74" t="inlineStr">
        <is>
          <t>DEGERFORS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15609-2020</t>
        </is>
      </c>
      <c r="B75" s="1" t="n">
        <v>43914</v>
      </c>
      <c r="C75" s="1" t="n">
        <v>45711</v>
      </c>
      <c r="D75" t="inlineStr">
        <is>
          <t>ÖREBRO LÄN</t>
        </is>
      </c>
      <c r="E75" t="inlineStr">
        <is>
          <t>DEGERFORS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15923-2020</t>
        </is>
      </c>
      <c r="B76" s="1" t="n">
        <v>43916</v>
      </c>
      <c r="C76" s="1" t="n">
        <v>45711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15921-2020</t>
        </is>
      </c>
      <c r="B77" s="1" t="n">
        <v>43916</v>
      </c>
      <c r="C77" s="1" t="n">
        <v>45711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15922-2020</t>
        </is>
      </c>
      <c r="B78" s="1" t="n">
        <v>43916</v>
      </c>
      <c r="C78" s="1" t="n">
        <v>45711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15924-2020</t>
        </is>
      </c>
      <c r="B79" s="1" t="n">
        <v>43916</v>
      </c>
      <c r="C79" s="1" t="n">
        <v>45711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15926-2020</t>
        </is>
      </c>
      <c r="B80" s="1" t="n">
        <v>43916</v>
      </c>
      <c r="C80" s="1" t="n">
        <v>45711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17449-2020</t>
        </is>
      </c>
      <c r="B81" s="1" t="n">
        <v>43923</v>
      </c>
      <c r="C81" s="1" t="n">
        <v>45711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17575-2020</t>
        </is>
      </c>
      <c r="B82" s="1" t="n">
        <v>43923</v>
      </c>
      <c r="C82" s="1" t="n">
        <v>45711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17466-2020</t>
        </is>
      </c>
      <c r="B83" s="1" t="n">
        <v>43923</v>
      </c>
      <c r="C83" s="1" t="n">
        <v>45711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17579-2020</t>
        </is>
      </c>
      <c r="B84" s="1" t="n">
        <v>43923</v>
      </c>
      <c r="C84" s="1" t="n">
        <v>45711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19815-2020</t>
        </is>
      </c>
      <c r="B85" s="1" t="n">
        <v>43942</v>
      </c>
      <c r="C85" s="1" t="n">
        <v>45711</v>
      </c>
      <c r="D85" t="inlineStr">
        <is>
          <t>ÖREBRO LÄN</t>
        </is>
      </c>
      <c r="E85" t="inlineStr">
        <is>
          <t>DEGERFORS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20350-2020</t>
        </is>
      </c>
      <c r="B86" s="1" t="n">
        <v>43945</v>
      </c>
      <c r="C86" s="1" t="n">
        <v>45711</v>
      </c>
      <c r="D86" t="inlineStr">
        <is>
          <t>ÖREBRO LÄN</t>
        </is>
      </c>
      <c r="E86" t="inlineStr">
        <is>
          <t>DEGERFORS</t>
        </is>
      </c>
      <c r="G86" t="n">
        <v>58.8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21855-2020</t>
        </is>
      </c>
      <c r="B87" s="1" t="n">
        <v>43945</v>
      </c>
      <c r="C87" s="1" t="n">
        <v>45711</v>
      </c>
      <c r="D87" t="inlineStr">
        <is>
          <t>ÖREBRO LÄN</t>
        </is>
      </c>
      <c r="E87" t="inlineStr">
        <is>
          <t>DEGERFORS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20595-2020</t>
        </is>
      </c>
      <c r="B88" s="1" t="n">
        <v>43948</v>
      </c>
      <c r="C88" s="1" t="n">
        <v>45711</v>
      </c>
      <c r="D88" t="inlineStr">
        <is>
          <t>ÖREBRO LÄN</t>
        </is>
      </c>
      <c r="E88" t="inlineStr">
        <is>
          <t>DEGERFORS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21850-2020</t>
        </is>
      </c>
      <c r="B89" s="1" t="n">
        <v>43958</v>
      </c>
      <c r="C89" s="1" t="n">
        <v>45711</v>
      </c>
      <c r="D89" t="inlineStr">
        <is>
          <t>ÖREBRO LÄN</t>
        </is>
      </c>
      <c r="E89" t="inlineStr">
        <is>
          <t>DEGERFORS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25043-2020</t>
        </is>
      </c>
      <c r="B90" s="1" t="n">
        <v>43979</v>
      </c>
      <c r="C90" s="1" t="n">
        <v>45711</v>
      </c>
      <c r="D90" t="inlineStr">
        <is>
          <t>ÖREBRO LÄN</t>
        </is>
      </c>
      <c r="E90" t="inlineStr">
        <is>
          <t>DEGERFORS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31435-2020</t>
        </is>
      </c>
      <c r="B91" s="1" t="n">
        <v>44013</v>
      </c>
      <c r="C91" s="1" t="n">
        <v>45711</v>
      </c>
      <c r="D91" t="inlineStr">
        <is>
          <t>ÖREBRO LÄN</t>
        </is>
      </c>
      <c r="E91" t="inlineStr">
        <is>
          <t>DEGERFORS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31440-2020</t>
        </is>
      </c>
      <c r="B92" s="1" t="n">
        <v>44013</v>
      </c>
      <c r="C92" s="1" t="n">
        <v>45711</v>
      </c>
      <c r="D92" t="inlineStr">
        <is>
          <t>ÖREBRO LÄN</t>
        </is>
      </c>
      <c r="E92" t="inlineStr">
        <is>
          <t>DEGERFORS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31450-2020</t>
        </is>
      </c>
      <c r="B93" s="1" t="n">
        <v>44013</v>
      </c>
      <c r="C93" s="1" t="n">
        <v>45711</v>
      </c>
      <c r="D93" t="inlineStr">
        <is>
          <t>ÖREBRO LÄN</t>
        </is>
      </c>
      <c r="E93" t="inlineStr">
        <is>
          <t>DEGERFORS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31446-2020</t>
        </is>
      </c>
      <c r="B94" s="1" t="n">
        <v>44013</v>
      </c>
      <c r="C94" s="1" t="n">
        <v>45711</v>
      </c>
      <c r="D94" t="inlineStr">
        <is>
          <t>ÖREBRO LÄN</t>
        </is>
      </c>
      <c r="E94" t="inlineStr">
        <is>
          <t>DEGERFORS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32899-2020</t>
        </is>
      </c>
      <c r="B95" s="1" t="n">
        <v>44020</v>
      </c>
      <c r="C95" s="1" t="n">
        <v>45711</v>
      </c>
      <c r="D95" t="inlineStr">
        <is>
          <t>ÖREBRO LÄN</t>
        </is>
      </c>
      <c r="E95" t="inlineStr">
        <is>
          <t>DEGERFORS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40383-2020</t>
        </is>
      </c>
      <c r="B96" s="1" t="n">
        <v>44068</v>
      </c>
      <c r="C96" s="1" t="n">
        <v>45711</v>
      </c>
      <c r="D96" t="inlineStr">
        <is>
          <t>ÖREBRO LÄN</t>
        </is>
      </c>
      <c r="E96" t="inlineStr">
        <is>
          <t>DEGERFORS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41056-2020</t>
        </is>
      </c>
      <c r="B97" s="1" t="n">
        <v>44069</v>
      </c>
      <c r="C97" s="1" t="n">
        <v>45711</v>
      </c>
      <c r="D97" t="inlineStr">
        <is>
          <t>ÖREBRO LÄN</t>
        </is>
      </c>
      <c r="E97" t="inlineStr">
        <is>
          <t>DEGERFORS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40810-2020</t>
        </is>
      </c>
      <c r="B98" s="1" t="n">
        <v>44070</v>
      </c>
      <c r="C98" s="1" t="n">
        <v>45711</v>
      </c>
      <c r="D98" t="inlineStr">
        <is>
          <t>ÖREBRO LÄN</t>
        </is>
      </c>
      <c r="E98" t="inlineStr">
        <is>
          <t>DEGERFORS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48197-2020</t>
        </is>
      </c>
      <c r="B99" s="1" t="n">
        <v>44102</v>
      </c>
      <c r="C99" s="1" t="n">
        <v>45711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50358-2020</t>
        </is>
      </c>
      <c r="B100" s="1" t="n">
        <v>44110</v>
      </c>
      <c r="C100" s="1" t="n">
        <v>45711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51130-2020</t>
        </is>
      </c>
      <c r="B101" s="1" t="n">
        <v>44112</v>
      </c>
      <c r="C101" s="1" t="n">
        <v>45711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66667-2020</t>
        </is>
      </c>
      <c r="B102" s="1" t="n">
        <v>44179</v>
      </c>
      <c r="C102" s="1" t="n">
        <v>45711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5735-2021</t>
        </is>
      </c>
      <c r="B103" s="1" t="n">
        <v>44230</v>
      </c>
      <c r="C103" s="1" t="n">
        <v>45711</v>
      </c>
      <c r="D103" t="inlineStr">
        <is>
          <t>ÖREBRO LÄN</t>
        </is>
      </c>
      <c r="E103" t="inlineStr">
        <is>
          <t>DEGERFORS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19070-2021</t>
        </is>
      </c>
      <c r="B104" s="1" t="n">
        <v>44308</v>
      </c>
      <c r="C104" s="1" t="n">
        <v>45711</v>
      </c>
      <c r="D104" t="inlineStr">
        <is>
          <t>ÖREBRO LÄN</t>
        </is>
      </c>
      <c r="E104" t="inlineStr">
        <is>
          <t>DEGERFORS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19084-2021</t>
        </is>
      </c>
      <c r="B105" s="1" t="n">
        <v>44308</v>
      </c>
      <c r="C105" s="1" t="n">
        <v>45711</v>
      </c>
      <c r="D105" t="inlineStr">
        <is>
          <t>ÖREBRO LÄN</t>
        </is>
      </c>
      <c r="E105" t="inlineStr">
        <is>
          <t>DEGERFORS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32582-2021</t>
        </is>
      </c>
      <c r="B106" s="1" t="n">
        <v>44375</v>
      </c>
      <c r="C106" s="1" t="n">
        <v>45711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32590-2021</t>
        </is>
      </c>
      <c r="B107" s="1" t="n">
        <v>44375</v>
      </c>
      <c r="C107" s="1" t="n">
        <v>45711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32729-2021</t>
        </is>
      </c>
      <c r="B108" s="1" t="n">
        <v>44375</v>
      </c>
      <c r="C108" s="1" t="n">
        <v>45711</v>
      </c>
      <c r="D108" t="inlineStr">
        <is>
          <t>ÖREBRO LÄN</t>
        </is>
      </c>
      <c r="E108" t="inlineStr">
        <is>
          <t>DEGERFORS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34690-2021</t>
        </is>
      </c>
      <c r="B109" s="1" t="n">
        <v>44382</v>
      </c>
      <c r="C109" s="1" t="n">
        <v>45711</v>
      </c>
      <c r="D109" t="inlineStr">
        <is>
          <t>ÖREBRO LÄN</t>
        </is>
      </c>
      <c r="E109" t="inlineStr">
        <is>
          <t>DEGERFORS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34695-2021</t>
        </is>
      </c>
      <c r="B110" s="1" t="n">
        <v>44382</v>
      </c>
      <c r="C110" s="1" t="n">
        <v>45711</v>
      </c>
      <c r="D110" t="inlineStr">
        <is>
          <t>ÖREBRO LÄN</t>
        </is>
      </c>
      <c r="E110" t="inlineStr">
        <is>
          <t>DEGERFORS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36963-2021</t>
        </is>
      </c>
      <c r="B111" s="1" t="n">
        <v>44393</v>
      </c>
      <c r="C111" s="1" t="n">
        <v>45711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37122-2021</t>
        </is>
      </c>
      <c r="B112" s="1" t="n">
        <v>44396</v>
      </c>
      <c r="C112" s="1" t="n">
        <v>45711</v>
      </c>
      <c r="D112" t="inlineStr">
        <is>
          <t>ÖREBRO LÄN</t>
        </is>
      </c>
      <c r="E112" t="inlineStr">
        <is>
          <t>DEGERFORS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37302-2021</t>
        </is>
      </c>
      <c r="B113" s="1" t="n">
        <v>44397</v>
      </c>
      <c r="C113" s="1" t="n">
        <v>45711</v>
      </c>
      <c r="D113" t="inlineStr">
        <is>
          <t>ÖREBRO LÄN</t>
        </is>
      </c>
      <c r="E113" t="inlineStr">
        <is>
          <t>DEGERFORS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38421-2021</t>
        </is>
      </c>
      <c r="B114" s="1" t="n">
        <v>44407</v>
      </c>
      <c r="C114" s="1" t="n">
        <v>45711</v>
      </c>
      <c r="D114" t="inlineStr">
        <is>
          <t>ÖREBRO LÄN</t>
        </is>
      </c>
      <c r="E114" t="inlineStr">
        <is>
          <t>DEGERFORS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42122-2021</t>
        </is>
      </c>
      <c r="B115" s="1" t="n">
        <v>44426</v>
      </c>
      <c r="C115" s="1" t="n">
        <v>45711</v>
      </c>
      <c r="D115" t="inlineStr">
        <is>
          <t>ÖREBRO LÄN</t>
        </is>
      </c>
      <c r="E115" t="inlineStr">
        <is>
          <t>DEGERFORS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43393-2021</t>
        </is>
      </c>
      <c r="B116" s="1" t="n">
        <v>44432</v>
      </c>
      <c r="C116" s="1" t="n">
        <v>45711</v>
      </c>
      <c r="D116" t="inlineStr">
        <is>
          <t>ÖREBRO LÄN</t>
        </is>
      </c>
      <c r="E116" t="inlineStr">
        <is>
          <t>DEGERFORS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44735-2021</t>
        </is>
      </c>
      <c r="B117" s="1" t="n">
        <v>44438</v>
      </c>
      <c r="C117" s="1" t="n">
        <v>45711</v>
      </c>
      <c r="D117" t="inlineStr">
        <is>
          <t>ÖREBRO LÄN</t>
        </is>
      </c>
      <c r="E117" t="inlineStr">
        <is>
          <t>DEGERFORS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52126-2021</t>
        </is>
      </c>
      <c r="B118" s="1" t="n">
        <v>44463</v>
      </c>
      <c r="C118" s="1" t="n">
        <v>45711</v>
      </c>
      <c r="D118" t="inlineStr">
        <is>
          <t>ÖREBRO LÄN</t>
        </is>
      </c>
      <c r="E118" t="inlineStr">
        <is>
          <t>DEGERFORS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52131-2021</t>
        </is>
      </c>
      <c r="B119" s="1" t="n">
        <v>44463</v>
      </c>
      <c r="C119" s="1" t="n">
        <v>45711</v>
      </c>
      <c r="D119" t="inlineStr">
        <is>
          <t>ÖREBRO LÄN</t>
        </is>
      </c>
      <c r="E119" t="inlineStr">
        <is>
          <t>DEGERFORS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52457-2021</t>
        </is>
      </c>
      <c r="B120" s="1" t="n">
        <v>44466</v>
      </c>
      <c r="C120" s="1" t="n">
        <v>45711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54137-2021</t>
        </is>
      </c>
      <c r="B121" s="1" t="n">
        <v>44470</v>
      </c>
      <c r="C121" s="1" t="n">
        <v>45711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54130-2021</t>
        </is>
      </c>
      <c r="B122" s="1" t="n">
        <v>44470</v>
      </c>
      <c r="C122" s="1" t="n">
        <v>45711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45711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45711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45711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45711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45711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45711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45711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45711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45711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45711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45711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45711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45711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45711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45711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45711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45711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45711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45711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45711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45711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45711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45711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45711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45711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45711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45711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45711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45711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45711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45711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45711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45711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45711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45711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45711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45711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45711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45711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45711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45711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45711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45711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45711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45711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45711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45711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45711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45711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45711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45711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45711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45711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45711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45711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45711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45711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45711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45711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45711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45711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45711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45711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45711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45711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45711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45711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45711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45711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45711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45711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45711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45711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45711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45711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45711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45711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45711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45711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45711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45711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45711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45711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45711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45711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45711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45711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45711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45711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45711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45711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45711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45711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45711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45711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45711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45711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45711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45711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45711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45711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45711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45711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45711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45711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45711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45711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45711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45711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45711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45711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45711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45711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45711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45711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45711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45711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45711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45711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45711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45711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45711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45711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45711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45711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45711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45711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45711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45711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45711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45711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45711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45711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45711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45711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45711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45711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45711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45711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45711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45711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45711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45711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45711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45711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45711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45711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45711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45711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45711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45711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45711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45711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45711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45711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45711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45711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45711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45711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45711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45711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45711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45711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45711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45711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45711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45711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45711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45711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45711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45711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45711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45711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45711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45711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45711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45711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45711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45711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45711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45711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45711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45711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45711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45711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45711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45711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45711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45711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45711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45711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45711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45711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45711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45711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45711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45711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45711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45711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45711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45711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45711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45711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45711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45711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45711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45711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45711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45711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45711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45711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45711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45711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45711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45711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45711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45711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45711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45711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45711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45711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45711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45711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45711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45711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45711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45711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45711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45711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45711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45711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45711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45711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45711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45711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45711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45711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45711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45711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45711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45711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45711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45711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45711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45711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45711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45711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45711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45711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45711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45711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45711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45711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45711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45711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45711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45711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45711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45711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45711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45711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45711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45711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45711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45711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45711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45711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45711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45711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45711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45711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45711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45711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45711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45711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45711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45711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45711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45711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45711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45711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45711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45711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45711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45711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45711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45711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45711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45711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45711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45711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45711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45711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45711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45711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45711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45711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45711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45711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45711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45711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45711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45711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45711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45711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45711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45711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45711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45711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45711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45711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45711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45711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45711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45711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45711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45711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45711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45711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45711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45711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45711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45711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45711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45711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45711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45711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45711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45711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45711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45711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45711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45711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45711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45711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45711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45711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45711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45711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45711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45711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45711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45711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45711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45711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45711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45711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45711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>
      <c r="A471" t="inlineStr">
        <is>
          <t>A 7975-2025</t>
        </is>
      </c>
      <c r="B471" s="1" t="n">
        <v>45707</v>
      </c>
      <c r="C471" s="1" t="n">
        <v>45711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2025-02-23T16:32:08Z</dcterms:created>
  <dcterms:modified xmlns:dcterms="http://purl.org/dc/terms/" xmlns:xsi="http://www.w3.org/2001/XMLSchema-instance" xsi:type="dcterms:W3CDTF">2025-02-23T16:32:09Z</dcterms:modified>
</cp:coreProperties>
</file>