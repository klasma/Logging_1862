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46289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46289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46289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46289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46289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46289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46289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46289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46289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46289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46289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46289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46289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46289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46289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46289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46289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46289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46289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46289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46289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46289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46289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46289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46289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46289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46289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46289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46289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38914-2023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46289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38914-2023 artfynd.xlsx", "A 38914-2023")</f>
        <v/>
      </c>
      <c r="X31">
        <f>HYPERLINK("https://klasma.github.io/Logging_1862/kartor/A 38914-2023 karta.png", "A 38914-2023")</f>
        <v/>
      </c>
      <c r="Y31">
        <f>HYPERLINK("https://klasma.github.io/Logging_1862/kartor_geotiff/A 38914-2023 georefererad karta.tif", "A 38914-2023")</f>
        <v/>
      </c>
      <c r="AA31">
        <f>HYPERLINK("https://klasma.github.io/Logging_1862/klagomål/A 38914-2023 FSC-klagomål.docx", "A 38914-2023")</f>
        <v/>
      </c>
      <c r="AB31">
        <f>HYPERLINK("https://klasma.github.io/Logging_1862/klagomålsmail/A 38914-2023 FSC-klagomål mail.docx", "A 38914-2023")</f>
        <v/>
      </c>
      <c r="AC31">
        <f>HYPERLINK("https://klasma.github.io/Logging_1862/tillsyn/A 38914-2023 tillsynsbegäran.docx", "A 38914-2023")</f>
        <v/>
      </c>
      <c r="AD31">
        <f>HYPERLINK("https://klasma.github.io/Logging_1862/tillsynsmail/A 38914-2023 tillsynsbegäran mail.docx", "A 38914-2023")</f>
        <v/>
      </c>
      <c r="AE31">
        <f>HYPERLINK("https://klasma.github.io/Logging_1862/fåglar/A 38914-2023 prioriterade fågelarter.docx", "A 38914-2023")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46289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46289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46289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46289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46289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38904-2023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46289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38904-2023 artfynd.xlsx", "A 38904-2023")</f>
        <v/>
      </c>
      <c r="X37">
        <f>HYPERLINK("https://klasma.github.io/Logging_1862/kartor/A 38904-2023 karta.png", "A 38904-2023")</f>
        <v/>
      </c>
      <c r="Y37">
        <f>HYPERLINK("https://klasma.github.io/Logging_1862/kartor_geotiff/A 38904-2023 georefererad karta.tif", "A 38904-2023")</f>
        <v/>
      </c>
      <c r="AA37">
        <f>HYPERLINK("https://klasma.github.io/Logging_1862/klagomål/A 38904-2023 FSC-klagomål.docx", "A 38904-2023")</f>
        <v/>
      </c>
      <c r="AB37">
        <f>HYPERLINK("https://klasma.github.io/Logging_1862/klagomålsmail/A 38904-2023 FSC-klagomål mail.docx", "A 38904-2023")</f>
        <v/>
      </c>
      <c r="AC37">
        <f>HYPERLINK("https://klasma.github.io/Logging_1862/tillsyn/A 38904-2023 tillsynsbegäran.docx", "A 38904-2023")</f>
        <v/>
      </c>
      <c r="AD37">
        <f>HYPERLINK("https://klasma.github.io/Logging_1862/tillsynsmail/A 38904-2023 tillsynsbegäran mail.docx", "A 38904-2023")</f>
        <v/>
      </c>
      <c r="AE37">
        <f>HYPERLINK("https://klasma.github.io/Logging_1862/fåglar/A 38904-2023 prioriterade fågelarter.docx", "A 38904-2023")</f>
        <v/>
      </c>
    </row>
    <row r="38" ht="15" customHeight="1">
      <c r="A38" t="inlineStr">
        <is>
          <t>A 53838-2024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46289</v>
      </c>
      <c r="F38" t="inlineStr">
        <is>
          <t>ÖREBRO LÄN</t>
        </is>
      </c>
      <c r="G38" t="inlineStr">
        <is>
          <t>DEGERFORS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HYPERLINK("https://klasma.github.io/Logging_1862/artfynd/A 53838-2024 artfynd.xlsx", "A 53838-2024")</f>
        <v/>
      </c>
      <c r="X38">
        <f>HYPERLINK("https://klasma.github.io/Logging_1862/kartor/A 53838-2024 karta.png", "A 53838-2024")</f>
        <v/>
      </c>
      <c r="Y38">
        <f>HYPERLINK("https://klasma.github.io/Logging_1862/kartor_geotiff/A 53838-2024 georefererad karta.tif", "A 53838-2024")</f>
        <v/>
      </c>
      <c r="AA38">
        <f>HYPERLINK("https://klasma.github.io/Logging_1862/klagomål/A 53838-2024 FSC-klagomål.docx", "A 53838-2024")</f>
        <v/>
      </c>
      <c r="AB38">
        <f>HYPERLINK("https://klasma.github.io/Logging_1862/klagomålsmail/A 53838-2024 FSC-klagomål mail.docx", "A 53838-2024")</f>
        <v/>
      </c>
      <c r="AC38">
        <f>HYPERLINK("https://klasma.github.io/Logging_1862/tillsyn/A 53838-2024 tillsynsbegäran.docx", "A 53838-2024")</f>
        <v/>
      </c>
      <c r="AD38">
        <f>HYPERLINK("https://klasma.github.io/Logging_1862/tillsynsmail/A 53838-2024 tillsynsbegäran mail.docx", "A 53838-2024")</f>
        <v/>
      </c>
      <c r="AE38">
        <f>HYPERLINK("https://klasma.github.io/Logging_1862/fåglar/A 53838-2024 prioriterade fågelarter.docx", "A 53838-2024")</f>
        <v/>
      </c>
    </row>
    <row r="39" ht="15" customHeight="1">
      <c r="A39" t="inlineStr">
        <is>
          <t>A 48285-2023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45205</v>
      </c>
      <c r="E39" s="1" t="n">
        <v>46289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48285-2023 artfynd.xlsx", "A 48285-2023")</f>
        <v/>
      </c>
      <c r="X39">
        <f>HYPERLINK("https://klasma.github.io/Logging_1862/kartor/A 48285-2023 karta.png", "A 48285-2023")</f>
        <v/>
      </c>
      <c r="Y39">
        <f>HYPERLINK("https://klasma.github.io/Logging_1862/kartor_geotiff/A 48285-2023 georefererad karta.tif", "A 48285-2023")</f>
        <v/>
      </c>
      <c r="AA39">
        <f>HYPERLINK("https://klasma.github.io/Logging_1862/klagomål/A 48285-2023 FSC-klagomål.docx", "A 48285-2023")</f>
        <v/>
      </c>
      <c r="AB39">
        <f>HYPERLINK("https://klasma.github.io/Logging_1862/klagomålsmail/A 48285-2023 FSC-klagomål mail.docx", "A 48285-2023")</f>
        <v/>
      </c>
      <c r="AC39">
        <f>HYPERLINK("https://klasma.github.io/Logging_1862/tillsyn/A 48285-2023 tillsynsbegäran.docx", "A 48285-2023")</f>
        <v/>
      </c>
      <c r="AD39">
        <f>HYPERLINK("https://klasma.github.io/Logging_1862/tillsynsmail/A 48285-2023 tillsynsbegäran mail.docx", "A 48285-2023")</f>
        <v/>
      </c>
      <c r="AE39">
        <f>HYPERLINK("https://klasma.github.io/Logging_1862/fåglar/A 48285-2023 prioriterade fågelarter.docx", "A 48285-2023")</f>
        <v/>
      </c>
    </row>
    <row r="40" ht="15" customHeight="1">
      <c r="A40" t="inlineStr">
        <is>
          <t>A 27093-2023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46289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27093-2023 artfynd.xlsx", "A 27093-2023")</f>
        <v/>
      </c>
      <c r="X40">
        <f>HYPERLINK("https://klasma.github.io/Logging_1862/kartor/A 27093-2023 karta.png", "A 27093-2023")</f>
        <v/>
      </c>
      <c r="Y40">
        <f>HYPERLINK("https://klasma.github.io/Logging_1862/kartor_geotiff/A 27093-2023 georefererad karta.tif", "A 27093-2023")</f>
        <v/>
      </c>
      <c r="AA40">
        <f>HYPERLINK("https://klasma.github.io/Logging_1862/klagomål/A 27093-2023 FSC-klagomål.docx", "A 27093-2023")</f>
        <v/>
      </c>
      <c r="AB40">
        <f>HYPERLINK("https://klasma.github.io/Logging_1862/klagomålsmail/A 27093-2023 FSC-klagomål mail.docx", "A 27093-2023")</f>
        <v/>
      </c>
      <c r="AC40">
        <f>HYPERLINK("https://klasma.github.io/Logging_1862/tillsyn/A 27093-2023 tillsynsbegäran.docx", "A 27093-2023")</f>
        <v/>
      </c>
      <c r="AD40">
        <f>HYPERLINK("https://klasma.github.io/Logging_1862/tillsynsmail/A 27093-2023 tillsynsbegäran mail.docx", "A 27093-2023")</f>
        <v/>
      </c>
      <c r="AE40">
        <f>HYPERLINK("https://klasma.github.io/Logging_1862/fåglar/A 27093-2023 prioriterade fågelarter.docx", "A 27093-2023")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46289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Brunfläckig pärlemorfjäril</t>
        </is>
      </c>
      <c r="W41">
        <f>HYPERLINK("https://klasma.github.io/Logging_1862/artfynd/A 47941-2024 artfynd.xlsx", "A 47941-2024")</f>
        <v/>
      </c>
      <c r="X41">
        <f>HYPERLINK("https://klasma.github.io/Logging_1862/kartor/A 47941-2024 karta.png", "A 47941-2024")</f>
        <v/>
      </c>
      <c r="Y41">
        <f>HYPERLINK("https://klasma.github.io/Logging_1862/kartor_geotiff/A 47941-2024 georefererad karta.tif", "A 47941-2024")</f>
        <v/>
      </c>
      <c r="AA41">
        <f>HYPERLINK("https://klasma.github.io/Logging_1862/klagomål/A 47941-2024 FSC-klagomål.docx", "A 47941-2024")</f>
        <v/>
      </c>
      <c r="AB41">
        <f>HYPERLINK("https://klasma.github.io/Logging_1862/klagomålsmail/A 47941-2024 FSC-klagomål mail.docx", "A 47941-2024")</f>
        <v/>
      </c>
      <c r="AC41">
        <f>HYPERLINK("https://klasma.github.io/Logging_1862/tillsyn/A 47941-2024 tillsynsbegäran.docx", "A 47941-2024")</f>
        <v/>
      </c>
      <c r="AD41">
        <f>HYPERLINK("https://klasma.github.io/Logging_1862/tillsynsmail/A 47941-2024 tillsynsbegäran mail.docx", "A 47941-2024")</f>
        <v/>
      </c>
    </row>
    <row r="42" ht="15" customHeight="1">
      <c r="A42" t="inlineStr">
        <is>
          <t>A 49306-2025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45938</v>
      </c>
      <c r="E42" s="1" t="n">
        <v>46289</v>
      </c>
      <c r="F42" t="inlineStr">
        <is>
          <t>ÖREBRO LÄN</t>
        </is>
      </c>
      <c r="G42" t="inlineStr">
        <is>
          <t>DEGERFORS</t>
        </is>
      </c>
      <c r="I42" t="n">
        <v>5.8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HYPERLINK("https://klasma.github.io/Logging_1862/artfynd/A 49306-2025 artfynd.xlsx", "A 49306-2025")</f>
        <v/>
      </c>
      <c r="X42">
        <f>HYPERLINK("https://klasma.github.io/Logging_1862/kartor/A 49306-2025 karta.png", "A 49306-2025")</f>
        <v/>
      </c>
      <c r="Y42">
        <f>HYPERLINK("https://klasma.github.io/Logging_1862/kartor_geotiff/A 49306-2025 georefererad karta.tif", "A 49306-2025")</f>
        <v/>
      </c>
      <c r="AA42">
        <f>HYPERLINK("https://klasma.github.io/Logging_1862/klagomål/A 49306-2025 FSC-klagomål.docx", "A 49306-2025")</f>
        <v/>
      </c>
      <c r="AB42">
        <f>HYPERLINK("https://klasma.github.io/Logging_1862/klagomålsmail/A 49306-2025 FSC-klagomål mail.docx", "A 49306-2025")</f>
        <v/>
      </c>
      <c r="AC42">
        <f>HYPERLINK("https://klasma.github.io/Logging_1862/tillsyn/A 49306-2025 tillsynsbegäran.docx", "A 49306-2025")</f>
        <v/>
      </c>
      <c r="AD42">
        <f>HYPERLINK("https://klasma.github.io/Logging_1862/tillsynsmail/A 49306-2025 tillsynsbegäran mail.docx", "A 49306-2025")</f>
        <v/>
      </c>
    </row>
    <row r="43" ht="15" customHeight="1">
      <c r="A43" t="inlineStr">
        <is>
          <t>A 47915-2024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46289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HYPERLINK("https://klasma.github.io/Logging_1862/artfynd/A 47915-2024 artfynd.xlsx", "A 47915-2024")</f>
        <v/>
      </c>
      <c r="X43">
        <f>HYPERLINK("https://klasma.github.io/Logging_1862/kartor/A 47915-2024 karta.png", "A 47915-2024")</f>
        <v/>
      </c>
      <c r="Y43">
        <f>HYPERLINK("https://klasma.github.io/Logging_1862/kartor_geotiff/A 47915-2024 georefererad karta.tif", "A 47915-2024")</f>
        <v/>
      </c>
      <c r="AA43">
        <f>HYPERLINK("https://klasma.github.io/Logging_1862/klagomål/A 47915-2024 FSC-klagomål.docx", "A 47915-2024")</f>
        <v/>
      </c>
      <c r="AB43">
        <f>HYPERLINK("https://klasma.github.io/Logging_1862/klagomålsmail/A 47915-2024 FSC-klagomål mail.docx", "A 47915-2024")</f>
        <v/>
      </c>
      <c r="AC43">
        <f>HYPERLINK("https://klasma.github.io/Logging_1862/tillsyn/A 47915-2024 tillsynsbegäran.docx", "A 47915-2024")</f>
        <v/>
      </c>
      <c r="AD43">
        <f>HYPERLINK("https://klasma.github.io/Logging_1862/tillsynsmail/A 47915-2024 tillsynsbegäran mail.docx", "A 47915-2024")</f>
        <v/>
      </c>
    </row>
    <row r="44" ht="15" customHeight="1">
      <c r="A44" t="inlineStr">
        <is>
          <t>A 47787-2025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45931</v>
      </c>
      <c r="E44" s="1" t="n">
        <v>46289</v>
      </c>
      <c r="F44" t="inlineStr">
        <is>
          <t>ÖREBRO LÄN</t>
        </is>
      </c>
      <c r="G44" t="inlineStr">
        <is>
          <t>DEGERFORS</t>
        </is>
      </c>
      <c r="I44" t="n">
        <v>4.1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Tretåig hackspett</t>
        </is>
      </c>
      <c r="W44">
        <f>HYPERLINK("https://klasma.github.io/Logging_1862/artfynd/A 47787-2025 artfynd.xlsx", "A 47787-2025")</f>
        <v/>
      </c>
      <c r="X44">
        <f>HYPERLINK("https://klasma.github.io/Logging_1862/kartor/A 47787-2025 karta.png", "A 47787-2025")</f>
        <v/>
      </c>
      <c r="Y44">
        <f>HYPERLINK("https://klasma.github.io/Logging_1862/kartor_geotiff/A 47787-2025 georefererad karta.tif", "A 47787-2025")</f>
        <v/>
      </c>
      <c r="AA44">
        <f>HYPERLINK("https://klasma.github.io/Logging_1862/klagomål/A 47787-2025 FSC-klagomål.docx", "A 47787-2025")</f>
        <v/>
      </c>
      <c r="AB44">
        <f>HYPERLINK("https://klasma.github.io/Logging_1862/klagomålsmail/A 47787-2025 FSC-klagomål mail.docx", "A 47787-2025")</f>
        <v/>
      </c>
      <c r="AC44">
        <f>HYPERLINK("https://klasma.github.io/Logging_1862/tillsyn/A 47787-2025 tillsynsbegäran.docx", "A 47787-2025")</f>
        <v/>
      </c>
      <c r="AD44">
        <f>HYPERLINK("https://klasma.github.io/Logging_1862/tillsynsmail/A 47787-2025 tillsynsbegäran mail.docx", "A 47787-2025")</f>
        <v/>
      </c>
      <c r="AE44">
        <f>HYPERLINK("https://klasma.github.io/Logging_1862/fåglar/A 47787-2025 prioriterade fågelarter.docx", "A 47787-2025")</f>
        <v/>
      </c>
    </row>
    <row r="45" ht="15" customHeight="1">
      <c r="A45" t="inlineStr">
        <is>
          <t>A 33297-2023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45116</v>
      </c>
      <c r="E45" s="1" t="n">
        <v>46289</v>
      </c>
      <c r="F45" t="inlineStr">
        <is>
          <t>ÖREBRO LÄN</t>
        </is>
      </c>
      <c r="G45" t="inlineStr">
        <is>
          <t>DEGERFORS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HYPERLINK("https://klasma.github.io/Logging_1862/artfynd/A 33297-2023 artfynd.xlsx", "A 33297-2023")</f>
        <v/>
      </c>
      <c r="X45">
        <f>HYPERLINK("https://klasma.github.io/Logging_1862/kartor/A 33297-2023 karta.png", "A 33297-2023")</f>
        <v/>
      </c>
      <c r="Y45">
        <f>HYPERLINK("https://klasma.github.io/Logging_1862/kartor_geotiff/A 33297-2023 georefererad karta.tif", "A 33297-2023")</f>
        <v/>
      </c>
      <c r="AA45">
        <f>HYPERLINK("https://klasma.github.io/Logging_1862/klagomål/A 33297-2023 FSC-klagomål.docx", "A 33297-2023")</f>
        <v/>
      </c>
      <c r="AB45">
        <f>HYPERLINK("https://klasma.github.io/Logging_1862/klagomålsmail/A 33297-2023 FSC-klagomål mail.docx", "A 33297-2023")</f>
        <v/>
      </c>
      <c r="AC45">
        <f>HYPERLINK("https://klasma.github.io/Logging_1862/tillsyn/A 33297-2023 tillsynsbegäran.docx", "A 33297-2023")</f>
        <v/>
      </c>
      <c r="AD45">
        <f>HYPERLINK("https://klasma.github.io/Logging_1862/tillsynsmail/A 33297-2023 tillsynsbegäran mail.docx", "A 33297-2023")</f>
        <v/>
      </c>
    </row>
    <row r="46" ht="15" customHeight="1">
      <c r="A46" t="inlineStr">
        <is>
          <t>A 38907-2023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45163</v>
      </c>
      <c r="E46" s="1" t="n">
        <v>46289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HYPERLINK("https://klasma.github.io/Logging_1862/artfynd/A 38907-2023 artfynd.xlsx", "A 38907-2023")</f>
        <v/>
      </c>
      <c r="X46">
        <f>HYPERLINK("https://klasma.github.io/Logging_1862/kartor/A 38907-2023 karta.png", "A 38907-2023")</f>
        <v/>
      </c>
      <c r="Y46">
        <f>HYPERLINK("https://klasma.github.io/Logging_1862/kartor_geotiff/A 38907-2023 georefererad karta.tif", "A 38907-2023")</f>
        <v/>
      </c>
      <c r="AA46">
        <f>HYPERLINK("https://klasma.github.io/Logging_1862/klagomål/A 38907-2023 FSC-klagomål.docx", "A 38907-2023")</f>
        <v/>
      </c>
      <c r="AB46">
        <f>HYPERLINK("https://klasma.github.io/Logging_1862/klagomålsmail/A 38907-2023 FSC-klagomål mail.docx", "A 38907-2023")</f>
        <v/>
      </c>
      <c r="AC46">
        <f>HYPERLINK("https://klasma.github.io/Logging_1862/tillsyn/A 38907-2023 tillsynsbegäran.docx", "A 38907-2023")</f>
        <v/>
      </c>
      <c r="AD46">
        <f>HYPERLINK("https://klasma.github.io/Logging_1862/tillsynsmail/A 38907-2023 tillsynsbegäran mail.docx", "A 38907-2023")</f>
        <v/>
      </c>
      <c r="AE46">
        <f>HYPERLINK("https://klasma.github.io/Logging_1862/fåglar/A 38907-2023 prioriterade fågelarter.docx", "A 38907-2023")</f>
        <v/>
      </c>
    </row>
    <row r="47" ht="15" customHeight="1">
      <c r="A47" t="inlineStr">
        <is>
          <t>A 14177-2026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46289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HYPERLINK("https://klasma.github.io/Logging_1862/artfynd/A 14177-2026 artfynd.xlsx", "A 14177-2026")</f>
        <v/>
      </c>
      <c r="X47">
        <f>HYPERLINK("https://klasma.github.io/Logging_1862/kartor/A 14177-2026 karta.png", "A 14177-2026")</f>
        <v/>
      </c>
      <c r="Y47">
        <f>HYPERLINK("https://klasma.github.io/Logging_1862/kartor_geotiff/A 14177-2026 georefererad karta.tif", "A 14177-2026")</f>
        <v/>
      </c>
      <c r="AA47">
        <f>HYPERLINK("https://klasma.github.io/Logging_1862/klagomål/A 14177-2026 FSC-klagomål.docx", "A 14177-2026")</f>
        <v/>
      </c>
      <c r="AB47">
        <f>HYPERLINK("https://klasma.github.io/Logging_1862/klagomålsmail/A 14177-2026 FSC-klagomål mail.docx", "A 14177-2026")</f>
        <v/>
      </c>
      <c r="AC47">
        <f>HYPERLINK("https://klasma.github.io/Logging_1862/tillsyn/A 14177-2026 tillsynsbegäran.docx", "A 14177-2026")</f>
        <v/>
      </c>
      <c r="AD47">
        <f>HYPERLINK("https://klasma.github.io/Logging_1862/tillsynsmail/A 14177-2026 tillsynsbegäran mail.docx", "A 14177-2026")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46289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2357-2022 artfynd.xlsx", "A 2357-2022")</f>
        <v/>
      </c>
      <c r="X48">
        <f>HYPERLINK("https://klasma.github.io/Logging_1862/kartor/A 2357-2022 karta.png", "A 2357-2022")</f>
        <v/>
      </c>
      <c r="Y48">
        <f>HYPERLINK("https://klasma.github.io/Logging_1862/kartor_geotiff/A 2357-2022 georefererad karta.tif", "A 2357-2022")</f>
        <v/>
      </c>
      <c r="AA48">
        <f>HYPERLINK("https://klasma.github.io/Logging_1862/klagomål/A 2357-2022 FSC-klagomål.docx", "A 2357-2022")</f>
        <v/>
      </c>
      <c r="AB48">
        <f>HYPERLINK("https://klasma.github.io/Logging_1862/klagomålsmail/A 2357-2022 FSC-klagomål mail.docx", "A 2357-2022")</f>
        <v/>
      </c>
      <c r="AC48">
        <f>HYPERLINK("https://klasma.github.io/Logging_1862/tillsyn/A 2357-2022 tillsynsbegäran.docx", "A 2357-2022")</f>
        <v/>
      </c>
      <c r="AD48">
        <f>HYPERLINK("https://klasma.github.io/Logging_1862/tillsynsmail/A 2357-2022 tillsynsbegäran mail.docx", "A 2357-2022")</f>
        <v/>
      </c>
      <c r="AE48">
        <f>HYPERLINK("https://klasma.github.io/Logging_1862/fåglar/A 2357-2022 prioriterade fågelarter.docx", "A 2357-2022")</f>
        <v/>
      </c>
    </row>
    <row r="49" ht="15" customHeight="1">
      <c r="A49" t="inlineStr">
        <is>
          <t>A 14121-2022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44651</v>
      </c>
      <c r="E49" s="1" t="n">
        <v>46289</v>
      </c>
      <c r="F49" t="inlineStr">
        <is>
          <t>ÖREBRO LÄN</t>
        </is>
      </c>
      <c r="G49" t="inlineStr">
        <is>
          <t>DEGERFORS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Hårklomossa</t>
        </is>
      </c>
      <c r="W49">
        <f>HYPERLINK("https://klasma.github.io/Logging_1862/artfynd/A 14121-2022 artfynd.xlsx", "A 14121-2022")</f>
        <v/>
      </c>
      <c r="X49">
        <f>HYPERLINK("https://klasma.github.io/Logging_1862/kartor/A 14121-2022 karta.png", "A 14121-2022")</f>
        <v/>
      </c>
      <c r="Y49">
        <f>HYPERLINK("https://klasma.github.io/Logging_1862/kartor_geotiff/A 14121-2022 georefererad karta.tif", "A 14121-2022")</f>
        <v/>
      </c>
      <c r="AA49">
        <f>HYPERLINK("https://klasma.github.io/Logging_1862/klagomål/A 14121-2022 FSC-klagomål.docx", "A 14121-2022")</f>
        <v/>
      </c>
      <c r="AB49">
        <f>HYPERLINK("https://klasma.github.io/Logging_1862/klagomålsmail/A 14121-2022 FSC-klagomål mail.docx", "A 14121-2022")</f>
        <v/>
      </c>
      <c r="AC49">
        <f>HYPERLINK("https://klasma.github.io/Logging_1862/tillsyn/A 14121-2022 tillsynsbegäran.docx", "A 14121-2022")</f>
        <v/>
      </c>
      <c r="AD49">
        <f>HYPERLINK("https://klasma.github.io/Logging_1862/tillsynsmail/A 14121-2022 tillsynsbegäran mail.docx", "A 14121-2022")</f>
        <v/>
      </c>
    </row>
    <row r="50" ht="15" customHeight="1">
      <c r="A50" t="inlineStr">
        <is>
          <t>A 27071-2026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46186</v>
      </c>
      <c r="E50" s="1" t="n">
        <v>46289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9.9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HYPERLINK("https://klasma.github.io/Logging_1862/artfynd/A 27071-2026 artfynd.xlsx", "A 27071-2026")</f>
        <v/>
      </c>
      <c r="X50">
        <f>HYPERLINK("https://klasma.github.io/Logging_1862/kartor/A 27071-2026 karta.png", "A 27071-2026")</f>
        <v/>
      </c>
      <c r="Y50">
        <f>HYPERLINK("https://klasma.github.io/Logging_1862/kartor_geotiff/A 27071-2026 georefererad karta.tif", "A 27071-2026")</f>
        <v/>
      </c>
      <c r="AA50">
        <f>HYPERLINK("https://klasma.github.io/Logging_1862/klagomål/A 27071-2026 FSC-klagomål.docx", "A 27071-2026")</f>
        <v/>
      </c>
      <c r="AB50">
        <f>HYPERLINK("https://klasma.github.io/Logging_1862/klagomålsmail/A 27071-2026 FSC-klagomål mail.docx", "A 27071-2026")</f>
        <v/>
      </c>
      <c r="AC50">
        <f>HYPERLINK("https://klasma.github.io/Logging_1862/tillsyn/A 27071-2026 tillsynsbegäran.docx", "A 27071-2026")</f>
        <v/>
      </c>
      <c r="AD50">
        <f>HYPERLINK("https://klasma.github.io/Logging_1862/tillsynsmail/A 27071-2026 tillsynsbegäran mail.docx", "A 27071-2026")</f>
        <v/>
      </c>
    </row>
    <row r="51" ht="15" customHeight="1">
      <c r="A51" t="inlineStr">
        <is>
          <t>A 27072-2026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46186</v>
      </c>
      <c r="E51" s="1" t="n">
        <v>46289</v>
      </c>
      <c r="F51" t="inlineStr">
        <is>
          <t>ÖREBRO LÄN</t>
        </is>
      </c>
      <c r="G51" t="inlineStr">
        <is>
          <t>DEGERFORS</t>
        </is>
      </c>
      <c r="H51" t="inlineStr">
        <is>
          <t>Sveaskog</t>
        </is>
      </c>
      <c r="I51" t="n">
        <v>7.6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27072-2026 artfynd.xlsx", "A 27072-2026")</f>
        <v/>
      </c>
      <c r="X51">
        <f>HYPERLINK("https://klasma.github.io/Logging_1862/kartor/A 27072-2026 karta.png", "A 27072-2026")</f>
        <v/>
      </c>
      <c r="Y51">
        <f>HYPERLINK("https://klasma.github.io/Logging_1862/kartor_geotiff/A 27072-2026 georefererad karta.tif", "A 27072-2026")</f>
        <v/>
      </c>
      <c r="AA51">
        <f>HYPERLINK("https://klasma.github.io/Logging_1862/klagomål/A 27072-2026 FSC-klagomål.docx", "A 27072-2026")</f>
        <v/>
      </c>
      <c r="AB51">
        <f>HYPERLINK("https://klasma.github.io/Logging_1862/klagomålsmail/A 27072-2026 FSC-klagomål mail.docx", "A 27072-2026")</f>
        <v/>
      </c>
      <c r="AC51">
        <f>HYPERLINK("https://klasma.github.io/Logging_1862/tillsyn/A 27072-2026 tillsynsbegäran.docx", "A 27072-2026")</f>
        <v/>
      </c>
      <c r="AD51">
        <f>HYPERLINK("https://klasma.github.io/Logging_1862/tillsynsmail/A 27072-2026 tillsynsbegäran mail.docx", "A 27072-2026")</f>
        <v/>
      </c>
      <c r="AE51">
        <f>HYPERLINK("https://klasma.github.io/Logging_1862/fåglar/A 27072-2026 prioriterade fågelarter.docx", "A 27072-2026")</f>
        <v/>
      </c>
    </row>
    <row r="52" ht="15" customHeight="1">
      <c r="A52" t="inlineStr">
        <is>
          <t>A 26971-2026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46185</v>
      </c>
      <c r="E52" s="1" t="n">
        <v>46289</v>
      </c>
      <c r="F52" t="inlineStr">
        <is>
          <t>ÖREBRO LÄN</t>
        </is>
      </c>
      <c r="G52" t="inlineStr">
        <is>
          <t>DEGERFORS</t>
        </is>
      </c>
      <c r="I52" t="n">
        <v>2.1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Stuplav</t>
        </is>
      </c>
      <c r="W52">
        <f>HYPERLINK("https://klasma.github.io/Logging_1862/artfynd/A 26971-2026 artfynd.xlsx", "A 26971-2026")</f>
        <v/>
      </c>
      <c r="X52">
        <f>HYPERLINK("https://klasma.github.io/Logging_1862/kartor/A 26971-2026 karta.png", "A 26971-2026")</f>
        <v/>
      </c>
      <c r="Y52">
        <f>HYPERLINK("https://klasma.github.io/Logging_1862/kartor_geotiff/A 26971-2026 georefererad karta.tif", "A 26971-2026")</f>
        <v/>
      </c>
      <c r="AA52">
        <f>HYPERLINK("https://klasma.github.io/Logging_1862/klagomål/A 26971-2026 FSC-klagomål.docx", "A 26971-2026")</f>
        <v/>
      </c>
      <c r="AB52">
        <f>HYPERLINK("https://klasma.github.io/Logging_1862/klagomålsmail/A 26971-2026 FSC-klagomål mail.docx", "A 26971-2026")</f>
        <v/>
      </c>
      <c r="AC52">
        <f>HYPERLINK("https://klasma.github.io/Logging_1862/tillsyn/A 26971-2026 tillsynsbegäran.docx", "A 26971-2026")</f>
        <v/>
      </c>
      <c r="AD52">
        <f>HYPERLINK("https://klasma.github.io/Logging_1862/tillsynsmail/A 26971-2026 tillsynsbegäran mail.docx", "A 26971-2026")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46289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46289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46289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46289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46289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46289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46289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46289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46289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46289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46289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46289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45163</v>
      </c>
      <c r="E65" s="1" t="n">
        <v>46289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46289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44466</v>
      </c>
      <c r="E67" s="1" t="n">
        <v>46289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12977-2022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44643</v>
      </c>
      <c r="E68" s="1" t="n">
        <v>46289</v>
      </c>
      <c r="F68" t="inlineStr">
        <is>
          <t>ÖREBRO LÄN</t>
        </is>
      </c>
      <c r="G68" t="inlineStr">
        <is>
          <t>DEGERFORS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46289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46289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46289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46289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67998-2021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46289</v>
      </c>
      <c r="F73" t="inlineStr">
        <is>
          <t>ÖREBRO LÄN</t>
        </is>
      </c>
      <c r="G73" t="inlineStr">
        <is>
          <t>DEGERFORS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45443</v>
      </c>
      <c r="E74" s="1" t="n">
        <v>46289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45861-2023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45195</v>
      </c>
      <c r="E75" s="1" t="n">
        <v>46289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6394-2024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45338</v>
      </c>
      <c r="E76" s="1" t="n">
        <v>46289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20577-2023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45057</v>
      </c>
      <c r="E77" s="1" t="n">
        <v>46289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44989</v>
      </c>
      <c r="E78" s="1" t="n">
        <v>46289</v>
      </c>
      <c r="F78" t="inlineStr">
        <is>
          <t>ÖREBRO LÄN</t>
        </is>
      </c>
      <c r="G78" t="inlineStr">
        <is>
          <t>DEGERFORS</t>
        </is>
      </c>
      <c r="I78" t="n">
        <v>9.5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44457-2022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44839</v>
      </c>
      <c r="E79" s="1" t="n">
        <v>46289</v>
      </c>
      <c r="F79" t="inlineStr">
        <is>
          <t>ÖREBRO LÄN</t>
        </is>
      </c>
      <c r="G79" t="inlineStr">
        <is>
          <t>DEGERFORS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46289</v>
      </c>
      <c r="F80" t="inlineStr">
        <is>
          <t>ÖREBRO LÄN</t>
        </is>
      </c>
      <c r="G80" t="inlineStr">
        <is>
          <t>DEGERFORS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29482-2023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45106</v>
      </c>
      <c r="E81" s="1" t="n">
        <v>46289</v>
      </c>
      <c r="F81" t="inlineStr">
        <is>
          <t>ÖREBRO LÄN</t>
        </is>
      </c>
      <c r="G81" t="inlineStr">
        <is>
          <t>DEGERFORS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46289</v>
      </c>
      <c r="F82" t="inlineStr">
        <is>
          <t>ÖREBRO LÄN</t>
        </is>
      </c>
      <c r="G82" t="inlineStr">
        <is>
          <t>DEGERFORS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46289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45735</v>
      </c>
      <c r="E84" s="1" t="n">
        <v>46289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46289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46289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46289</v>
      </c>
      <c r="F87" t="inlineStr">
        <is>
          <t>ÖREBRO LÄN</t>
        </is>
      </c>
      <c r="G87" t="inlineStr">
        <is>
          <t>DEGERFORS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46289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46289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11084-2023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46289</v>
      </c>
      <c r="F90" t="inlineStr">
        <is>
          <t>ÖREBRO LÄN</t>
        </is>
      </c>
      <c r="G90" t="inlineStr">
        <is>
          <t>DEGERFORS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45624</v>
      </c>
      <c r="E91" s="1" t="n">
        <v>46289</v>
      </c>
      <c r="F91" t="inlineStr">
        <is>
          <t>ÖREBRO LÄN</t>
        </is>
      </c>
      <c r="G91" t="inlineStr">
        <is>
          <t>DEGERFORS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24707-2025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46289</v>
      </c>
      <c r="F92" t="inlineStr">
        <is>
          <t>ÖREBRO LÄN</t>
        </is>
      </c>
      <c r="G92" t="inlineStr">
        <is>
          <t>DEGERFORS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45645</v>
      </c>
      <c r="E93" s="1" t="n">
        <v>46289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46289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46289</v>
      </c>
      <c r="F95" t="inlineStr">
        <is>
          <t>ÖREBRO LÄN</t>
        </is>
      </c>
      <c r="G95" t="inlineStr">
        <is>
          <t>DEGERFORS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46289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50378-2024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45601</v>
      </c>
      <c r="E97" s="1" t="n">
        <v>46289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61750-2021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44501</v>
      </c>
      <c r="E98" s="1" t="n">
        <v>46289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44754</v>
      </c>
      <c r="E99" s="1" t="n">
        <v>46289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46289</v>
      </c>
      <c r="F100" t="inlineStr">
        <is>
          <t>ÖREBRO LÄN</t>
        </is>
      </c>
      <c r="G100" t="inlineStr">
        <is>
          <t>DEGERFORS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46289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46289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46289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46289</v>
      </c>
      <c r="F104" t="inlineStr">
        <is>
          <t>ÖREBRO LÄN</t>
        </is>
      </c>
      <c r="G104" t="inlineStr">
        <is>
          <t>DEGERFORS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46289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33658-2024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45520</v>
      </c>
      <c r="E106" s="1" t="n">
        <v>46289</v>
      </c>
      <c r="F106" t="inlineStr">
        <is>
          <t>ÖREBRO LÄN</t>
        </is>
      </c>
      <c r="G106" t="inlineStr">
        <is>
          <t>DEGERFORS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38233-2023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45160</v>
      </c>
      <c r="E107" s="1" t="n">
        <v>46289</v>
      </c>
      <c r="F107" t="inlineStr">
        <is>
          <t>ÖREBRO LÄN</t>
        </is>
      </c>
      <c r="G107" t="inlineStr">
        <is>
          <t>DEGERFORS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45338</v>
      </c>
      <c r="E108" s="1" t="n">
        <v>46289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26783-2025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46289</v>
      </c>
      <c r="F109" t="inlineStr">
        <is>
          <t>ÖREBRO LÄN</t>
        </is>
      </c>
      <c r="G109" t="inlineStr">
        <is>
          <t>DEGERFORS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50766-2024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46289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59158-2022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44904</v>
      </c>
      <c r="E111" s="1" t="n">
        <v>46289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46289</v>
      </c>
      <c r="F112" t="inlineStr">
        <is>
          <t>ÖREBRO LÄN</t>
        </is>
      </c>
      <c r="G112" t="inlineStr">
        <is>
          <t>DEGERFORS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46289</v>
      </c>
      <c r="F113" t="inlineStr">
        <is>
          <t>ÖREBRO LÄN</t>
        </is>
      </c>
      <c r="G113" t="inlineStr">
        <is>
          <t>DEGERFORS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46289</v>
      </c>
      <c r="F114" t="inlineStr">
        <is>
          <t>ÖREBRO LÄN</t>
        </is>
      </c>
      <c r="G114" t="inlineStr">
        <is>
          <t>DEGERFORS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50207-2024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46289</v>
      </c>
      <c r="F115" t="inlineStr">
        <is>
          <t>ÖREBRO LÄN</t>
        </is>
      </c>
      <c r="G115" t="inlineStr">
        <is>
          <t>DEGERFORS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45600</v>
      </c>
      <c r="E116" s="1" t="n">
        <v>46289</v>
      </c>
      <c r="F116" t="inlineStr">
        <is>
          <t>ÖREBRO LÄN</t>
        </is>
      </c>
      <c r="G116" t="inlineStr">
        <is>
          <t>DEGERFORS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46289</v>
      </c>
      <c r="F117" t="inlineStr">
        <is>
          <t>ÖREBRO LÄN</t>
        </is>
      </c>
      <c r="G117" t="inlineStr">
        <is>
          <t>DEGERFORS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46289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46289</v>
      </c>
      <c r="F119" t="inlineStr">
        <is>
          <t>ÖREBRO LÄN</t>
        </is>
      </c>
      <c r="G119" t="inlineStr">
        <is>
          <t>DEGERFORS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46289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21952-2024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45443</v>
      </c>
      <c r="E121" s="1" t="n">
        <v>46289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45729</v>
      </c>
      <c r="E122" s="1" t="n">
        <v>46289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45219</v>
      </c>
      <c r="E123" s="1" t="n">
        <v>46289</v>
      </c>
      <c r="F123" t="inlineStr">
        <is>
          <t>ÖREBRO LÄN</t>
        </is>
      </c>
      <c r="G123" t="inlineStr">
        <is>
          <t>DEGERFORS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46289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62972-2023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45272</v>
      </c>
      <c r="E125" s="1" t="n">
        <v>46289</v>
      </c>
      <c r="F125" t="inlineStr">
        <is>
          <t>ÖREBRO LÄN</t>
        </is>
      </c>
      <c r="G125" t="inlineStr">
        <is>
          <t>DEGERFORS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44609</v>
      </c>
      <c r="E126" s="1" t="n">
        <v>46289</v>
      </c>
      <c r="F126" t="inlineStr">
        <is>
          <t>ÖREBRO LÄN</t>
        </is>
      </c>
      <c r="G126" t="inlineStr">
        <is>
          <t>DEGERFORS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46289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45645</v>
      </c>
      <c r="E128" s="1" t="n">
        <v>46289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45601</v>
      </c>
      <c r="E129" s="1" t="n">
        <v>46289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28367-2025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45819</v>
      </c>
      <c r="E130" s="1" t="n">
        <v>46289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46289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55341-2025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45971</v>
      </c>
      <c r="E132" s="1" t="n">
        <v>46289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45190</v>
      </c>
      <c r="E133" s="1" t="n">
        <v>46289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46289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57086-2025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45979</v>
      </c>
      <c r="E135" s="1" t="n">
        <v>46289</v>
      </c>
      <c r="F135" t="inlineStr">
        <is>
          <t>ÖREBRO LÄN</t>
        </is>
      </c>
      <c r="G135" t="inlineStr">
        <is>
          <t>DEGERFORS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44986</v>
      </c>
      <c r="E136" s="1" t="n">
        <v>46289</v>
      </c>
      <c r="F136" t="inlineStr">
        <is>
          <t>ÖREBRO LÄN</t>
        </is>
      </c>
      <c r="G136" t="inlineStr">
        <is>
          <t>DEGERFORS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45116</v>
      </c>
      <c r="E137" s="1" t="n">
        <v>46289</v>
      </c>
      <c r="F137" t="inlineStr">
        <is>
          <t>ÖREBRO LÄN</t>
        </is>
      </c>
      <c r="G137" t="inlineStr">
        <is>
          <t>DEGERFORS</t>
        </is>
      </c>
      <c r="I137" t="n">
        <v>17.2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44719</v>
      </c>
      <c r="E138" s="1" t="n">
        <v>46289</v>
      </c>
      <c r="F138" t="inlineStr">
        <is>
          <t>ÖREBRO LÄN</t>
        </is>
      </c>
      <c r="G138" t="inlineStr">
        <is>
          <t>DEGERFORS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46289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46289</v>
      </c>
      <c r="F140" t="inlineStr">
        <is>
          <t>ÖREBRO LÄN</t>
        </is>
      </c>
      <c r="G140" t="inlineStr">
        <is>
          <t>DEGERFORS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46027</v>
      </c>
      <c r="E141" s="1" t="n">
        <v>46289</v>
      </c>
      <c r="F141" t="inlineStr">
        <is>
          <t>ÖREBRO LÄN</t>
        </is>
      </c>
      <c r="G141" t="inlineStr">
        <is>
          <t>DEGERFORS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45996</v>
      </c>
      <c r="E142" s="1" t="n">
        <v>46289</v>
      </c>
      <c r="F142" t="inlineStr">
        <is>
          <t>ÖREBRO LÄN</t>
        </is>
      </c>
      <c r="G142" t="inlineStr">
        <is>
          <t>DEGERFORS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45996</v>
      </c>
      <c r="E143" s="1" t="n">
        <v>46289</v>
      </c>
      <c r="F143" t="inlineStr">
        <is>
          <t>ÖREBRO LÄN</t>
        </is>
      </c>
      <c r="G143" t="inlineStr">
        <is>
          <t>DEGERFORS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45205</v>
      </c>
      <c r="E144" s="1" t="n">
        <v>46289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46289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45351</v>
      </c>
      <c r="E146" s="1" t="n">
        <v>46289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45351</v>
      </c>
      <c r="E147" s="1" t="n">
        <v>46289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60907-2023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45261</v>
      </c>
      <c r="E148" s="1" t="n">
        <v>46289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46289</v>
      </c>
      <c r="F149" t="inlineStr">
        <is>
          <t>ÖREBRO LÄN</t>
        </is>
      </c>
      <c r="G149" t="inlineStr">
        <is>
          <t>DEGERFORS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46283</v>
      </c>
      <c r="E150" s="1" t="n">
        <v>46289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46241</v>
      </c>
      <c r="E151" s="1" t="n">
        <v>46289</v>
      </c>
      <c r="F151" t="inlineStr">
        <is>
          <t>ÖREBRO LÄN</t>
        </is>
      </c>
      <c r="G151" t="inlineStr">
        <is>
          <t>DEGERFORS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38651-2026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46283</v>
      </c>
      <c r="E152" s="1" t="n">
        <v>46289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73693-2021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46289</v>
      </c>
      <c r="F153" t="inlineStr">
        <is>
          <t>ÖREBRO LÄN</t>
        </is>
      </c>
      <c r="G153" t="inlineStr">
        <is>
          <t>DEGERFORS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46289</v>
      </c>
      <c r="F154" t="inlineStr">
        <is>
          <t>ÖREBRO LÄN</t>
        </is>
      </c>
      <c r="G154" t="inlineStr">
        <is>
          <t>DEGERFORS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36437-2024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45535</v>
      </c>
      <c r="E155" s="1" t="n">
        <v>46289</v>
      </c>
      <c r="F155" t="inlineStr">
        <is>
          <t>ÖREBRO LÄN</t>
        </is>
      </c>
      <c r="G155" t="inlineStr">
        <is>
          <t>DEGERFORS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46289</v>
      </c>
      <c r="F156" t="inlineStr">
        <is>
          <t>ÖREBRO LÄN</t>
        </is>
      </c>
      <c r="G156" t="inlineStr">
        <is>
          <t>DEGERFORS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12159-2026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46086</v>
      </c>
      <c r="E157" s="1" t="n">
        <v>46289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46086</v>
      </c>
      <c r="E158" s="1" t="n">
        <v>46289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45192</v>
      </c>
      <c r="E159" s="1" t="n">
        <v>46289</v>
      </c>
      <c r="F159" t="inlineStr">
        <is>
          <t>ÖREBRO LÄN</t>
        </is>
      </c>
      <c r="G159" t="inlineStr">
        <is>
          <t>DEGERFORS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52131-2021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46289</v>
      </c>
      <c r="F160" t="inlineStr">
        <is>
          <t>ÖREBRO LÄN</t>
        </is>
      </c>
      <c r="G160" t="inlineStr">
        <is>
          <t>DEGERFORS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46289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13040-2026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46289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37672-2024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45541</v>
      </c>
      <c r="E163" s="1" t="n">
        <v>46289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46092</v>
      </c>
      <c r="E164" s="1" t="n">
        <v>46289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13293-2026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46094</v>
      </c>
      <c r="E165" s="1" t="n">
        <v>46289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45639</v>
      </c>
      <c r="E166" s="1" t="n">
        <v>46289</v>
      </c>
      <c r="F166" t="inlineStr">
        <is>
          <t>ÖREBRO LÄN</t>
        </is>
      </c>
      <c r="G166" t="inlineStr">
        <is>
          <t>DEGERFORS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46289</v>
      </c>
      <c r="F167" t="inlineStr">
        <is>
          <t>ÖREBRO LÄN</t>
        </is>
      </c>
      <c r="G167" t="inlineStr">
        <is>
          <t>DEGERFORS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10674-2024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45369</v>
      </c>
      <c r="E168" s="1" t="n">
        <v>46289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46127</v>
      </c>
      <c r="E169" s="1" t="n">
        <v>46289</v>
      </c>
      <c r="F169" t="inlineStr">
        <is>
          <t>ÖREBRO LÄN</t>
        </is>
      </c>
      <c r="G169" t="inlineStr">
        <is>
          <t>DEGERFORS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46289</v>
      </c>
      <c r="F170" t="inlineStr">
        <is>
          <t>ÖREBRO LÄN</t>
        </is>
      </c>
      <c r="G170" t="inlineStr">
        <is>
          <t>DEGERFORS</t>
        </is>
      </c>
      <c r="I170" t="n">
        <v>13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46289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46289</v>
      </c>
      <c r="F172" t="inlineStr">
        <is>
          <t>ÖREBRO LÄN</t>
        </is>
      </c>
      <c r="G172" t="inlineStr">
        <is>
          <t>DEGERFORS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45621</v>
      </c>
      <c r="E173" s="1" t="n">
        <v>46289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46132</v>
      </c>
      <c r="E174" s="1" t="n">
        <v>46289</v>
      </c>
      <c r="F174" t="inlineStr">
        <is>
          <t>ÖREBRO LÄN</t>
        </is>
      </c>
      <c r="G174" t="inlineStr">
        <is>
          <t>DEGERFORS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46289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37333-2025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45876</v>
      </c>
      <c r="E176" s="1" t="n">
        <v>46289</v>
      </c>
      <c r="F176" t="inlineStr">
        <is>
          <t>ÖREBRO LÄN</t>
        </is>
      </c>
      <c r="G176" t="inlineStr">
        <is>
          <t>DEGERFORS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46289</v>
      </c>
      <c r="F177" t="inlineStr">
        <is>
          <t>ÖREBRO LÄN</t>
        </is>
      </c>
      <c r="G177" t="inlineStr">
        <is>
          <t>DEGERFORS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15594-2025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46289</v>
      </c>
      <c r="F178" t="inlineStr">
        <is>
          <t>ÖREBRO LÄN</t>
        </is>
      </c>
      <c r="G178" t="inlineStr">
        <is>
          <t>DEGERFORS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46289</v>
      </c>
      <c r="F179" t="inlineStr">
        <is>
          <t>ÖREBRO LÄN</t>
        </is>
      </c>
      <c r="G179" t="inlineStr">
        <is>
          <t>DEGERFORS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45351</v>
      </c>
      <c r="E180" s="1" t="n">
        <v>46289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45233</v>
      </c>
      <c r="E181" s="1" t="n">
        <v>46289</v>
      </c>
      <c r="F181" t="inlineStr">
        <is>
          <t>ÖREBRO LÄN</t>
        </is>
      </c>
      <c r="G181" t="inlineStr">
        <is>
          <t>DEGERFORS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45616</v>
      </c>
      <c r="E182" s="1" t="n">
        <v>46289</v>
      </c>
      <c r="F182" t="inlineStr">
        <is>
          <t>ÖREBRO LÄN</t>
        </is>
      </c>
      <c r="G182" t="inlineStr">
        <is>
          <t>DEGERFORS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46289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46289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45384</v>
      </c>
      <c r="E185" s="1" t="n">
        <v>46289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46289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46289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44986</v>
      </c>
      <c r="E188" s="1" t="n">
        <v>46289</v>
      </c>
      <c r="F188" t="inlineStr">
        <is>
          <t>ÖREBRO LÄN</t>
        </is>
      </c>
      <c r="G188" t="inlineStr">
        <is>
          <t>DEGERFORS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45705</v>
      </c>
      <c r="E189" s="1" t="n">
        <v>46289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7975-2025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46289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46289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46148</v>
      </c>
      <c r="E192" s="1" t="n">
        <v>46289</v>
      </c>
      <c r="F192" t="inlineStr">
        <is>
          <t>ÖREBRO LÄN</t>
        </is>
      </c>
      <c r="G192" t="inlineStr">
        <is>
          <t>DEGERFORS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46148</v>
      </c>
      <c r="E193" s="1" t="n">
        <v>46289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46148</v>
      </c>
      <c r="E194" s="1" t="n">
        <v>46289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46148</v>
      </c>
      <c r="E195" s="1" t="n">
        <v>46289</v>
      </c>
      <c r="F195" t="inlineStr">
        <is>
          <t>ÖREBRO LÄN</t>
        </is>
      </c>
      <c r="G195" t="inlineStr">
        <is>
          <t>DEGERFORS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46289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46289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46289</v>
      </c>
      <c r="F198" t="inlineStr">
        <is>
          <t>ÖREBRO LÄN</t>
        </is>
      </c>
      <c r="G198" t="inlineStr">
        <is>
          <t>DEGERFORS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46289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45223</v>
      </c>
      <c r="E200" s="1" t="n">
        <v>46289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46289</v>
      </c>
      <c r="F201" t="inlineStr">
        <is>
          <t>ÖREBRO LÄN</t>
        </is>
      </c>
      <c r="G201" t="inlineStr">
        <is>
          <t>DEGERFORS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46289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46289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45581</v>
      </c>
      <c r="E204" s="1" t="n">
        <v>46289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14678-2025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45742</v>
      </c>
      <c r="E205" s="1" t="n">
        <v>46289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46289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23229-2026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46162</v>
      </c>
      <c r="E207" s="1" t="n">
        <v>46289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46167</v>
      </c>
      <c r="E208" s="1" t="n">
        <v>46289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46289</v>
      </c>
      <c r="F209" t="inlineStr">
        <is>
          <t>ÖREBRO LÄN</t>
        </is>
      </c>
      <c r="G209" t="inlineStr">
        <is>
          <t>DEGERFORS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46171</v>
      </c>
      <c r="E210" s="1" t="n">
        <v>46289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46289</v>
      </c>
      <c r="F211" t="inlineStr">
        <is>
          <t>ÖREBRO LÄN</t>
        </is>
      </c>
      <c r="G211" t="inlineStr">
        <is>
          <t>DEGERFORS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46289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46185</v>
      </c>
      <c r="E213" s="1" t="n">
        <v>46289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46289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46189</v>
      </c>
      <c r="E215" s="1" t="n">
        <v>46289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46289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46289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28789-2026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46289</v>
      </c>
      <c r="F218" t="inlineStr">
        <is>
          <t>ÖREBRO LÄN</t>
        </is>
      </c>
      <c r="G218" t="inlineStr">
        <is>
          <t>DEGERFORS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28696-2026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46289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46289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46199</v>
      </c>
      <c r="E221" s="1" t="n">
        <v>46289</v>
      </c>
      <c r="F221" t="inlineStr">
        <is>
          <t>ÖREBRO LÄN</t>
        </is>
      </c>
      <c r="G221" t="inlineStr">
        <is>
          <t>DEGERFORS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46289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46289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46202</v>
      </c>
      <c r="E224" s="1" t="n">
        <v>46289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46204</v>
      </c>
      <c r="E225" s="1" t="n">
        <v>46289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46260</v>
      </c>
      <c r="E226" s="1" t="n">
        <v>46289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9.5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36339-2026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46268</v>
      </c>
      <c r="E227" s="1" t="n">
        <v>46289</v>
      </c>
      <c r="F227" t="inlineStr">
        <is>
          <t>ÖREBRO LÄN</t>
        </is>
      </c>
      <c r="G227" t="inlineStr">
        <is>
          <t>DEGERFORS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46268</v>
      </c>
      <c r="E228" s="1" t="n">
        <v>46289</v>
      </c>
      <c r="F228" t="inlineStr">
        <is>
          <t>ÖREBRO LÄN</t>
        </is>
      </c>
      <c r="G228" t="inlineStr">
        <is>
          <t>DEGERFORS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46268</v>
      </c>
      <c r="E229" s="1" t="n">
        <v>46289</v>
      </c>
      <c r="F229" t="inlineStr">
        <is>
          <t>ÖREBRO LÄN</t>
        </is>
      </c>
      <c r="G229" t="inlineStr">
        <is>
          <t>DEGERFORS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46230</v>
      </c>
      <c r="E230" s="1" t="n">
        <v>46289</v>
      </c>
      <c r="F230" t="inlineStr">
        <is>
          <t>ÖREBRO LÄN</t>
        </is>
      </c>
      <c r="G230" t="inlineStr">
        <is>
          <t>DEGERFORS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46231</v>
      </c>
      <c r="E231" s="1" t="n">
        <v>46289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46231</v>
      </c>
      <c r="E232" s="1" t="n">
        <v>46289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46231</v>
      </c>
      <c r="E233" s="1" t="n">
        <v>46289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46279</v>
      </c>
      <c r="E234" s="1" t="n">
        <v>46289</v>
      </c>
      <c r="F234" t="inlineStr">
        <is>
          <t>ÖREBRO LÄN</t>
        </is>
      </c>
      <c r="G234" t="inlineStr">
        <is>
          <t>DEGERFORS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46281</v>
      </c>
      <c r="E235" s="1" t="n">
        <v>46289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46282</v>
      </c>
      <c r="E236" s="1" t="n">
        <v>46289</v>
      </c>
      <c r="F236" t="inlineStr">
        <is>
          <t>ÖREBRO LÄN</t>
        </is>
      </c>
      <c r="G236" t="inlineStr">
        <is>
          <t>DEGERFORS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46239</v>
      </c>
      <c r="E237" s="1" t="n">
        <v>46289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46239</v>
      </c>
      <c r="E238" s="1" t="n">
        <v>46289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479-2022</t>
        </is>
      </c>
      <c r="B239" t="inlineStr">
        <is>
          <t>samrådsanmälan</t>
        </is>
      </c>
      <c r="C239" t="inlineStr">
        <is>
          <t>Skogsbilväg</t>
        </is>
      </c>
      <c r="D239" s="1" t="n">
        <v>44587</v>
      </c>
      <c r="E239" s="1" t="n">
        <v>46289</v>
      </c>
      <c r="F239" t="inlineStr">
        <is>
          <t>ÖREBRO LÄN</t>
        </is>
      </c>
      <c r="G239" t="inlineStr">
        <is>
          <t>DEGERFORS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1697-2025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45805</v>
      </c>
      <c r="E240" s="1" t="n">
        <v>46289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1694-2025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45805</v>
      </c>
      <c r="E241" s="1" t="n">
        <v>46289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794-2025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45729</v>
      </c>
      <c r="E242" s="1" t="n">
        <v>46289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793-2025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45729</v>
      </c>
      <c r="E243" s="1" t="n">
        <v>46289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963-2025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45742</v>
      </c>
      <c r="E244" s="1" t="n">
        <v>46289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964-2025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45742</v>
      </c>
      <c r="E245" s="1" t="n">
        <v>46289</v>
      </c>
      <c r="F245" t="inlineStr">
        <is>
          <t>ÖREBRO LÄN</t>
        </is>
      </c>
      <c r="G245" t="inlineStr">
        <is>
          <t>DEGERFORS</t>
        </is>
      </c>
      <c r="H245" t="inlineStr">
        <is>
          <t>Sveaskog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>
      <c r="A246" t="inlineStr">
        <is>
          <t>S 2595-2025</t>
        </is>
      </c>
      <c r="B246" t="inlineStr">
        <is>
          <t>samrådsanmälan</t>
        </is>
      </c>
      <c r="C246" t="inlineStr">
        <is>
          <t>Annan skogsbruksåtgärd</t>
        </is>
      </c>
      <c r="D246" s="1" t="n">
        <v>45916</v>
      </c>
      <c r="E246" s="1" t="n">
        <v>46289</v>
      </c>
      <c r="F246" t="inlineStr">
        <is>
          <t>ÖREBRO LÄN</t>
        </is>
      </c>
      <c r="G246" t="inlineStr">
        <is>
          <t>DEGERFORS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2026-09-24T01:54:59Z</dcterms:created>
  <dcterms:modified xmlns:dcterms="http://purl.org/dc/terms/" xmlns:xsi="http://www.w3.org/2001/XMLSchema-instance" xsi:type="dcterms:W3CDTF">2026-09-24T01:54:59Z</dcterms:modified>
</cp:coreProperties>
</file>