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46224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46224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41519-2023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45175</v>
      </c>
      <c r="E5" s="1" t="n">
        <v>46224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3.3</v>
      </c>
      <c r="J5" t="n">
        <v>6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19</v>
      </c>
      <c r="U5" t="n">
        <v>19</v>
      </c>
      <c r="V5" s="2" t="inlineStr">
        <is>
          <t>Tretåig hackspett
Grönpyrola
Thomsons trägnagare
Spillkråka
Tjäder
Gröngöling
Kungsfågel
Fläcknycklar</t>
        </is>
      </c>
      <c r="W5">
        <f>HYPERLINK("https://klasma.github.io/Logging_1862/artfynd/A 41519-2023 artfynd.xlsx", "A 41519-2023")</f>
        <v/>
      </c>
      <c r="X5">
        <f>HYPERLINK("https://klasma.github.io/Logging_1862/kartor/A 41519-2023 karta.png", "A 41519-2023")</f>
        <v/>
      </c>
      <c r="Y5">
        <f>HYPERLINK("https://klasma.github.io/Logging_1862/kartor_geotiff/A 41519-2023 georefererad karta.tif", "A 41519-2023")</f>
        <v/>
      </c>
      <c r="AA5">
        <f>HYPERLINK("https://klasma.github.io/Logging_1862/klagomål/A 41519-2023 FSC-klagomål.docx", "A 41519-2023")</f>
        <v/>
      </c>
      <c r="AB5">
        <f>HYPERLINK("https://klasma.github.io/Logging_1862/klagomålsmail/A 41519-2023 FSC-klagomål mail.docx", "A 41519-2023")</f>
        <v/>
      </c>
      <c r="AC5">
        <f>HYPERLINK("https://klasma.github.io/Logging_1862/tillsyn/A 41519-2023 tillsynsbegäran.docx", "A 41519-2023")</f>
        <v/>
      </c>
      <c r="AD5">
        <f>HYPERLINK("https://klasma.github.io/Logging_1862/tillsynsmail/A 41519-2023 tillsynsbegäran mail.docx", "A 41519-2023")</f>
        <v/>
      </c>
      <c r="AE5">
        <f>HYPERLINK("https://klasma.github.io/Logging_1862/fåglar/A 41519-2023 prioriterade fågelarter.docx", "A 41519-2023")</f>
        <v/>
      </c>
    </row>
    <row r="6" ht="15" customHeight="1">
      <c r="A6" t="inlineStr">
        <is>
          <t>A 25541-2023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45089</v>
      </c>
      <c r="E6" s="1" t="n">
        <v>46224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1.8</v>
      </c>
      <c r="J6" t="n">
        <v>2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9</v>
      </c>
      <c r="U6" t="n">
        <v>9</v>
      </c>
      <c r="V6" s="2" t="inlineStr">
        <is>
          <t>Gräddticka
Gransotdyna
Tretåig hackspett
Ullticka
Vedflikmossa
Brandticka
Vedticka
Spillkråka</t>
        </is>
      </c>
      <c r="W6">
        <f>HYPERLINK("https://klasma.github.io/Logging_1862/artfynd/A 25541-2023 artfynd.xlsx", "A 25541-2023")</f>
        <v/>
      </c>
      <c r="X6">
        <f>HYPERLINK("https://klasma.github.io/Logging_1862/kartor/A 25541-2023 karta.png", "A 25541-2023")</f>
        <v/>
      </c>
      <c r="Y6">
        <f>HYPERLINK("https://klasma.github.io/Logging_1862/kartor_geotiff/A 25541-2023 georefererad karta.tif", "A 25541-2023")</f>
        <v/>
      </c>
      <c r="AA6">
        <f>HYPERLINK("https://klasma.github.io/Logging_1862/klagomål/A 25541-2023 FSC-klagomål.docx", "A 25541-2023")</f>
        <v/>
      </c>
      <c r="AB6">
        <f>HYPERLINK("https://klasma.github.io/Logging_1862/klagomålsmail/A 25541-2023 FSC-klagomål mail.docx", "A 25541-2023")</f>
        <v/>
      </c>
      <c r="AC6">
        <f>HYPERLINK("https://klasma.github.io/Logging_1862/tillsyn/A 25541-2023 tillsynsbegäran.docx", "A 25541-2023")</f>
        <v/>
      </c>
      <c r="AD6">
        <f>HYPERLINK("https://klasma.github.io/Logging_1862/tillsynsmail/A 25541-2023 tillsynsbegäran mail.docx", "A 25541-2023")</f>
        <v/>
      </c>
      <c r="AE6">
        <f>HYPERLINK("https://klasma.github.io/Logging_1862/fåglar/A 25541-2023 prioriterade fågelarter.docx", "A 25541-2023")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44550</v>
      </c>
      <c r="E11" s="1" t="n">
        <v>46224</v>
      </c>
      <c r="F11" t="inlineStr">
        <is>
          <t>ÖREBRO LÄN</t>
        </is>
      </c>
      <c r="G11" t="inlineStr">
        <is>
          <t>DEGERFORS</t>
        </is>
      </c>
      <c r="I11" t="n">
        <v>17</v>
      </c>
      <c r="J11" t="n">
        <v>3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8</v>
      </c>
      <c r="U11" t="n">
        <v>8</v>
      </c>
      <c r="V11" s="2" t="inlineStr">
        <is>
          <t>Knärot
Grynig filtlav
Gulsparv
Rynkskinn
Vedticka
Spillkråka</t>
        </is>
      </c>
      <c r="W11">
        <f>HYPERLINK("https://klasma.github.io/Logging_1862/artfynd/A 73321-2021 artfynd.xlsx", "A 73321-2021")</f>
        <v/>
      </c>
      <c r="X11">
        <f>HYPERLINK("https://klasma.github.io/Logging_1862/kartor/A 73321-2021 karta.png", "A 73321-2021")</f>
        <v/>
      </c>
      <c r="Y11">
        <f>HYPERLINK("https://klasma.github.io/Logging_1862/kartor_geotiff/A 73321-2021 georefererad karta.tif", "A 73321-2021")</f>
        <v/>
      </c>
      <c r="Z11">
        <f>HYPERLINK("https://klasma.github.io/Logging_1862/knärot/A 73321-2021 karta knärot.png", "A 73321-2021")</f>
        <v/>
      </c>
      <c r="AA11">
        <f>HYPERLINK("https://klasma.github.io/Logging_1862/klagomål/A 73321-2021 FSC-klagomål.docx", "A 73321-2021")</f>
        <v/>
      </c>
      <c r="AB11">
        <f>HYPERLINK("https://klasma.github.io/Logging_1862/klagomålsmail/A 73321-2021 FSC-klagomål mail.docx", "A 73321-2021")</f>
        <v/>
      </c>
      <c r="AC11">
        <f>HYPERLINK("https://klasma.github.io/Logging_1862/tillsyn/A 73321-2021 tillsynsbegäran.docx", "A 73321-2021")</f>
        <v/>
      </c>
      <c r="AD11">
        <f>HYPERLINK("https://klasma.github.io/Logging_1862/tillsynsmail/A 73321-2021 tillsynsbegäran mail.docx", "A 73321-2021")</f>
        <v/>
      </c>
      <c r="AE11">
        <f>HYPERLINK("https://klasma.github.io/Logging_1862/fåglar/A 73321-2021 prioriterade fågelarter.docx", "A 73321-2021")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t="n">
        <v>2</v>
      </c>
      <c r="V12" s="2" t="inlineStr">
        <is>
          <t>Garnlav
Skuggblåslav
Talltita
Ullticka
Vedskivlav
Tofsmes</t>
        </is>
      </c>
      <c r="W12">
        <f>HYPERLINK("https://klasma.github.io/Logging_1862/artfynd/A 29553-2026 artfynd.xlsx", "A 29553-2026")</f>
        <v/>
      </c>
      <c r="X12">
        <f>HYPERLINK("https://klasma.github.io/Logging_1862/kartor/A 29553-2026 karta.png", "A 29553-2026")</f>
        <v/>
      </c>
      <c r="Y12">
        <f>HYPERLINK("https://klasma.github.io/Logging_1862/kartor_geotiff/A 29553-2026 georefererad karta.tif", "A 29553-2026")</f>
        <v/>
      </c>
      <c r="AA12">
        <f>HYPERLINK("https://klasma.github.io/Logging_1862/klagomål/A 29553-2026 FSC-klagomål.docx", "A 29553-2026")</f>
        <v/>
      </c>
      <c r="AB12">
        <f>HYPERLINK("https://klasma.github.io/Logging_1862/klagomålsmail/A 29553-2026 FSC-klagomål mail.docx", "A 29553-2026")</f>
        <v/>
      </c>
      <c r="AC12">
        <f>HYPERLINK("https://klasma.github.io/Logging_1862/tillsyn/A 29553-2026 tillsynsbegäran.docx", "A 29553-2026")</f>
        <v/>
      </c>
      <c r="AD12">
        <f>HYPERLINK("https://klasma.github.io/Logging_1862/tillsynsmail/A 29553-2026 tillsynsbegäran mail.docx", "A 29553-2026")</f>
        <v/>
      </c>
      <c r="AE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5</v>
      </c>
      <c r="V13" s="2" t="inlineStr">
        <is>
          <t>Duvhök
Talltita
Vedskivlav
Brandticka
Nattskärra
Spillkråka</t>
        </is>
      </c>
      <c r="W13">
        <f>HYPERLINK("https://klasma.github.io/Logging_1862/artfynd/A 23008-2026 artfynd.xlsx", "A 23008-2026")</f>
        <v/>
      </c>
      <c r="X13">
        <f>HYPERLINK("https://klasma.github.io/Logging_1862/kartor/A 23008-2026 karta.png", "A 23008-2026")</f>
        <v/>
      </c>
      <c r="Y13">
        <f>HYPERLINK("https://klasma.github.io/Logging_1862/kartor_geotiff/A 23008-2026 georefererad karta.tif", "A 23008-2026")</f>
        <v/>
      </c>
      <c r="AA13">
        <f>HYPERLINK("https://klasma.github.io/Logging_1862/klagomål/A 23008-2026 FSC-klagomål.docx", "A 23008-2026")</f>
        <v/>
      </c>
      <c r="AB13">
        <f>HYPERLINK("https://klasma.github.io/Logging_1862/klagomålsmail/A 23008-2026 FSC-klagomål mail.docx", "A 23008-2026")</f>
        <v/>
      </c>
      <c r="AC13">
        <f>HYPERLINK("https://klasma.github.io/Logging_1862/tillsyn/A 23008-2026 tillsynsbegäran.docx", "A 23008-2026")</f>
        <v/>
      </c>
      <c r="AD13">
        <f>HYPERLINK("https://klasma.github.io/Logging_1862/tillsynsmail/A 23008-2026 tillsynsbegäran mail.docx", "A 23008-2026")</f>
        <v/>
      </c>
      <c r="AE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38915-2023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46224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9</v>
      </c>
      <c r="U15" t="n">
        <v>9</v>
      </c>
      <c r="V15" s="2" t="inlineStr">
        <is>
          <t>Tretåig hackspett
Mattlummer
Spillkråka
Sångsvan</t>
        </is>
      </c>
      <c r="W15">
        <f>HYPERLINK("https://klasma.github.io/Logging_1862/artfynd/A 38915-2023 artfynd.xlsx", "A 38915-2023")</f>
        <v/>
      </c>
      <c r="X15">
        <f>HYPERLINK("https://klasma.github.io/Logging_1862/kartor/A 38915-2023 karta.png", "A 38915-2023")</f>
        <v/>
      </c>
      <c r="Y15">
        <f>HYPERLINK("https://klasma.github.io/Logging_1862/kartor_geotiff/A 38915-2023 georefererad karta.tif", "A 38915-2023")</f>
        <v/>
      </c>
      <c r="AA15">
        <f>HYPERLINK("https://klasma.github.io/Logging_1862/klagomål/A 38915-2023 FSC-klagomål.docx", "A 38915-2023")</f>
        <v/>
      </c>
      <c r="AB15">
        <f>HYPERLINK("https://klasma.github.io/Logging_1862/klagomålsmail/A 38915-2023 FSC-klagomål mail.docx", "A 38915-2023")</f>
        <v/>
      </c>
      <c r="AC15">
        <f>HYPERLINK("https://klasma.github.io/Logging_1862/tillsyn/A 38915-2023 tillsynsbegäran.docx", "A 38915-2023")</f>
        <v/>
      </c>
      <c r="AD15">
        <f>HYPERLINK("https://klasma.github.io/Logging_1862/tillsynsmail/A 38915-2023 tillsynsbegäran mail.docx", "A 38915-2023")</f>
        <v/>
      </c>
      <c r="AE15">
        <f>HYPERLINK("https://klasma.github.io/Logging_1862/fåglar/A 38915-2023 prioriterade fågelarter.docx", "A 38915-2023")</f>
        <v/>
      </c>
    </row>
    <row r="16" ht="15" customHeight="1">
      <c r="A16" t="inlineStr">
        <is>
          <t>A 48284-2023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45205</v>
      </c>
      <c r="E16" s="1" t="n">
        <v>46224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6.7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Tretåig hackspett
Spillkråka
Kungsfågel
Revlummer</t>
        </is>
      </c>
      <c r="W16">
        <f>HYPERLINK("https://klasma.github.io/Logging_1862/artfynd/A 48284-2023 artfynd.xlsx", "A 48284-2023")</f>
        <v/>
      </c>
      <c r="X16">
        <f>HYPERLINK("https://klasma.github.io/Logging_1862/kartor/A 48284-2023 karta.png", "A 48284-2023")</f>
        <v/>
      </c>
      <c r="Y16">
        <f>HYPERLINK("https://klasma.github.io/Logging_1862/kartor_geotiff/A 48284-2023 georefererad karta.tif", "A 48284-2023")</f>
        <v/>
      </c>
      <c r="AA16">
        <f>HYPERLINK("https://klasma.github.io/Logging_1862/klagomål/A 48284-2023 FSC-klagomål.docx", "A 48284-2023")</f>
        <v/>
      </c>
      <c r="AB16">
        <f>HYPERLINK("https://klasma.github.io/Logging_1862/klagomålsmail/A 48284-2023 FSC-klagomål mail.docx", "A 48284-2023")</f>
        <v/>
      </c>
      <c r="AC16">
        <f>HYPERLINK("https://klasma.github.io/Logging_1862/tillsyn/A 48284-2023 tillsynsbegäran.docx", "A 48284-2023")</f>
        <v/>
      </c>
      <c r="AD16">
        <f>HYPERLINK("https://klasma.github.io/Logging_1862/tillsynsmail/A 48284-2023 tillsynsbegäran mail.docx", "A 48284-2023")</f>
        <v/>
      </c>
      <c r="AE16">
        <f>HYPERLINK("https://klasma.github.io/Logging_1862/fåglar/A 48284-2023 prioriterade fågelarter.docx", "A 48284-2023")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46224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46224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12720-2024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45384</v>
      </c>
      <c r="E21" s="1" t="n">
        <v>46224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5.1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Svinrot
Tretåig hackspett
Fläcknycklar</t>
        </is>
      </c>
      <c r="W21">
        <f>HYPERLINK("https://klasma.github.io/Logging_1862/artfynd/A 12720-2024 artfynd.xlsx", "A 12720-2024")</f>
        <v/>
      </c>
      <c r="X21">
        <f>HYPERLINK("https://klasma.github.io/Logging_1862/kartor/A 12720-2024 karta.png", "A 12720-2024")</f>
        <v/>
      </c>
      <c r="Y21">
        <f>HYPERLINK("https://klasma.github.io/Logging_1862/kartor_geotiff/A 12720-2024 georefererad karta.tif", "A 12720-2024")</f>
        <v/>
      </c>
      <c r="AA21">
        <f>HYPERLINK("https://klasma.github.io/Logging_1862/klagomål/A 12720-2024 FSC-klagomål.docx", "A 12720-2024")</f>
        <v/>
      </c>
      <c r="AB21">
        <f>HYPERLINK("https://klasma.github.io/Logging_1862/klagomålsmail/A 12720-2024 FSC-klagomål mail.docx", "A 12720-2024")</f>
        <v/>
      </c>
      <c r="AC21">
        <f>HYPERLINK("https://klasma.github.io/Logging_1862/tillsyn/A 12720-2024 tillsynsbegäran.docx", "A 12720-2024")</f>
        <v/>
      </c>
      <c r="AD21">
        <f>HYPERLINK("https://klasma.github.io/Logging_1862/tillsynsmail/A 12720-2024 tillsynsbegäran mail.docx", "A 12720-2024")</f>
        <v/>
      </c>
      <c r="AE21">
        <f>HYPERLINK("https://klasma.github.io/Logging_1862/fåglar/A 12720-2024 prioriterade fågelarter.docx", "A 12720-2024")</f>
        <v/>
      </c>
    </row>
    <row r="22" ht="15" customHeight="1">
      <c r="A22" t="inlineStr">
        <is>
          <t>A 47782-2025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45931</v>
      </c>
      <c r="E22" s="1" t="n">
        <v>46224</v>
      </c>
      <c r="F22" t="inlineStr">
        <is>
          <t>ÖREBRO LÄN</t>
        </is>
      </c>
      <c r="G22" t="inlineStr">
        <is>
          <t>DEGERFORS</t>
        </is>
      </c>
      <c r="I22" t="n">
        <v>13.4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11</v>
      </c>
      <c r="U22" t="n">
        <v>11</v>
      </c>
      <c r="V22" s="2" t="inlineStr">
        <is>
          <t>Talltita
Tretåig hackspett
Spillkråka</t>
        </is>
      </c>
      <c r="W22">
        <f>HYPERLINK("https://klasma.github.io/Logging_1862/artfynd/A 47782-2025 artfynd.xlsx", "A 47782-2025")</f>
        <v/>
      </c>
      <c r="X22">
        <f>HYPERLINK("https://klasma.github.io/Logging_1862/kartor/A 47782-2025 karta.png", "A 47782-2025")</f>
        <v/>
      </c>
      <c r="Y22">
        <f>HYPERLINK("https://klasma.github.io/Logging_1862/kartor_geotiff/A 47782-2025 georefererad karta.tif", "A 47782-2025")</f>
        <v/>
      </c>
      <c r="AA22">
        <f>HYPERLINK("https://klasma.github.io/Logging_1862/klagomål/A 47782-2025 FSC-klagomål.docx", "A 47782-2025")</f>
        <v/>
      </c>
      <c r="AB22">
        <f>HYPERLINK("https://klasma.github.io/Logging_1862/klagomålsmail/A 47782-2025 FSC-klagomål mail.docx", "A 47782-2025")</f>
        <v/>
      </c>
      <c r="AC22">
        <f>HYPERLINK("https://klasma.github.io/Logging_1862/tillsyn/A 47782-2025 tillsynsbegäran.docx", "A 47782-2025")</f>
        <v/>
      </c>
      <c r="AD22">
        <f>HYPERLINK("https://klasma.github.io/Logging_1862/tillsynsmail/A 47782-2025 tillsynsbegäran mail.docx", "A 47782-2025")</f>
        <v/>
      </c>
      <c r="AE22">
        <f>HYPERLINK("https://klasma.github.io/Logging_1862/fåglar/A 47782-2025 prioriterade fågelarter.docx", "A 47782-2025")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40870-2024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45558</v>
      </c>
      <c r="E24" s="1" t="n">
        <v>46224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1.9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Tretåig hackspett
Spillkråka</t>
        </is>
      </c>
      <c r="W24">
        <f>HYPERLINK("https://klasma.github.io/Logging_1862/artfynd/A 40870-2024 artfynd.xlsx", "A 40870-2024")</f>
        <v/>
      </c>
      <c r="X24">
        <f>HYPERLINK("https://klasma.github.io/Logging_1862/kartor/A 40870-2024 karta.png", "A 40870-2024")</f>
        <v/>
      </c>
      <c r="Y24">
        <f>HYPERLINK("https://klasma.github.io/Logging_1862/kartor_geotiff/A 40870-2024 georefererad karta.tif", "A 40870-2024")</f>
        <v/>
      </c>
      <c r="AA24">
        <f>HYPERLINK("https://klasma.github.io/Logging_1862/klagomål/A 40870-2024 FSC-klagomål.docx", "A 40870-2024")</f>
        <v/>
      </c>
      <c r="AB24">
        <f>HYPERLINK("https://klasma.github.io/Logging_1862/klagomålsmail/A 40870-2024 FSC-klagomål mail.docx", "A 40870-2024")</f>
        <v/>
      </c>
      <c r="AC24">
        <f>HYPERLINK("https://klasma.github.io/Logging_1862/tillsyn/A 40870-2024 tillsynsbegäran.docx", "A 40870-2024")</f>
        <v/>
      </c>
      <c r="AD24">
        <f>HYPERLINK("https://klasma.github.io/Logging_1862/tillsynsmail/A 40870-2024 tillsynsbegäran mail.docx", "A 40870-2024")</f>
        <v/>
      </c>
      <c r="AE24">
        <f>HYPERLINK("https://klasma.github.io/Logging_1862/fåglar/A 40870-2024 prioriterade fågelarter.docx", "A 40870-2024")</f>
        <v/>
      </c>
    </row>
    <row r="25" ht="15" customHeight="1">
      <c r="A25" t="inlineStr">
        <is>
          <t>A 38910-2023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46224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Tjäder
Fläcknycklar</t>
        </is>
      </c>
      <c r="W25">
        <f>HYPERLINK("https://klasma.github.io/Logging_1862/artfynd/A 38910-2023 artfynd.xlsx", "A 38910-2023")</f>
        <v/>
      </c>
      <c r="X25">
        <f>HYPERLINK("https://klasma.github.io/Logging_1862/kartor/A 38910-2023 karta.png", "A 38910-2023")</f>
        <v/>
      </c>
      <c r="Y25">
        <f>HYPERLINK("https://klasma.github.io/Logging_1862/kartor_geotiff/A 38910-2023 georefererad karta.tif", "A 38910-2023")</f>
        <v/>
      </c>
      <c r="AA25">
        <f>HYPERLINK("https://klasma.github.io/Logging_1862/klagomål/A 38910-2023 FSC-klagomål.docx", "A 38910-2023")</f>
        <v/>
      </c>
      <c r="AB25">
        <f>HYPERLINK("https://klasma.github.io/Logging_1862/klagomålsmail/A 38910-2023 FSC-klagomål mail.docx", "A 38910-2023")</f>
        <v/>
      </c>
      <c r="AC25">
        <f>HYPERLINK("https://klasma.github.io/Logging_1862/tillsyn/A 38910-2023 tillsynsbegäran.docx", "A 38910-2023")</f>
        <v/>
      </c>
      <c r="AD25">
        <f>HYPERLINK("https://klasma.github.io/Logging_1862/tillsynsmail/A 38910-2023 tillsynsbegäran mail.docx", "A 38910-2023")</f>
        <v/>
      </c>
      <c r="AE25">
        <f>HYPERLINK("https://klasma.github.io/Logging_1862/fåglar/A 38910-2023 prioriterade fågelarter.docx", "A 38910-2023")</f>
        <v/>
      </c>
    </row>
    <row r="26" ht="15" customHeight="1">
      <c r="A26" t="inlineStr">
        <is>
          <t>A 38912-2023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38912-2023 artfynd.xlsx", "A 38912-2023")</f>
        <v/>
      </c>
      <c r="X26">
        <f>HYPERLINK("https://klasma.github.io/Logging_1862/kartor/A 38912-2023 karta.png", "A 38912-2023")</f>
        <v/>
      </c>
      <c r="Y26">
        <f>HYPERLINK("https://klasma.github.io/Logging_1862/kartor_geotiff/A 38912-2023 georefererad karta.tif", "A 38912-2023")</f>
        <v/>
      </c>
      <c r="AA26">
        <f>HYPERLINK("https://klasma.github.io/Logging_1862/klagomål/A 38912-2023 FSC-klagomål.docx", "A 38912-2023")</f>
        <v/>
      </c>
      <c r="AB26">
        <f>HYPERLINK("https://klasma.github.io/Logging_1862/klagomålsmail/A 38912-2023 FSC-klagomål mail.docx", "A 38912-2023")</f>
        <v/>
      </c>
      <c r="AC26">
        <f>HYPERLINK("https://klasma.github.io/Logging_1862/tillsyn/A 38912-2023 tillsynsbegäran.docx", "A 38912-2023")</f>
        <v/>
      </c>
      <c r="AD26">
        <f>HYPERLINK("https://klasma.github.io/Logging_1862/tillsynsmail/A 38912-2023 tillsynsbegäran mail.docx", "A 38912-2023")</f>
        <v/>
      </c>
      <c r="AE26">
        <f>HYPERLINK("https://klasma.github.io/Logging_1862/fåglar/A 38912-2023 prioriterade fågelarter.docx", "A 38912-2023")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46224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4256-2026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46224</v>
      </c>
      <c r="F28" t="inlineStr">
        <is>
          <t>ÖREBRO LÄN</t>
        </is>
      </c>
      <c r="G28" t="inlineStr">
        <is>
          <t>DEGERFORS</t>
        </is>
      </c>
      <c r="I28" t="n">
        <v>2.9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Skogsklocka
Slåtterfibbla</t>
        </is>
      </c>
      <c r="W28">
        <f>HYPERLINK("https://klasma.github.io/Logging_1862/artfynd/A 4256-2026 artfynd.xlsx", "A 4256-2026")</f>
        <v/>
      </c>
      <c r="X28">
        <f>HYPERLINK("https://klasma.github.io/Logging_1862/kartor/A 4256-2026 karta.png", "A 4256-2026")</f>
        <v/>
      </c>
      <c r="Y28">
        <f>HYPERLINK("https://klasma.github.io/Logging_1862/kartor_geotiff/A 4256-2026 georefererad karta.tif", "A 4256-2026")</f>
        <v/>
      </c>
      <c r="AA28">
        <f>HYPERLINK("https://klasma.github.io/Logging_1862/klagomål/A 4256-2026 FSC-klagomål.docx", "A 4256-2026")</f>
        <v/>
      </c>
      <c r="AB28">
        <f>HYPERLINK("https://klasma.github.io/Logging_1862/klagomålsmail/A 4256-2026 FSC-klagomål mail.docx", "A 4256-2026")</f>
        <v/>
      </c>
      <c r="AC28">
        <f>HYPERLINK("https://klasma.github.io/Logging_1862/tillsyn/A 4256-2026 tillsynsbegäran.docx", "A 4256-2026")</f>
        <v/>
      </c>
      <c r="AD28">
        <f>HYPERLINK("https://klasma.github.io/Logging_1862/tillsynsmail/A 4256-2026 tillsynsbegäran mail.docx", "A 4256-2026")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46224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38907-2023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46224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HYPERLINK("https://klasma.github.io/Logging_1862/artfynd/A 38907-2023 artfynd.xlsx", "A 38907-2023")</f>
        <v/>
      </c>
      <c r="X33">
        <f>HYPERLINK("https://klasma.github.io/Logging_1862/kartor/A 38907-2023 karta.png", "A 38907-2023")</f>
        <v/>
      </c>
      <c r="Y33">
        <f>HYPERLINK("https://klasma.github.io/Logging_1862/kartor_geotiff/A 38907-2023 georefererad karta.tif", "A 38907-2023")</f>
        <v/>
      </c>
      <c r="AA33">
        <f>HYPERLINK("https://klasma.github.io/Logging_1862/klagomål/A 38907-2023 FSC-klagomål.docx", "A 38907-2023")</f>
        <v/>
      </c>
      <c r="AB33">
        <f>HYPERLINK("https://klasma.github.io/Logging_1862/klagomålsmail/A 38907-2023 FSC-klagomål mail.docx", "A 38907-2023")</f>
        <v/>
      </c>
      <c r="AC33">
        <f>HYPERLINK("https://klasma.github.io/Logging_1862/tillsyn/A 38907-2023 tillsynsbegäran.docx", "A 38907-2023")</f>
        <v/>
      </c>
      <c r="AD33">
        <f>HYPERLINK("https://klasma.github.io/Logging_1862/tillsynsmail/A 38907-2023 tillsynsbegäran mail.docx", "A 38907-2023")</f>
        <v/>
      </c>
      <c r="AE33">
        <f>HYPERLINK("https://klasma.github.io/Logging_1862/fåglar/A 38907-2023 prioriterade fågelarter.docx", "A 38907-2023")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46224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HYPERLINK("https://klasma.github.io/Logging_1862/artfynd/A 33297-2023 artfynd.xlsx", "A 33297-2023")</f>
        <v/>
      </c>
      <c r="X34">
        <f>HYPERLINK("https://klasma.github.io/Logging_1862/kartor/A 33297-2023 karta.png", "A 33297-2023")</f>
        <v/>
      </c>
      <c r="Y34">
        <f>HYPERLINK("https://klasma.github.io/Logging_1862/kartor_geotiff/A 33297-2023 georefererad karta.tif", "A 33297-2023")</f>
        <v/>
      </c>
      <c r="AA34">
        <f>HYPERLINK("https://klasma.github.io/Logging_1862/klagomål/A 33297-2023 FSC-klagomål.docx", "A 33297-2023")</f>
        <v/>
      </c>
      <c r="AB34">
        <f>HYPERLINK("https://klasma.github.io/Logging_1862/klagomålsmail/A 33297-2023 FSC-klagomål mail.docx", "A 33297-2023")</f>
        <v/>
      </c>
      <c r="AC34">
        <f>HYPERLINK("https://klasma.github.io/Logging_1862/tillsyn/A 33297-2023 tillsynsbegäran.docx", "A 33297-2023")</f>
        <v/>
      </c>
      <c r="AD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46224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38904-2023 artfynd.xlsx", "A 38904-2023")</f>
        <v/>
      </c>
      <c r="X35">
        <f>HYPERLINK("https://klasma.github.io/Logging_1862/kartor/A 38904-2023 karta.png", "A 38904-2023")</f>
        <v/>
      </c>
      <c r="Y35">
        <f>HYPERLINK("https://klasma.github.io/Logging_1862/kartor_geotiff/A 38904-2023 georefererad karta.tif", "A 38904-2023")</f>
        <v/>
      </c>
      <c r="AA35">
        <f>HYPERLINK("https://klasma.github.io/Logging_1862/klagomål/A 38904-2023 FSC-klagomål.docx", "A 38904-2023")</f>
        <v/>
      </c>
      <c r="AB35">
        <f>HYPERLINK("https://klasma.github.io/Logging_1862/klagomålsmail/A 38904-2023 FSC-klagomål mail.docx", "A 38904-2023")</f>
        <v/>
      </c>
      <c r="AC35">
        <f>HYPERLINK("https://klasma.github.io/Logging_1862/tillsyn/A 38904-2023 tillsynsbegäran.docx", "A 38904-2023")</f>
        <v/>
      </c>
      <c r="AD35">
        <f>HYPERLINK("https://klasma.github.io/Logging_1862/tillsynsmail/A 38904-2023 tillsynsbegäran mail.docx", "A 38904-2023")</f>
        <v/>
      </c>
      <c r="AE35">
        <f>HYPERLINK("https://klasma.github.io/Logging_1862/fåglar/A 38904-2023 prioriterade fågelarter.docx", "A 38904-2023")</f>
        <v/>
      </c>
    </row>
    <row r="36" ht="15" customHeight="1">
      <c r="A36" t="inlineStr">
        <is>
          <t>A 27093-2023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46224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27093-2023 artfynd.xlsx", "A 27093-2023")</f>
        <v/>
      </c>
      <c r="X36">
        <f>HYPERLINK("https://klasma.github.io/Logging_1862/kartor/A 27093-2023 karta.png", "A 27093-2023")</f>
        <v/>
      </c>
      <c r="Y36">
        <f>HYPERLINK("https://klasma.github.io/Logging_1862/kartor_geotiff/A 27093-2023 georefererad karta.tif", "A 27093-2023")</f>
        <v/>
      </c>
      <c r="AA36">
        <f>HYPERLINK("https://klasma.github.io/Logging_1862/klagomål/A 27093-2023 FSC-klagomål.docx", "A 27093-2023")</f>
        <v/>
      </c>
      <c r="AB36">
        <f>HYPERLINK("https://klasma.github.io/Logging_1862/klagomålsmail/A 27093-2023 FSC-klagomål mail.docx", "A 27093-2023")</f>
        <v/>
      </c>
      <c r="AC36">
        <f>HYPERLINK("https://klasma.github.io/Logging_1862/tillsyn/A 27093-2023 tillsynsbegäran.docx", "A 27093-2023")</f>
        <v/>
      </c>
      <c r="AD36">
        <f>HYPERLINK("https://klasma.github.io/Logging_1862/tillsynsmail/A 27093-2023 tillsynsbegäran mail.docx", "A 27093-2023")</f>
        <v/>
      </c>
      <c r="AE36">
        <f>HYPERLINK("https://klasma.github.io/Logging_1862/fåglar/A 27093-2023 prioriterade fågelarter.docx", "A 27093-2023")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46224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47787-2025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46224</v>
      </c>
      <c r="F38" t="inlineStr">
        <is>
          <t>ÖREBRO LÄN</t>
        </is>
      </c>
      <c r="G38" t="inlineStr">
        <is>
          <t>DEGERFORS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Tretåig hackspett</t>
        </is>
      </c>
      <c r="W38">
        <f>HYPERLINK("https://klasma.github.io/Logging_1862/artfynd/A 47787-2025 artfynd.xlsx", "A 47787-2025")</f>
        <v/>
      </c>
      <c r="X38">
        <f>HYPERLINK("https://klasma.github.io/Logging_1862/kartor/A 47787-2025 karta.png", "A 47787-2025")</f>
        <v/>
      </c>
      <c r="Y38">
        <f>HYPERLINK("https://klasma.github.io/Logging_1862/kartor_geotiff/A 47787-2025 georefererad karta.tif", "A 47787-2025")</f>
        <v/>
      </c>
      <c r="AA38">
        <f>HYPERLINK("https://klasma.github.io/Logging_1862/klagomål/A 47787-2025 FSC-klagomål.docx", "A 47787-2025")</f>
        <v/>
      </c>
      <c r="AB38">
        <f>HYPERLINK("https://klasma.github.io/Logging_1862/klagomålsmail/A 47787-2025 FSC-klagomål mail.docx", "A 47787-2025")</f>
        <v/>
      </c>
      <c r="AC38">
        <f>HYPERLINK("https://klasma.github.io/Logging_1862/tillsyn/A 47787-2025 tillsynsbegäran.docx", "A 47787-2025")</f>
        <v/>
      </c>
      <c r="AD38">
        <f>HYPERLINK("https://klasma.github.io/Logging_1862/tillsynsmail/A 47787-2025 tillsynsbegäran mail.docx", "A 47787-2025")</f>
        <v/>
      </c>
      <c r="AE38">
        <f>HYPERLINK("https://klasma.github.io/Logging_1862/fåglar/A 47787-2025 prioriterade fågelarter.docx", "A 47787-2025")</f>
        <v/>
      </c>
    </row>
    <row r="39" ht="15" customHeight="1">
      <c r="A39" t="inlineStr">
        <is>
          <t>A 48285-2023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45205</v>
      </c>
      <c r="E39" s="1" t="n">
        <v>46224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48285-2023 artfynd.xlsx", "A 48285-2023")</f>
        <v/>
      </c>
      <c r="X39">
        <f>HYPERLINK("https://klasma.github.io/Logging_1862/kartor/A 48285-2023 karta.png", "A 48285-2023")</f>
        <v/>
      </c>
      <c r="Y39">
        <f>HYPERLINK("https://klasma.github.io/Logging_1862/kartor_geotiff/A 48285-2023 georefererad karta.tif", "A 48285-2023")</f>
        <v/>
      </c>
      <c r="AA39">
        <f>HYPERLINK("https://klasma.github.io/Logging_1862/klagomål/A 48285-2023 FSC-klagomål.docx", "A 48285-2023")</f>
        <v/>
      </c>
      <c r="AB39">
        <f>HYPERLINK("https://klasma.github.io/Logging_1862/klagomålsmail/A 48285-2023 FSC-klagomål mail.docx", "A 48285-2023")</f>
        <v/>
      </c>
      <c r="AC39">
        <f>HYPERLINK("https://klasma.github.io/Logging_1862/tillsyn/A 48285-2023 tillsynsbegäran.docx", "A 48285-2023")</f>
        <v/>
      </c>
      <c r="AD39">
        <f>HYPERLINK("https://klasma.github.io/Logging_1862/tillsynsmail/A 48285-2023 tillsynsbegäran mail.docx", "A 48285-2023")</f>
        <v/>
      </c>
      <c r="AE39">
        <f>HYPERLINK("https://klasma.github.io/Logging_1862/fåglar/A 48285-2023 prioriterade fågelarter.docx", "A 48285-2023")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46224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46224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Brunfläckig pärlemorfjäril</t>
        </is>
      </c>
      <c r="W41">
        <f>HYPERLINK("https://klasma.github.io/Logging_1862/artfynd/A 47941-2024 artfynd.xlsx", "A 47941-2024")</f>
        <v/>
      </c>
      <c r="X41">
        <f>HYPERLINK("https://klasma.github.io/Logging_1862/kartor/A 47941-2024 karta.png", "A 47941-2024")</f>
        <v/>
      </c>
      <c r="Y41">
        <f>HYPERLINK("https://klasma.github.io/Logging_1862/kartor_geotiff/A 47941-2024 georefererad karta.tif", "A 47941-2024")</f>
        <v/>
      </c>
      <c r="AA41">
        <f>HYPERLINK("https://klasma.github.io/Logging_1862/klagomål/A 47941-2024 FSC-klagomål.docx", "A 47941-2024")</f>
        <v/>
      </c>
      <c r="AB41">
        <f>HYPERLINK("https://klasma.github.io/Logging_1862/klagomålsmail/A 47941-2024 FSC-klagomål mail.docx", "A 47941-2024")</f>
        <v/>
      </c>
      <c r="AC41">
        <f>HYPERLINK("https://klasma.github.io/Logging_1862/tillsyn/A 47941-2024 tillsynsbegäran.docx", "A 47941-2024")</f>
        <v/>
      </c>
      <c r="AD41">
        <f>HYPERLINK("https://klasma.github.io/Logging_1862/tillsynsmail/A 47941-2024 tillsynsbegäran mail.docx", "A 47941-2024")</f>
        <v/>
      </c>
    </row>
    <row r="42" ht="15" customHeight="1">
      <c r="A42" t="inlineStr">
        <is>
          <t>A 26971-2026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46224</v>
      </c>
      <c r="F42" t="inlineStr">
        <is>
          <t>ÖREBRO LÄN</t>
        </is>
      </c>
      <c r="G42" t="inlineStr">
        <is>
          <t>DEGERFORS</t>
        </is>
      </c>
      <c r="I42" t="n">
        <v>2.1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Stuplav</t>
        </is>
      </c>
      <c r="W42">
        <f>HYPERLINK("https://klasma.github.io/Logging_1862/artfynd/A 26971-2026 artfynd.xlsx", "A 26971-2026")</f>
        <v/>
      </c>
      <c r="X42">
        <f>HYPERLINK("https://klasma.github.io/Logging_1862/kartor/A 26971-2026 karta.png", "A 26971-2026")</f>
        <v/>
      </c>
      <c r="Y42">
        <f>HYPERLINK("https://klasma.github.io/Logging_1862/kartor_geotiff/A 26971-2026 georefererad karta.tif", "A 26971-2026")</f>
        <v/>
      </c>
      <c r="AA42">
        <f>HYPERLINK("https://klasma.github.io/Logging_1862/klagomål/A 26971-2026 FSC-klagomål.docx", "A 26971-2026")</f>
        <v/>
      </c>
      <c r="AB42">
        <f>HYPERLINK("https://klasma.github.io/Logging_1862/klagomålsmail/A 26971-2026 FSC-klagomål mail.docx", "A 26971-2026")</f>
        <v/>
      </c>
      <c r="AC42">
        <f>HYPERLINK("https://klasma.github.io/Logging_1862/tillsyn/A 26971-2026 tillsynsbegäran.docx", "A 26971-2026")</f>
        <v/>
      </c>
      <c r="AD42">
        <f>HYPERLINK("https://klasma.github.io/Logging_1862/tillsynsmail/A 26971-2026 tillsynsbegäran mail.docx", "A 26971-2026")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46224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46224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47915-2024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46224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HYPERLINK("https://klasma.github.io/Logging_1862/artfynd/A 47915-2024 artfynd.xlsx", "A 47915-2024")</f>
        <v/>
      </c>
      <c r="X45">
        <f>HYPERLINK("https://klasma.github.io/Logging_1862/kartor/A 47915-2024 karta.png", "A 47915-2024")</f>
        <v/>
      </c>
      <c r="Y45">
        <f>HYPERLINK("https://klasma.github.io/Logging_1862/kartor_geotiff/A 47915-2024 georefererad karta.tif", "A 47915-2024")</f>
        <v/>
      </c>
      <c r="AA45">
        <f>HYPERLINK("https://klasma.github.io/Logging_1862/klagomål/A 47915-2024 FSC-klagomål.docx", "A 47915-2024")</f>
        <v/>
      </c>
      <c r="AB45">
        <f>HYPERLINK("https://klasma.github.io/Logging_1862/klagomålsmail/A 47915-2024 FSC-klagomål mail.docx", "A 47915-2024")</f>
        <v/>
      </c>
      <c r="AC45">
        <f>HYPERLINK("https://klasma.github.io/Logging_1862/tillsyn/A 47915-2024 tillsynsbegäran.docx", "A 47915-2024")</f>
        <v/>
      </c>
      <c r="AD45">
        <f>HYPERLINK("https://klasma.github.io/Logging_1862/tillsynsmail/A 47915-2024 tillsynsbegäran mail.docx", "A 47915-2024")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46224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HYPERLINK("https://klasma.github.io/Logging_1862/artfynd/A 28976-2026 artfynd.xlsx", "A 28976-2026")</f>
        <v/>
      </c>
      <c r="X46">
        <f>HYPERLINK("https://klasma.github.io/Logging_1862/kartor/A 28976-2026 karta.png", "A 28976-2026")</f>
        <v/>
      </c>
      <c r="Y46">
        <f>HYPERLINK("https://klasma.github.io/Logging_1862/kartor_geotiff/A 28976-2026 georefererad karta.tif", "A 28976-2026")</f>
        <v/>
      </c>
      <c r="AA46">
        <f>HYPERLINK("https://klasma.github.io/Logging_1862/klagomål/A 28976-2026 FSC-klagomål.docx", "A 28976-2026")</f>
        <v/>
      </c>
      <c r="AB46">
        <f>HYPERLINK("https://klasma.github.io/Logging_1862/klagomålsmail/A 28976-2026 FSC-klagomål mail.docx", "A 28976-2026")</f>
        <v/>
      </c>
      <c r="AC46">
        <f>HYPERLINK("https://klasma.github.io/Logging_1862/tillsyn/A 28976-2026 tillsynsbegäran.docx", "A 28976-2026")</f>
        <v/>
      </c>
      <c r="AD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46224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46224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46224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46224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46224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46224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46224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46224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46224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46224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46224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46224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46224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46224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46224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46224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46224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46224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46224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46224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46224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44754</v>
      </c>
      <c r="E70" s="1" t="n">
        <v>46224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37672-2024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45541</v>
      </c>
      <c r="E71" s="1" t="n">
        <v>46224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46224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46224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45272</v>
      </c>
      <c r="E74" s="1" t="n">
        <v>46224</v>
      </c>
      <c r="F74" t="inlineStr">
        <is>
          <t>ÖREBRO LÄN</t>
        </is>
      </c>
      <c r="G74" t="inlineStr">
        <is>
          <t>DEGERFORS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46224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45624</v>
      </c>
      <c r="E76" s="1" t="n">
        <v>46224</v>
      </c>
      <c r="F76" t="inlineStr">
        <is>
          <t>ÖREBRO LÄN</t>
        </is>
      </c>
      <c r="G76" t="inlineStr">
        <is>
          <t>DEGERFORS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45205</v>
      </c>
      <c r="E77" s="1" t="n">
        <v>46224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46224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46224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46224</v>
      </c>
      <c r="F80" t="inlineStr">
        <is>
          <t>ÖREBRO LÄN</t>
        </is>
      </c>
      <c r="G80" t="inlineStr">
        <is>
          <t>DEGERFORS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46224</v>
      </c>
      <c r="F81" t="inlineStr">
        <is>
          <t>ÖREBRO LÄN</t>
        </is>
      </c>
      <c r="G81" t="inlineStr">
        <is>
          <t>DEGERFORS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46224</v>
      </c>
      <c r="F82" t="inlineStr">
        <is>
          <t>ÖREBRO LÄN</t>
        </is>
      </c>
      <c r="G82" t="inlineStr">
        <is>
          <t>DEGERFORS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46224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45535</v>
      </c>
      <c r="E84" s="1" t="n">
        <v>46224</v>
      </c>
      <c r="F84" t="inlineStr">
        <is>
          <t>ÖREBRO LÄN</t>
        </is>
      </c>
      <c r="G84" t="inlineStr">
        <is>
          <t>DEGERFORS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46224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45810</v>
      </c>
      <c r="E86" s="1" t="n">
        <v>46224</v>
      </c>
      <c r="F86" t="inlineStr">
        <is>
          <t>ÖREBRO LÄN</t>
        </is>
      </c>
      <c r="G86" t="inlineStr">
        <is>
          <t>DEGERFORS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46224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46224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46224</v>
      </c>
      <c r="F89" t="inlineStr">
        <is>
          <t>ÖREBRO LÄN</t>
        </is>
      </c>
      <c r="G89" t="inlineStr">
        <is>
          <t>DEGERFORS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46224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46224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46224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46224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46224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46224</v>
      </c>
      <c r="F95" t="inlineStr">
        <is>
          <t>ÖREBRO LÄN</t>
        </is>
      </c>
      <c r="G95" t="inlineStr">
        <is>
          <t>DEGERFORS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46224</v>
      </c>
      <c r="F96" t="inlineStr">
        <is>
          <t>ÖREBRO LÄN</t>
        </is>
      </c>
      <c r="G96" t="inlineStr">
        <is>
          <t>DEGERFORS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46224</v>
      </c>
      <c r="F97" t="inlineStr">
        <is>
          <t>ÖREBRO LÄN</t>
        </is>
      </c>
      <c r="G97" t="inlineStr">
        <is>
          <t>DEGERFORS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46027</v>
      </c>
      <c r="E98" s="1" t="n">
        <v>46224</v>
      </c>
      <c r="F98" t="inlineStr">
        <is>
          <t>ÖREBRO LÄN</t>
        </is>
      </c>
      <c r="G98" t="inlineStr">
        <is>
          <t>DEGERFORS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46224</v>
      </c>
      <c r="F99" t="inlineStr">
        <is>
          <t>ÖREBRO LÄN</t>
        </is>
      </c>
      <c r="G99" t="inlineStr">
        <is>
          <t>DEGERFORS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60907-2023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45261</v>
      </c>
      <c r="E100" s="1" t="n">
        <v>46224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46224</v>
      </c>
      <c r="F101" t="inlineStr">
        <is>
          <t>ÖREBRO LÄN</t>
        </is>
      </c>
      <c r="G101" t="inlineStr">
        <is>
          <t>DEGERFORS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46224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45468</v>
      </c>
      <c r="E103" s="1" t="n">
        <v>46224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46224</v>
      </c>
      <c r="F104" t="inlineStr">
        <is>
          <t>ÖREBRO LÄN</t>
        </is>
      </c>
      <c r="G104" t="inlineStr">
        <is>
          <t>DEGERFORS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46224</v>
      </c>
      <c r="F105" t="inlineStr">
        <is>
          <t>ÖREBRO LÄN</t>
        </is>
      </c>
      <c r="G105" t="inlineStr">
        <is>
          <t>DEGERFORS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46224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46224</v>
      </c>
      <c r="F107" t="inlineStr">
        <is>
          <t>ÖREBRO LÄN</t>
        </is>
      </c>
      <c r="G107" t="inlineStr">
        <is>
          <t>DEGERFORS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46224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37333-2025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45876</v>
      </c>
      <c r="E109" s="1" t="n">
        <v>46224</v>
      </c>
      <c r="F109" t="inlineStr">
        <is>
          <t>ÖREBRO LÄN</t>
        </is>
      </c>
      <c r="G109" t="inlineStr">
        <is>
          <t>DEGERFORS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45876</v>
      </c>
      <c r="E110" s="1" t="n">
        <v>46224</v>
      </c>
      <c r="F110" t="inlineStr">
        <is>
          <t>ÖREBRO LÄN</t>
        </is>
      </c>
      <c r="G110" t="inlineStr">
        <is>
          <t>DEGERFORS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46224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46224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46224</v>
      </c>
      <c r="F113" t="inlineStr">
        <is>
          <t>ÖREBRO LÄN</t>
        </is>
      </c>
      <c r="G113" t="inlineStr">
        <is>
          <t>DEGERFORS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46224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46224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46224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46224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38233-2023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45160</v>
      </c>
      <c r="E118" s="1" t="n">
        <v>46224</v>
      </c>
      <c r="F118" t="inlineStr">
        <is>
          <t>ÖREBRO LÄN</t>
        </is>
      </c>
      <c r="G118" t="inlineStr">
        <is>
          <t>DEGERFORS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46224</v>
      </c>
      <c r="F119" t="inlineStr">
        <is>
          <t>ÖREBRO LÄN</t>
        </is>
      </c>
      <c r="G119" t="inlineStr">
        <is>
          <t>DEGERFORS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10674-2024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45369</v>
      </c>
      <c r="E120" s="1" t="n">
        <v>46224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46224</v>
      </c>
      <c r="F121" t="inlineStr">
        <is>
          <t>ÖREBRO LÄN</t>
        </is>
      </c>
      <c r="G121" t="inlineStr">
        <is>
          <t>DEGERFORS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46224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46224</v>
      </c>
      <c r="F123" t="inlineStr">
        <is>
          <t>ÖREBRO LÄN</t>
        </is>
      </c>
      <c r="G123" t="inlineStr">
        <is>
          <t>DEGERFORS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73693-2021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44552</v>
      </c>
      <c r="E124" s="1" t="n">
        <v>46224</v>
      </c>
      <c r="F124" t="inlineStr">
        <is>
          <t>ÖREBRO LÄN</t>
        </is>
      </c>
      <c r="G124" t="inlineStr">
        <is>
          <t>DEGERFORS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46224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46224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46224</v>
      </c>
      <c r="F127" t="inlineStr">
        <is>
          <t>ÖREBRO LÄN</t>
        </is>
      </c>
      <c r="G127" t="inlineStr">
        <is>
          <t>DEGERFORS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45629</v>
      </c>
      <c r="E128" s="1" t="n">
        <v>46224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12148-2025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45729</v>
      </c>
      <c r="E129" s="1" t="n">
        <v>46224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45351</v>
      </c>
      <c r="E130" s="1" t="n">
        <v>46224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46224</v>
      </c>
      <c r="F131" t="inlineStr">
        <is>
          <t>ÖREBRO LÄN</t>
        </is>
      </c>
      <c r="G131" t="inlineStr">
        <is>
          <t>DEGERFORS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46086</v>
      </c>
      <c r="E132" s="1" t="n">
        <v>46224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46224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21952-2024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45443</v>
      </c>
      <c r="E134" s="1" t="n">
        <v>46224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46224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46224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46224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46224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46224</v>
      </c>
      <c r="F139" t="inlineStr">
        <is>
          <t>ÖREBRO LÄN</t>
        </is>
      </c>
      <c r="G139" t="inlineStr">
        <is>
          <t>DEGERFORS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12143-2025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45729</v>
      </c>
      <c r="E140" s="1" t="n">
        <v>46224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46224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20577-2023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45057</v>
      </c>
      <c r="E142" s="1" t="n">
        <v>46224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45192</v>
      </c>
      <c r="E143" s="1" t="n">
        <v>46224</v>
      </c>
      <c r="F143" t="inlineStr">
        <is>
          <t>ÖREBRO LÄN</t>
        </is>
      </c>
      <c r="G143" t="inlineStr">
        <is>
          <t>DEGERFORS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45338</v>
      </c>
      <c r="E144" s="1" t="n">
        <v>46224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46224</v>
      </c>
      <c r="F145" t="inlineStr">
        <is>
          <t>ÖREBRO LÄN</t>
        </is>
      </c>
      <c r="G145" t="inlineStr">
        <is>
          <t>DEGERFORS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6394-2024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45338</v>
      </c>
      <c r="E146" s="1" t="n">
        <v>46224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46129</v>
      </c>
      <c r="E147" s="1" t="n">
        <v>46224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46224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46224</v>
      </c>
      <c r="F149" t="inlineStr">
        <is>
          <t>ÖREBRO LÄN</t>
        </is>
      </c>
      <c r="G149" t="inlineStr">
        <is>
          <t>DEGERFORS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46224</v>
      </c>
      <c r="F150" t="inlineStr">
        <is>
          <t>ÖREBRO LÄN</t>
        </is>
      </c>
      <c r="G150" t="inlineStr">
        <is>
          <t>DEGERFORS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45330</v>
      </c>
      <c r="E151" s="1" t="n">
        <v>46224</v>
      </c>
      <c r="F151" t="inlineStr">
        <is>
          <t>ÖREBRO LÄN</t>
        </is>
      </c>
      <c r="G151" t="inlineStr">
        <is>
          <t>DEGERFORS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46224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45116</v>
      </c>
      <c r="E153" s="1" t="n">
        <v>46224</v>
      </c>
      <c r="F153" t="inlineStr">
        <is>
          <t>ÖREBRO LÄN</t>
        </is>
      </c>
      <c r="G153" t="inlineStr">
        <is>
          <t>DEGERFORS</t>
        </is>
      </c>
      <c r="I153" t="n">
        <v>17.2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46224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46224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46224</v>
      </c>
      <c r="F156" t="inlineStr">
        <is>
          <t>ÖREBRO LÄN</t>
        </is>
      </c>
      <c r="G156" t="inlineStr">
        <is>
          <t>DEGERFORS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46224</v>
      </c>
      <c r="F157" t="inlineStr">
        <is>
          <t>ÖREBRO LÄN</t>
        </is>
      </c>
      <c r="G157" t="inlineStr">
        <is>
          <t>DEGERFORS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44781</v>
      </c>
      <c r="E158" s="1" t="n">
        <v>46224</v>
      </c>
      <c r="F158" t="inlineStr">
        <is>
          <t>ÖREBRO LÄN</t>
        </is>
      </c>
      <c r="G158" t="inlineStr">
        <is>
          <t>DEGERFORS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46224</v>
      </c>
      <c r="F159" t="inlineStr">
        <is>
          <t>ÖREBRO LÄN</t>
        </is>
      </c>
      <c r="G159" t="inlineStr">
        <is>
          <t>DEGERFORS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46224</v>
      </c>
      <c r="F160" t="inlineStr">
        <is>
          <t>ÖREBRO LÄN</t>
        </is>
      </c>
      <c r="G160" t="inlineStr">
        <is>
          <t>DEGERFORS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46224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46224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46224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46224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46224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46224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46224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46224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46189</v>
      </c>
      <c r="E169" s="1" t="n">
        <v>46224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46224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46224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46224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46224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21402-2026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46224</v>
      </c>
      <c r="F174" t="inlineStr">
        <is>
          <t>ÖREBRO LÄN</t>
        </is>
      </c>
      <c r="G174" t="inlineStr">
        <is>
          <t>DEGERFORS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46224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46224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46224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46224</v>
      </c>
      <c r="F178" t="inlineStr">
        <is>
          <t>ÖREBRO LÄN</t>
        </is>
      </c>
      <c r="G178" t="inlineStr">
        <is>
          <t>DEGERFORS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46224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46224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63905-2021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46224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46190</v>
      </c>
      <c r="E182" s="1" t="n">
        <v>46224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46224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46224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46224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46224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46224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46224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44735-2021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46224</v>
      </c>
      <c r="F189" t="inlineStr">
        <is>
          <t>ÖREBRO LÄN</t>
        </is>
      </c>
      <c r="G189" t="inlineStr">
        <is>
          <t>DEGERFORS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46224</v>
      </c>
      <c r="F190" t="inlineStr">
        <is>
          <t>ÖREBRO LÄN</t>
        </is>
      </c>
      <c r="G190" t="inlineStr">
        <is>
          <t>DEGERFORS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46224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59158-2022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44904</v>
      </c>
      <c r="E192" s="1" t="n">
        <v>46224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46224</v>
      </c>
      <c r="F193" t="inlineStr">
        <is>
          <t>ÖREBRO LÄN</t>
        </is>
      </c>
      <c r="G193" t="inlineStr">
        <is>
          <t>DEGERFORS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46224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46224</v>
      </c>
      <c r="F195" t="inlineStr">
        <is>
          <t>ÖREBRO LÄN</t>
        </is>
      </c>
      <c r="G195" t="inlineStr">
        <is>
          <t>DEGERFORS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46224</v>
      </c>
      <c r="F196" t="inlineStr">
        <is>
          <t>ÖREBRO LÄN</t>
        </is>
      </c>
      <c r="G196" t="inlineStr">
        <is>
          <t>DEGERFORS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46224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46224</v>
      </c>
      <c r="F198" t="inlineStr">
        <is>
          <t>ÖREBRO LÄN</t>
        </is>
      </c>
      <c r="G198" t="inlineStr">
        <is>
          <t>DEGERFORS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46224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44989</v>
      </c>
      <c r="E200" s="1" t="n">
        <v>46224</v>
      </c>
      <c r="F200" t="inlineStr">
        <is>
          <t>ÖREBRO LÄN</t>
        </is>
      </c>
      <c r="G200" t="inlineStr">
        <is>
          <t>DEGERFORS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44986</v>
      </c>
      <c r="E201" s="1" t="n">
        <v>46224</v>
      </c>
      <c r="F201" t="inlineStr">
        <is>
          <t>ÖREBRO LÄN</t>
        </is>
      </c>
      <c r="G201" t="inlineStr">
        <is>
          <t>DEGERFORS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46224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45520</v>
      </c>
      <c r="E203" s="1" t="n">
        <v>46224</v>
      </c>
      <c r="F203" t="inlineStr">
        <is>
          <t>ÖREBRO LÄN</t>
        </is>
      </c>
      <c r="G203" t="inlineStr">
        <is>
          <t>DEGERFORS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46202</v>
      </c>
      <c r="E204" s="1" t="n">
        <v>46224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46224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45195</v>
      </c>
      <c r="E206" s="1" t="n">
        <v>46224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45569</v>
      </c>
      <c r="E207" s="1" t="n">
        <v>46224</v>
      </c>
      <c r="F207" t="inlineStr">
        <is>
          <t>ÖREBRO LÄN</t>
        </is>
      </c>
      <c r="G207" t="inlineStr">
        <is>
          <t>DEGERFORS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46224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46224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14678-2025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45742</v>
      </c>
      <c r="E210" s="1" t="n">
        <v>46224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46224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46224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44816</v>
      </c>
      <c r="E213" s="1" t="n">
        <v>46224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44463</v>
      </c>
      <c r="E214" s="1" t="n">
        <v>46224</v>
      </c>
      <c r="F214" t="inlineStr">
        <is>
          <t>ÖREBRO LÄN</t>
        </is>
      </c>
      <c r="G214" t="inlineStr">
        <is>
          <t>DEGERFORS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46224</v>
      </c>
      <c r="F215" t="inlineStr">
        <is>
          <t>ÖREBRO LÄN</t>
        </is>
      </c>
      <c r="G215" t="inlineStr">
        <is>
          <t>DEGERFORS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46224</v>
      </c>
      <c r="F216" t="inlineStr">
        <is>
          <t>ÖREBRO LÄN</t>
        </is>
      </c>
      <c r="G216" t="inlineStr">
        <is>
          <t>DEGERFORS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61750-2021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46224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46224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46224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46224</v>
      </c>
      <c r="F220" t="inlineStr">
        <is>
          <t>ÖREBRO LÄN</t>
        </is>
      </c>
      <c r="G220" t="inlineStr">
        <is>
          <t>DEGERFORS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46224</v>
      </c>
      <c r="F221" t="inlineStr">
        <is>
          <t>ÖREBRO LÄN</t>
        </is>
      </c>
      <c r="G221" t="inlineStr">
        <is>
          <t>DEGERFORS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46224</v>
      </c>
      <c r="F222" t="inlineStr">
        <is>
          <t>ÖREBRO LÄN</t>
        </is>
      </c>
      <c r="G222" t="inlineStr">
        <is>
          <t>DEGERFORS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46224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32154-2023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46224</v>
      </c>
      <c r="F224" t="inlineStr">
        <is>
          <t>ÖREBRO LÄN</t>
        </is>
      </c>
      <c r="G224" t="inlineStr">
        <is>
          <t>DEGERFORS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46224</v>
      </c>
      <c r="F225" t="inlineStr">
        <is>
          <t>ÖREBRO LÄN</t>
        </is>
      </c>
      <c r="G225" t="inlineStr">
        <is>
          <t>DEGERFORS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46224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46224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46224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46224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46224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46224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46224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46224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2026-07-21T01:36:21Z</dcterms:created>
  <dcterms:modified xmlns:dcterms="http://purl.org/dc/terms/" xmlns:xsi="http://www.w3.org/2001/XMLSchema-instance" xsi:type="dcterms:W3CDTF">2026-07-21T01:36:22Z</dcterms:modified>
</cp:coreProperties>
</file>