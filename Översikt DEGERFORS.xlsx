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46284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46284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46284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46284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46284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46284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46284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46284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46284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46284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46284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46284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46284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46284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46284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46284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46284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46284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46284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46284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46284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46284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46284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49306-2025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45938</v>
      </c>
      <c r="E41" s="1" t="n">
        <v>46284</v>
      </c>
      <c r="F41" t="inlineStr">
        <is>
          <t>ÖREBRO LÄN</t>
        </is>
      </c>
      <c r="G41" t="inlineStr">
        <is>
          <t>DEGERFORS</t>
        </is>
      </c>
      <c r="I41" t="n">
        <v>5.8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HYPERLINK("https://klasma.github.io/Logging_1862/artfynd/A 49306-2025 artfynd.xlsx", "A 49306-2025")</f>
        <v/>
      </c>
      <c r="X41">
        <f>HYPERLINK("https://klasma.github.io/Logging_1862/kartor/A 49306-2025 karta.png", "A 49306-2025")</f>
        <v/>
      </c>
      <c r="Y41">
        <f>HYPERLINK("https://klasma.github.io/Logging_1862/kartor_geotiff/A 49306-2025 georefererad karta.tif", "A 49306-2025")</f>
        <v/>
      </c>
      <c r="AA41">
        <f>HYPERLINK("https://klasma.github.io/Logging_1862/klagomål/A 49306-2025 FSC-klagomål.docx", "A 49306-2025")</f>
        <v/>
      </c>
      <c r="AB41">
        <f>HYPERLINK("https://klasma.github.io/Logging_1862/klagomålsmail/A 49306-2025 FSC-klagomål mail.docx", "A 49306-2025")</f>
        <v/>
      </c>
      <c r="AC41">
        <f>HYPERLINK("https://klasma.github.io/Logging_1862/tillsyn/A 49306-2025 tillsynsbegäran.docx", "A 49306-2025")</f>
        <v/>
      </c>
      <c r="AD41">
        <f>HYPERLINK("https://klasma.github.io/Logging_1862/tillsynsmail/A 49306-2025 tillsynsbegäran mail.docx", "A 49306-2025")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46284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46284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47941-2024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46284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HYPERLINK("https://klasma.github.io/Logging_1862/artfynd/A 47941-2024 artfynd.xlsx", "A 47941-2024")</f>
        <v/>
      </c>
      <c r="X44">
        <f>HYPERLINK("https://klasma.github.io/Logging_1862/kartor/A 47941-2024 karta.png", "A 47941-2024")</f>
        <v/>
      </c>
      <c r="Y44">
        <f>HYPERLINK("https://klasma.github.io/Logging_1862/kartor_geotiff/A 47941-2024 georefererad karta.tif", "A 47941-2024")</f>
        <v/>
      </c>
      <c r="AA44">
        <f>HYPERLINK("https://klasma.github.io/Logging_1862/klagomål/A 47941-2024 FSC-klagomål.docx", "A 47941-2024")</f>
        <v/>
      </c>
      <c r="AB44">
        <f>HYPERLINK("https://klasma.github.io/Logging_1862/klagomålsmail/A 47941-2024 FSC-klagomål mail.docx", "A 47941-2024")</f>
        <v/>
      </c>
      <c r="AC44">
        <f>HYPERLINK("https://klasma.github.io/Logging_1862/tillsyn/A 47941-2024 tillsynsbegäran.docx", "A 47941-2024")</f>
        <v/>
      </c>
      <c r="AD44">
        <f>HYPERLINK("https://klasma.github.io/Logging_1862/tillsynsmail/A 47941-2024 tillsynsbegäran mail.docx", "A 47941-2024")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46284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46284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27072-2026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46284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7.6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27072-2026 artfynd.xlsx", "A 27072-2026")</f>
        <v/>
      </c>
      <c r="X47">
        <f>HYPERLINK("https://klasma.github.io/Logging_1862/kartor/A 27072-2026 karta.png", "A 27072-2026")</f>
        <v/>
      </c>
      <c r="Y47">
        <f>HYPERLINK("https://klasma.github.io/Logging_1862/kartor_geotiff/A 27072-2026 georefererad karta.tif", "A 27072-2026")</f>
        <v/>
      </c>
      <c r="AA47">
        <f>HYPERLINK("https://klasma.github.io/Logging_1862/klagomål/A 27072-2026 FSC-klagomål.docx", "A 27072-2026")</f>
        <v/>
      </c>
      <c r="AB47">
        <f>HYPERLINK("https://klasma.github.io/Logging_1862/klagomålsmail/A 27072-2026 FSC-klagomål mail.docx", "A 27072-2026")</f>
        <v/>
      </c>
      <c r="AC47">
        <f>HYPERLINK("https://klasma.github.io/Logging_1862/tillsyn/A 27072-2026 tillsynsbegäran.docx", "A 27072-2026")</f>
        <v/>
      </c>
      <c r="AD47">
        <f>HYPERLINK("https://klasma.github.io/Logging_1862/tillsynsmail/A 27072-2026 tillsynsbegäran mail.docx", "A 27072-2026")</f>
        <v/>
      </c>
      <c r="AE47">
        <f>HYPERLINK("https://klasma.github.io/Logging_1862/fåglar/A 27072-2026 prioriterade fågelarter.docx", "A 27072-2026")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46284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46284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46284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46284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46284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46284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46284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46284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46284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46284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46284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46284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46284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46284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46284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46284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46284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46284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46284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46284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46284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46284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46284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46284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46284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46284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46284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46284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46284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46284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46284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46284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46284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46284</v>
      </c>
      <c r="F83" t="inlineStr">
        <is>
          <t>ÖREBRO LÄN</t>
        </is>
      </c>
      <c r="G83" t="inlineStr">
        <is>
          <t>DEGERFORS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46284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46284</v>
      </c>
      <c r="F85" t="inlineStr">
        <is>
          <t>ÖREBRO LÄN</t>
        </is>
      </c>
      <c r="G85" t="inlineStr">
        <is>
          <t>DEGERFORS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46284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46284</v>
      </c>
      <c r="F87" t="inlineStr">
        <is>
          <t>ÖREBRO LÄN</t>
        </is>
      </c>
      <c r="G87" t="inlineStr">
        <is>
          <t>DEGERFORS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54994-2024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45621</v>
      </c>
      <c r="E88" s="1" t="n">
        <v>46284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46284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45735</v>
      </c>
      <c r="E90" s="1" t="n">
        <v>46284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38233-2023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45160</v>
      </c>
      <c r="E91" s="1" t="n">
        <v>46284</v>
      </c>
      <c r="F91" t="inlineStr">
        <is>
          <t>ÖREBRO LÄN</t>
        </is>
      </c>
      <c r="G91" t="inlineStr">
        <is>
          <t>DEGERFORS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46284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10674-2024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45369</v>
      </c>
      <c r="E93" s="1" t="n">
        <v>46284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46284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73693-2021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46284</v>
      </c>
      <c r="F95" t="inlineStr">
        <is>
          <t>ÖREBRO LÄN</t>
        </is>
      </c>
      <c r="G95" t="inlineStr">
        <is>
          <t>DEGERFORS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46284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46284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46284</v>
      </c>
      <c r="F98" t="inlineStr">
        <is>
          <t>ÖREBRO LÄN</t>
        </is>
      </c>
      <c r="G98" t="inlineStr">
        <is>
          <t>DEGERFORS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46284</v>
      </c>
      <c r="F99" t="inlineStr">
        <is>
          <t>ÖREBRO LÄN</t>
        </is>
      </c>
      <c r="G99" t="inlineStr">
        <is>
          <t>DEGERFORS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46284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46284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46284</v>
      </c>
      <c r="F102" t="inlineStr">
        <is>
          <t>ÖREBRO LÄN</t>
        </is>
      </c>
      <c r="G102" t="inlineStr">
        <is>
          <t>DEGERFORS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46284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46284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46284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45912</v>
      </c>
      <c r="E106" s="1" t="n">
        <v>46284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45629</v>
      </c>
      <c r="E107" s="1" t="n">
        <v>46284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46284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43689-2025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45912</v>
      </c>
      <c r="E109" s="1" t="n">
        <v>46284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46284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45351</v>
      </c>
      <c r="E111" s="1" t="n">
        <v>46284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46284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21952-2024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45443</v>
      </c>
      <c r="E113" s="1" t="n">
        <v>46284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46284</v>
      </c>
      <c r="F114" t="inlineStr">
        <is>
          <t>ÖREBRO LÄN</t>
        </is>
      </c>
      <c r="G114" t="inlineStr">
        <is>
          <t>DEGERFORS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46284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46148</v>
      </c>
      <c r="E116" s="1" t="n">
        <v>46284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46284</v>
      </c>
      <c r="F117" t="inlineStr">
        <is>
          <t>ÖREBRO LÄN</t>
        </is>
      </c>
      <c r="G117" t="inlineStr">
        <is>
          <t>DEGERFORS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46284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46284</v>
      </c>
      <c r="F119" t="inlineStr">
        <is>
          <t>ÖREBRO LÄN</t>
        </is>
      </c>
      <c r="G119" t="inlineStr">
        <is>
          <t>DEGERFORS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46284</v>
      </c>
      <c r="F120" t="inlineStr">
        <is>
          <t>ÖREBRO LÄN</t>
        </is>
      </c>
      <c r="G120" t="inlineStr">
        <is>
          <t>DEGERFORS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45729</v>
      </c>
      <c r="E121" s="1" t="n">
        <v>46284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46284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46284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20577-2023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45057</v>
      </c>
      <c r="E124" s="1" t="n">
        <v>46284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45192</v>
      </c>
      <c r="E125" s="1" t="n">
        <v>46284</v>
      </c>
      <c r="F125" t="inlineStr">
        <is>
          <t>ÖREBRO LÄN</t>
        </is>
      </c>
      <c r="G125" t="inlineStr">
        <is>
          <t>DEGERFORS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46284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45338</v>
      </c>
      <c r="E127" s="1" t="n">
        <v>46284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46284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57086-2025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45979</v>
      </c>
      <c r="E129" s="1" t="n">
        <v>46284</v>
      </c>
      <c r="F129" t="inlineStr">
        <is>
          <t>ÖREBRO LÄN</t>
        </is>
      </c>
      <c r="G129" t="inlineStr">
        <is>
          <t>DEGERFORS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46284</v>
      </c>
      <c r="F130" t="inlineStr">
        <is>
          <t>ÖREBRO LÄN</t>
        </is>
      </c>
      <c r="G130" t="inlineStr">
        <is>
          <t>DEGERFORS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46284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6394-2024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45338</v>
      </c>
      <c r="E132" s="1" t="n">
        <v>46284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46284</v>
      </c>
      <c r="F133" t="inlineStr">
        <is>
          <t>ÖREBRO LÄN</t>
        </is>
      </c>
      <c r="G133" t="inlineStr">
        <is>
          <t>DEGERFORS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46162</v>
      </c>
      <c r="E134" s="1" t="n">
        <v>46284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46162</v>
      </c>
      <c r="E135" s="1" t="n">
        <v>46284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14678-2025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45742</v>
      </c>
      <c r="E136" s="1" t="n">
        <v>46284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45996</v>
      </c>
      <c r="E137" s="1" t="n">
        <v>46284</v>
      </c>
      <c r="F137" t="inlineStr">
        <is>
          <t>ÖREBRO LÄN</t>
        </is>
      </c>
      <c r="G137" t="inlineStr">
        <is>
          <t>DEGERFORS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45996</v>
      </c>
      <c r="E138" s="1" t="n">
        <v>46284</v>
      </c>
      <c r="F138" t="inlineStr">
        <is>
          <t>ÖREBRO LÄN</t>
        </is>
      </c>
      <c r="G138" t="inlineStr">
        <is>
          <t>DEGERFORS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46284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46284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46284</v>
      </c>
      <c r="F141" t="inlineStr">
        <is>
          <t>ÖREBRO LÄN</t>
        </is>
      </c>
      <c r="G141" t="inlineStr">
        <is>
          <t>DEGERFORS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45601</v>
      </c>
      <c r="E142" s="1" t="n">
        <v>46284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45116</v>
      </c>
      <c r="E143" s="1" t="n">
        <v>46284</v>
      </c>
      <c r="F143" t="inlineStr">
        <is>
          <t>ÖREBRO LÄN</t>
        </is>
      </c>
      <c r="G143" t="inlineStr">
        <is>
          <t>DEGERFORS</t>
        </is>
      </c>
      <c r="I143" t="n">
        <v>17.2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46284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45190</v>
      </c>
      <c r="E145" s="1" t="n">
        <v>46284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46284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46284</v>
      </c>
      <c r="F147" t="inlineStr">
        <is>
          <t>ÖREBRO LÄN</t>
        </is>
      </c>
      <c r="G147" t="inlineStr">
        <is>
          <t>DEGERFORS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46027</v>
      </c>
      <c r="E148" s="1" t="n">
        <v>46284</v>
      </c>
      <c r="F148" t="inlineStr">
        <is>
          <t>ÖREBRO LÄN</t>
        </is>
      </c>
      <c r="G148" t="inlineStr">
        <is>
          <t>DEGERFORS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46284</v>
      </c>
      <c r="F149" t="inlineStr">
        <is>
          <t>ÖREBRO LÄN</t>
        </is>
      </c>
      <c r="G149" t="inlineStr">
        <is>
          <t>DEGERFORS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46284</v>
      </c>
      <c r="F150" t="inlineStr">
        <is>
          <t>ÖREBRO LÄN</t>
        </is>
      </c>
      <c r="G150" t="inlineStr">
        <is>
          <t>DEGERFORS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46284</v>
      </c>
      <c r="F151" t="inlineStr">
        <is>
          <t>ÖREBRO LÄN</t>
        </is>
      </c>
      <c r="G151" t="inlineStr">
        <is>
          <t>DEGERFORS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46284</v>
      </c>
      <c r="F152" t="inlineStr">
        <is>
          <t>ÖREBRO LÄN</t>
        </is>
      </c>
      <c r="G152" t="inlineStr">
        <is>
          <t>DEGERFORS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46284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24689-2026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46284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46070</v>
      </c>
      <c r="E155" s="1" t="n">
        <v>46284</v>
      </c>
      <c r="F155" t="inlineStr">
        <is>
          <t>ÖREBRO LÄN</t>
        </is>
      </c>
      <c r="G155" t="inlineStr">
        <is>
          <t>DEGERFORS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46284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12160-2026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46086</v>
      </c>
      <c r="E157" s="1" t="n">
        <v>46284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46284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46284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46185</v>
      </c>
      <c r="E160" s="1" t="n">
        <v>46284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63905-2021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46284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46284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46284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46284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46284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46284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46284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45589</v>
      </c>
      <c r="E168" s="1" t="n">
        <v>46284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46284</v>
      </c>
      <c r="F169" t="inlineStr">
        <is>
          <t>ÖREBRO LÄN</t>
        </is>
      </c>
      <c r="G169" t="inlineStr">
        <is>
          <t>DEGERFORS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46284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46284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46284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46284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46284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46284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46284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45106</v>
      </c>
      <c r="E177" s="1" t="n">
        <v>46284</v>
      </c>
      <c r="F177" t="inlineStr">
        <is>
          <t>ÖREBRO LÄN</t>
        </is>
      </c>
      <c r="G177" t="inlineStr">
        <is>
          <t>DEGERFORS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59158-2022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44904</v>
      </c>
      <c r="E178" s="1" t="n">
        <v>46284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46284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46199</v>
      </c>
      <c r="E180" s="1" t="n">
        <v>46284</v>
      </c>
      <c r="F180" t="inlineStr">
        <is>
          <t>ÖREBRO LÄN</t>
        </is>
      </c>
      <c r="G180" t="inlineStr">
        <is>
          <t>DEGERFORS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46284</v>
      </c>
      <c r="F181" t="inlineStr">
        <is>
          <t>ÖREBRO LÄN</t>
        </is>
      </c>
      <c r="G181" t="inlineStr">
        <is>
          <t>DEGERFORS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44986</v>
      </c>
      <c r="E182" s="1" t="n">
        <v>46284</v>
      </c>
      <c r="F182" t="inlineStr">
        <is>
          <t>ÖREBRO LÄN</t>
        </is>
      </c>
      <c r="G182" t="inlineStr">
        <is>
          <t>DEGERFORS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46284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46284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44989</v>
      </c>
      <c r="E185" s="1" t="n">
        <v>46284</v>
      </c>
      <c r="F185" t="inlineStr">
        <is>
          <t>ÖREBRO LÄN</t>
        </is>
      </c>
      <c r="G185" t="inlineStr">
        <is>
          <t>DEGERFORS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44986</v>
      </c>
      <c r="E186" s="1" t="n">
        <v>46284</v>
      </c>
      <c r="F186" t="inlineStr">
        <is>
          <t>ÖREBRO LÄN</t>
        </is>
      </c>
      <c r="G186" t="inlineStr">
        <is>
          <t>DEGERFORS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46284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45520</v>
      </c>
      <c r="E188" s="1" t="n">
        <v>46284</v>
      </c>
      <c r="F188" t="inlineStr">
        <is>
          <t>ÖREBRO LÄN</t>
        </is>
      </c>
      <c r="G188" t="inlineStr">
        <is>
          <t>DEGERFORS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46284</v>
      </c>
      <c r="F189" t="inlineStr">
        <is>
          <t>ÖREBRO LÄN</t>
        </is>
      </c>
      <c r="G189" t="inlineStr">
        <is>
          <t>DEGERFORS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46284</v>
      </c>
      <c r="F190" t="inlineStr">
        <is>
          <t>ÖREBRO LÄN</t>
        </is>
      </c>
      <c r="G190" t="inlineStr">
        <is>
          <t>DEGERFORS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45861-2023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45195</v>
      </c>
      <c r="E191" s="1" t="n">
        <v>46284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46284</v>
      </c>
      <c r="F192" t="inlineStr">
        <is>
          <t>ÖREBRO LÄN</t>
        </is>
      </c>
      <c r="G192" t="inlineStr">
        <is>
          <t>DEGERFORS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46284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46284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46284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61750-2021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46284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46284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46284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46284</v>
      </c>
      <c r="F199" t="inlineStr">
        <is>
          <t>ÖREBRO LÄN</t>
        </is>
      </c>
      <c r="G199" t="inlineStr">
        <is>
          <t>DEGERFORS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46284</v>
      </c>
      <c r="F200" t="inlineStr">
        <is>
          <t>ÖREBRO LÄN</t>
        </is>
      </c>
      <c r="G200" t="inlineStr">
        <is>
          <t>DEGERFORS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46284</v>
      </c>
      <c r="F201" t="inlineStr">
        <is>
          <t>ÖREBRO LÄN</t>
        </is>
      </c>
      <c r="G201" t="inlineStr">
        <is>
          <t>DEGERFORS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46284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46268</v>
      </c>
      <c r="E203" s="1" t="n">
        <v>46284</v>
      </c>
      <c r="F203" t="inlineStr">
        <is>
          <t>ÖREBRO LÄN</t>
        </is>
      </c>
      <c r="G203" t="inlineStr">
        <is>
          <t>DEGERFORS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46268</v>
      </c>
      <c r="E204" s="1" t="n">
        <v>46284</v>
      </c>
      <c r="F204" t="inlineStr">
        <is>
          <t>ÖREBRO LÄN</t>
        </is>
      </c>
      <c r="G204" t="inlineStr">
        <is>
          <t>DEGERFORS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46284</v>
      </c>
      <c r="F205" t="inlineStr">
        <is>
          <t>ÖREBRO LÄN</t>
        </is>
      </c>
      <c r="G205" t="inlineStr">
        <is>
          <t>DEGERFORS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46268</v>
      </c>
      <c r="E206" s="1" t="n">
        <v>46284</v>
      </c>
      <c r="F206" t="inlineStr">
        <is>
          <t>ÖREBRO LÄN</t>
        </is>
      </c>
      <c r="G206" t="inlineStr">
        <is>
          <t>DEGERFORS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46284</v>
      </c>
      <c r="F207" t="inlineStr">
        <is>
          <t>ÖREBRO LÄN</t>
        </is>
      </c>
      <c r="G207" t="inlineStr">
        <is>
          <t>DEGERFORS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46230</v>
      </c>
      <c r="E208" s="1" t="n">
        <v>46284</v>
      </c>
      <c r="F208" t="inlineStr">
        <is>
          <t>ÖREBRO LÄN</t>
        </is>
      </c>
      <c r="G208" t="inlineStr">
        <is>
          <t>DEGERFORS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46284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46284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46284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45223</v>
      </c>
      <c r="E212" s="1" t="n">
        <v>46284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46231</v>
      </c>
      <c r="E213" s="1" t="n">
        <v>46284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46284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46284</v>
      </c>
      <c r="F215" t="inlineStr">
        <is>
          <t>ÖREBRO LÄN</t>
        </is>
      </c>
      <c r="G215" t="inlineStr">
        <is>
          <t>DEGERFORS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46284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46284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46284</v>
      </c>
      <c r="F218" t="inlineStr">
        <is>
          <t>ÖREBRO LÄN</t>
        </is>
      </c>
      <c r="G218" t="inlineStr">
        <is>
          <t>DEGERFORS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46284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46284</v>
      </c>
      <c r="F220" t="inlineStr">
        <is>
          <t>ÖREBRO LÄN</t>
        </is>
      </c>
      <c r="G220" t="inlineStr">
        <is>
          <t>DEGERFORS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46284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46283</v>
      </c>
      <c r="E222" s="1" t="n">
        <v>46284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46282</v>
      </c>
      <c r="E223" s="1" t="n">
        <v>46284</v>
      </c>
      <c r="F223" t="inlineStr">
        <is>
          <t>ÖREBRO LÄN</t>
        </is>
      </c>
      <c r="G223" t="inlineStr">
        <is>
          <t>DEGERFORS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46284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46283</v>
      </c>
      <c r="E225" s="1" t="n">
        <v>46284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46284</v>
      </c>
      <c r="F226" t="inlineStr">
        <is>
          <t>ÖREBRO LÄN</t>
        </is>
      </c>
      <c r="G226" t="inlineStr">
        <is>
          <t>DEGERFORS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46284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46284</v>
      </c>
      <c r="F228" t="inlineStr">
        <is>
          <t>ÖREBRO LÄN</t>
        </is>
      </c>
      <c r="G228" t="inlineStr">
        <is>
          <t>DEGERFORS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46284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46284</v>
      </c>
      <c r="F230" t="inlineStr">
        <is>
          <t>ÖREBRO LÄN</t>
        </is>
      </c>
      <c r="G230" t="inlineStr">
        <is>
          <t>DEGERFORS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46284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45819</v>
      </c>
      <c r="E232" s="1" t="n">
        <v>46284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44719</v>
      </c>
      <c r="E233" s="1" t="n">
        <v>46284</v>
      </c>
      <c r="F233" t="inlineStr">
        <is>
          <t>ÖREBRO LÄN</t>
        </is>
      </c>
      <c r="G233" t="inlineStr">
        <is>
          <t>DEGERFORS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46284</v>
      </c>
      <c r="F234" t="inlineStr">
        <is>
          <t>ÖREBRO LÄN</t>
        </is>
      </c>
      <c r="G234" t="inlineStr">
        <is>
          <t>DEGERFORS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45639</v>
      </c>
      <c r="E235" s="1" t="n">
        <v>46284</v>
      </c>
      <c r="F235" t="inlineStr">
        <is>
          <t>ÖREBRO LÄN</t>
        </is>
      </c>
      <c r="G235" t="inlineStr">
        <is>
          <t>DEGERFORS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37333-2025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45876</v>
      </c>
      <c r="E236" s="1" t="n">
        <v>46284</v>
      </c>
      <c r="F236" t="inlineStr">
        <is>
          <t>ÖREBRO LÄN</t>
        </is>
      </c>
      <c r="G236" t="inlineStr">
        <is>
          <t>DEGERFORS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45876</v>
      </c>
      <c r="E237" s="1" t="n">
        <v>46284</v>
      </c>
      <c r="F237" t="inlineStr">
        <is>
          <t>ÖREBRO LÄN</t>
        </is>
      </c>
      <c r="G237" t="inlineStr">
        <is>
          <t>DEGERFORS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45747</v>
      </c>
      <c r="E238" s="1" t="n">
        <v>46284</v>
      </c>
      <c r="F238" t="inlineStr">
        <is>
          <t>ÖREBRO LÄN</t>
        </is>
      </c>
      <c r="G238" t="inlineStr">
        <is>
          <t>DEGERFORS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479-2022</t>
        </is>
      </c>
      <c r="B239" t="inlineStr">
        <is>
          <t>samrådsanmälan</t>
        </is>
      </c>
      <c r="C239" t="inlineStr">
        <is>
          <t>Skogsbilväg</t>
        </is>
      </c>
      <c r="D239" s="1" t="n">
        <v>44587</v>
      </c>
      <c r="E239" s="1" t="n">
        <v>46284</v>
      </c>
      <c r="F239" t="inlineStr">
        <is>
          <t>ÖREBRO LÄN</t>
        </is>
      </c>
      <c r="G239" t="inlineStr">
        <is>
          <t>DEGERFORS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1697-2025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45805</v>
      </c>
      <c r="E240" s="1" t="n">
        <v>46284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1694-2025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45805</v>
      </c>
      <c r="E241" s="1" t="n">
        <v>46284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794-2025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45729</v>
      </c>
      <c r="E242" s="1" t="n">
        <v>46284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793-2025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45729</v>
      </c>
      <c r="E243" s="1" t="n">
        <v>46284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963-2025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45742</v>
      </c>
      <c r="E244" s="1" t="n">
        <v>46284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964-2025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45742</v>
      </c>
      <c r="E245" s="1" t="n">
        <v>46284</v>
      </c>
      <c r="F245" t="inlineStr">
        <is>
          <t>ÖREBRO LÄN</t>
        </is>
      </c>
      <c r="G245" t="inlineStr">
        <is>
          <t>DEGERFORS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>
      <c r="A246" t="inlineStr">
        <is>
          <t>S 2595-2025</t>
        </is>
      </c>
      <c r="B246" t="inlineStr">
        <is>
          <t>samrådsanmälan</t>
        </is>
      </c>
      <c r="C246" t="inlineStr">
        <is>
          <t>Annan skogsbruksåtgärd</t>
        </is>
      </c>
      <c r="D246" s="1" t="n">
        <v>45916</v>
      </c>
      <c r="E246" s="1" t="n">
        <v>46284</v>
      </c>
      <c r="F246" t="inlineStr">
        <is>
          <t>ÖREBRO LÄN</t>
        </is>
      </c>
      <c r="G246" t="inlineStr">
        <is>
          <t>DEGERFORS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2026-09-19T02:02:21Z</dcterms:created>
  <dcterms:modified xmlns:dcterms="http://purl.org/dc/terms/" xmlns:xsi="http://www.w3.org/2001/XMLSchema-instance" xsi:type="dcterms:W3CDTF">2026-09-19T02:02:21Z</dcterms:modified>
</cp:coreProperties>
</file>