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46303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46303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46303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46303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46303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46303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46303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46303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46303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46303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46303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36081-2025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45866</v>
      </c>
      <c r="E19" s="1" t="n">
        <v>46303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Jungfrulin
Skogsklocka
Svinrot
Springkorn</t>
        </is>
      </c>
      <c r="W19">
        <f>HYPERLINK("https://klasma.github.io/Logging_1862/artfynd/A 36081-2025 artfynd.xlsx", "A 36081-2025")</f>
        <v/>
      </c>
      <c r="X19">
        <f>HYPERLINK("https://klasma.github.io/Logging_1862/kartor/A 36081-2025 karta.png", "A 36081-2025")</f>
        <v/>
      </c>
      <c r="Y19">
        <f>HYPERLINK("https://klasma.github.io/Logging_1862/kartor_geotiff/A 36081-2025 georefererad karta.tif", "A 36081-2025")</f>
        <v/>
      </c>
      <c r="AA19">
        <f>HYPERLINK("https://klasma.github.io/Logging_1862/klagomål/A 36081-2025 FSC-klagomål.docx", "A 36081-2025")</f>
        <v/>
      </c>
      <c r="AB19">
        <f>HYPERLINK("https://klasma.github.io/Logging_1862/klagomålsmail/A 36081-2025 FSC-klagomål mail.docx", "A 36081-2025")</f>
        <v/>
      </c>
      <c r="AC19">
        <f>HYPERLINK("https://klasma.github.io/Logging_1862/tillsyn/A 36081-2025 tillsynsbegäran.docx", "A 36081-2025")</f>
        <v/>
      </c>
      <c r="AD19">
        <f>HYPERLINK("https://klasma.github.io/Logging_1862/tillsynsmail/A 36081-2025 tillsynsbegäran mail.docx", "A 36081-2025")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46303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38915-2023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46303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4.5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Mattlummer
Spillkråka
Sångsvan</t>
        </is>
      </c>
      <c r="W21">
        <f>HYPERLINK("https://klasma.github.io/Logging_1862/artfynd/A 38915-2023 artfynd.xlsx", "A 38915-2023")</f>
        <v/>
      </c>
      <c r="X21">
        <f>HYPERLINK("https://klasma.github.io/Logging_1862/kartor/A 38915-2023 karta.png", "A 38915-2023")</f>
        <v/>
      </c>
      <c r="Y21">
        <f>HYPERLINK("https://klasma.github.io/Logging_1862/kartor_geotiff/A 38915-2023 georefererad karta.tif", "A 38915-2023")</f>
        <v/>
      </c>
      <c r="AA21">
        <f>HYPERLINK("https://klasma.github.io/Logging_1862/klagomål/A 38915-2023 FSC-klagomål.docx", "A 38915-2023")</f>
        <v/>
      </c>
      <c r="AB21">
        <f>HYPERLINK("https://klasma.github.io/Logging_1862/klagomålsmail/A 38915-2023 FSC-klagomål mail.docx", "A 38915-2023")</f>
        <v/>
      </c>
      <c r="AC21">
        <f>HYPERLINK("https://klasma.github.io/Logging_1862/tillsyn/A 38915-2023 tillsynsbegäran.docx", "A 38915-2023")</f>
        <v/>
      </c>
      <c r="AD21">
        <f>HYPERLINK("https://klasma.github.io/Logging_1862/tillsynsmail/A 38915-2023 tillsynsbegäran mail.docx", "A 38915-2023")</f>
        <v/>
      </c>
      <c r="AE21">
        <f>HYPERLINK("https://klasma.github.io/Logging_1862/fåglar/A 38915-2023 prioriterade fågelarter.docx", "A 38915-2023")</f>
        <v/>
      </c>
    </row>
    <row r="22" ht="15" customHeight="1">
      <c r="A22" t="inlineStr">
        <is>
          <t>A 48284-2023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46303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6.7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9</v>
      </c>
      <c r="U22" t="n">
        <v>9</v>
      </c>
      <c r="V22" s="2" t="inlineStr">
        <is>
          <t>Tretåig hackspett
Spillkråka
Kungsfågel
Revlummer</t>
        </is>
      </c>
      <c r="W22">
        <f>HYPERLINK("https://klasma.github.io/Logging_1862/artfynd/A 48284-2023 artfynd.xlsx", "A 48284-2023")</f>
        <v/>
      </c>
      <c r="X22">
        <f>HYPERLINK("https://klasma.github.io/Logging_1862/kartor/A 48284-2023 karta.png", "A 48284-2023")</f>
        <v/>
      </c>
      <c r="Y22">
        <f>HYPERLINK("https://klasma.github.io/Logging_1862/kartor_geotiff/A 48284-2023 georefererad karta.tif", "A 48284-2023")</f>
        <v/>
      </c>
      <c r="AA22">
        <f>HYPERLINK("https://klasma.github.io/Logging_1862/klagomål/A 48284-2023 FSC-klagomål.docx", "A 48284-2023")</f>
        <v/>
      </c>
      <c r="AB22">
        <f>HYPERLINK("https://klasma.github.io/Logging_1862/klagomålsmail/A 48284-2023 FSC-klagomål mail.docx", "A 48284-2023")</f>
        <v/>
      </c>
      <c r="AC22">
        <f>HYPERLINK("https://klasma.github.io/Logging_1862/tillsyn/A 48284-2023 tillsynsbegäran.docx", "A 48284-2023")</f>
        <v/>
      </c>
      <c r="AD22">
        <f>HYPERLINK("https://klasma.github.io/Logging_1862/tillsynsmail/A 48284-2023 tillsynsbegäran mail.docx", "A 48284-2023")</f>
        <v/>
      </c>
      <c r="AE22">
        <f>HYPERLINK("https://klasma.github.io/Logging_1862/fåglar/A 48284-2023 prioriterade fågelarter.docx", "A 48284-2023")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46303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46303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46303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46303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46303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46303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46303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38914-2023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46303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38914-2023 artfynd.xlsx", "A 38914-2023")</f>
        <v/>
      </c>
      <c r="X31">
        <f>HYPERLINK("https://klasma.github.io/Logging_1862/kartor/A 38914-2023 karta.png", "A 38914-2023")</f>
        <v/>
      </c>
      <c r="Y31">
        <f>HYPERLINK("https://klasma.github.io/Logging_1862/kartor_geotiff/A 38914-2023 georefererad karta.tif", "A 38914-2023")</f>
        <v/>
      </c>
      <c r="AA31">
        <f>HYPERLINK("https://klasma.github.io/Logging_1862/klagomål/A 38914-2023 FSC-klagomål.docx", "A 38914-2023")</f>
        <v/>
      </c>
      <c r="AB31">
        <f>HYPERLINK("https://klasma.github.io/Logging_1862/klagomålsmail/A 38914-2023 FSC-klagomål mail.docx", "A 38914-2023")</f>
        <v/>
      </c>
      <c r="AC31">
        <f>HYPERLINK("https://klasma.github.io/Logging_1862/tillsyn/A 38914-2023 tillsynsbegäran.docx", "A 38914-2023")</f>
        <v/>
      </c>
      <c r="AD31">
        <f>HYPERLINK("https://klasma.github.io/Logging_1862/tillsynsmail/A 38914-2023 tillsynsbegäran mail.docx", "A 38914-2023")</f>
        <v/>
      </c>
      <c r="AE31">
        <f>HYPERLINK("https://klasma.github.io/Logging_1862/fåglar/A 38914-2023 prioriterade fågelarter.docx", "A 38914-2023")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46303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46303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46303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2357-2022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46303</v>
      </c>
      <c r="F35" t="inlineStr">
        <is>
          <t>ÖREBRO LÄN</t>
        </is>
      </c>
      <c r="G35" t="inlineStr">
        <is>
          <t>DEGERFORS</t>
        </is>
      </c>
      <c r="I35" t="n">
        <v>4.5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HYPERLINK("https://klasma.github.io/Logging_1862/artfynd/A 2357-2022 artfynd.xlsx", "A 2357-2022")</f>
        <v/>
      </c>
      <c r="X35">
        <f>HYPERLINK("https://klasma.github.io/Logging_1862/kartor/A 2357-2022 karta.png", "A 2357-2022")</f>
        <v/>
      </c>
      <c r="Y35">
        <f>HYPERLINK("https://klasma.github.io/Logging_1862/kartor_geotiff/A 2357-2022 georefererad karta.tif", "A 2357-2022")</f>
        <v/>
      </c>
      <c r="AA35">
        <f>HYPERLINK("https://klasma.github.io/Logging_1862/klagomål/A 2357-2022 FSC-klagomål.docx", "A 2357-2022")</f>
        <v/>
      </c>
      <c r="AB35">
        <f>HYPERLINK("https://klasma.github.io/Logging_1862/klagomålsmail/A 2357-2022 FSC-klagomål mail.docx", "A 2357-2022")</f>
        <v/>
      </c>
      <c r="AC35">
        <f>HYPERLINK("https://klasma.github.io/Logging_1862/tillsyn/A 2357-2022 tillsynsbegäran.docx", "A 2357-2022")</f>
        <v/>
      </c>
      <c r="AD35">
        <f>HYPERLINK("https://klasma.github.io/Logging_1862/tillsynsmail/A 2357-2022 tillsynsbegäran mail.docx", "A 2357-2022")</f>
        <v/>
      </c>
      <c r="AE35">
        <f>HYPERLINK("https://klasma.github.io/Logging_1862/fåglar/A 2357-2022 prioriterade fågelarter.docx", "A 2357-2022")</f>
        <v/>
      </c>
    </row>
    <row r="36" ht="15" customHeight="1">
      <c r="A36" t="inlineStr">
        <is>
          <t>A 53838-2024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45614</v>
      </c>
      <c r="E36" s="1" t="n">
        <v>46303</v>
      </c>
      <c r="F36" t="inlineStr">
        <is>
          <t>ÖREBRO LÄN</t>
        </is>
      </c>
      <c r="G36" t="inlineStr">
        <is>
          <t>DEGERFORS</t>
        </is>
      </c>
      <c r="I36" t="n">
        <v>4.3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HYPERLINK("https://klasma.github.io/Logging_1862/artfynd/A 53838-2024 artfynd.xlsx", "A 53838-2024")</f>
        <v/>
      </c>
      <c r="X36">
        <f>HYPERLINK("https://klasma.github.io/Logging_1862/kartor/A 53838-2024 karta.png", "A 53838-2024")</f>
        <v/>
      </c>
      <c r="Y36">
        <f>HYPERLINK("https://klasma.github.io/Logging_1862/kartor_geotiff/A 53838-2024 georefererad karta.tif", "A 53838-2024")</f>
        <v/>
      </c>
      <c r="AA36">
        <f>HYPERLINK("https://klasma.github.io/Logging_1862/klagomål/A 53838-2024 FSC-klagomål.docx", "A 53838-2024")</f>
        <v/>
      </c>
      <c r="AB36">
        <f>HYPERLINK("https://klasma.github.io/Logging_1862/klagomålsmail/A 53838-2024 FSC-klagomål mail.docx", "A 53838-2024")</f>
        <v/>
      </c>
      <c r="AC36">
        <f>HYPERLINK("https://klasma.github.io/Logging_1862/tillsyn/A 53838-2024 tillsynsbegäran.docx", "A 53838-2024")</f>
        <v/>
      </c>
      <c r="AD36">
        <f>HYPERLINK("https://klasma.github.io/Logging_1862/tillsynsmail/A 53838-2024 tillsynsbegäran mail.docx", "A 53838-2024")</f>
        <v/>
      </c>
      <c r="AE36">
        <f>HYPERLINK("https://klasma.github.io/Logging_1862/fåglar/A 53838-2024 prioriterade fågelarter.docx", "A 53838-2024")</f>
        <v/>
      </c>
    </row>
    <row r="37" ht="15" customHeight="1">
      <c r="A37" t="inlineStr">
        <is>
          <t>A 27093-2023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46303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27093-2023 artfynd.xlsx", "A 27093-2023")</f>
        <v/>
      </c>
      <c r="X37">
        <f>HYPERLINK("https://klasma.github.io/Logging_1862/kartor/A 27093-2023 karta.png", "A 27093-2023")</f>
        <v/>
      </c>
      <c r="Y37">
        <f>HYPERLINK("https://klasma.github.io/Logging_1862/kartor_geotiff/A 27093-2023 georefererad karta.tif", "A 27093-2023")</f>
        <v/>
      </c>
      <c r="AA37">
        <f>HYPERLINK("https://klasma.github.io/Logging_1862/klagomål/A 27093-2023 FSC-klagomål.docx", "A 27093-2023")</f>
        <v/>
      </c>
      <c r="AB37">
        <f>HYPERLINK("https://klasma.github.io/Logging_1862/klagomålsmail/A 27093-2023 FSC-klagomål mail.docx", "A 27093-2023")</f>
        <v/>
      </c>
      <c r="AC37">
        <f>HYPERLINK("https://klasma.github.io/Logging_1862/tillsyn/A 27093-2023 tillsynsbegäran.docx", "A 27093-2023")</f>
        <v/>
      </c>
      <c r="AD37">
        <f>HYPERLINK("https://klasma.github.io/Logging_1862/tillsynsmail/A 27093-2023 tillsynsbegäran mail.docx", "A 27093-2023")</f>
        <v/>
      </c>
      <c r="AE37">
        <f>HYPERLINK("https://klasma.github.io/Logging_1862/fåglar/A 27093-2023 prioriterade fågelarter.docx", "A 27093-2023")</f>
        <v/>
      </c>
    </row>
    <row r="38" ht="15" customHeight="1">
      <c r="A38" t="inlineStr">
        <is>
          <t>A 47941-2024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45589</v>
      </c>
      <c r="E38" s="1" t="n">
        <v>46303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Brunfläckig pärlemorfjäril</t>
        </is>
      </c>
      <c r="W38">
        <f>HYPERLINK("https://klasma.github.io/Logging_1862/artfynd/A 47941-2024 artfynd.xlsx", "A 47941-2024")</f>
        <v/>
      </c>
      <c r="X38">
        <f>HYPERLINK("https://klasma.github.io/Logging_1862/kartor/A 47941-2024 karta.png", "A 47941-2024")</f>
        <v/>
      </c>
      <c r="Y38">
        <f>HYPERLINK("https://klasma.github.io/Logging_1862/kartor_geotiff/A 47941-2024 georefererad karta.tif", "A 47941-2024")</f>
        <v/>
      </c>
      <c r="AA38">
        <f>HYPERLINK("https://klasma.github.io/Logging_1862/klagomål/A 47941-2024 FSC-klagomål.docx", "A 47941-2024")</f>
        <v/>
      </c>
      <c r="AB38">
        <f>HYPERLINK("https://klasma.github.io/Logging_1862/klagomålsmail/A 47941-2024 FSC-klagomål mail.docx", "A 47941-2024")</f>
        <v/>
      </c>
      <c r="AC38">
        <f>HYPERLINK("https://klasma.github.io/Logging_1862/tillsyn/A 47941-2024 tillsynsbegäran.docx", "A 47941-2024")</f>
        <v/>
      </c>
      <c r="AD38">
        <f>HYPERLINK("https://klasma.github.io/Logging_1862/tillsynsmail/A 47941-2024 tillsynsbegäran mail.docx", "A 47941-2024")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46303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46303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47915-2024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46303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HYPERLINK("https://klasma.github.io/Logging_1862/artfynd/A 47915-2024 artfynd.xlsx", "A 47915-2024")</f>
        <v/>
      </c>
      <c r="X41">
        <f>HYPERLINK("https://klasma.github.io/Logging_1862/kartor/A 47915-2024 karta.png", "A 47915-2024")</f>
        <v/>
      </c>
      <c r="Y41">
        <f>HYPERLINK("https://klasma.github.io/Logging_1862/kartor_geotiff/A 47915-2024 georefererad karta.tif", "A 47915-2024")</f>
        <v/>
      </c>
      <c r="AA41">
        <f>HYPERLINK("https://klasma.github.io/Logging_1862/klagomål/A 47915-2024 FSC-klagomål.docx", "A 47915-2024")</f>
        <v/>
      </c>
      <c r="AB41">
        <f>HYPERLINK("https://klasma.github.io/Logging_1862/klagomålsmail/A 47915-2024 FSC-klagomål mail.docx", "A 47915-2024")</f>
        <v/>
      </c>
      <c r="AC41">
        <f>HYPERLINK("https://klasma.github.io/Logging_1862/tillsyn/A 47915-2024 tillsynsbegäran.docx", "A 47915-2024")</f>
        <v/>
      </c>
      <c r="AD41">
        <f>HYPERLINK("https://klasma.github.io/Logging_1862/tillsynsmail/A 47915-2024 tillsynsbegäran mail.docx", "A 47915-2024")</f>
        <v/>
      </c>
    </row>
    <row r="42" ht="15" customHeight="1">
      <c r="A42" t="inlineStr">
        <is>
          <t>A 33297-2023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45116</v>
      </c>
      <c r="E42" s="1" t="n">
        <v>46303</v>
      </c>
      <c r="F42" t="inlineStr">
        <is>
          <t>ÖREBRO LÄN</t>
        </is>
      </c>
      <c r="G42" t="inlineStr">
        <is>
          <t>DEGERFORS</t>
        </is>
      </c>
      <c r="I42" t="n">
        <v>7.2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HYPERLINK("https://klasma.github.io/Logging_1862/artfynd/A 33297-2023 artfynd.xlsx", "A 33297-2023")</f>
        <v/>
      </c>
      <c r="X42">
        <f>HYPERLINK("https://klasma.github.io/Logging_1862/kartor/A 33297-2023 karta.png", "A 33297-2023")</f>
        <v/>
      </c>
      <c r="Y42">
        <f>HYPERLINK("https://klasma.github.io/Logging_1862/kartor_geotiff/A 33297-2023 georefererad karta.tif", "A 33297-2023")</f>
        <v/>
      </c>
      <c r="AA42">
        <f>HYPERLINK("https://klasma.github.io/Logging_1862/klagomål/A 33297-2023 FSC-klagomål.docx", "A 33297-2023")</f>
        <v/>
      </c>
      <c r="AB42">
        <f>HYPERLINK("https://klasma.github.io/Logging_1862/klagomålsmail/A 33297-2023 FSC-klagomål mail.docx", "A 33297-2023")</f>
        <v/>
      </c>
      <c r="AC42">
        <f>HYPERLINK("https://klasma.github.io/Logging_1862/tillsyn/A 33297-2023 tillsynsbegäran.docx", "A 33297-2023")</f>
        <v/>
      </c>
      <c r="AD42">
        <f>HYPERLINK("https://klasma.github.io/Logging_1862/tillsynsmail/A 33297-2023 tillsynsbegäran mail.docx", "A 33297-2023")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46303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46303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38904-2023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46303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38904-2023 artfynd.xlsx", "A 38904-2023")</f>
        <v/>
      </c>
      <c r="X45">
        <f>HYPERLINK("https://klasma.github.io/Logging_1862/kartor/A 38904-2023 karta.png", "A 38904-2023")</f>
        <v/>
      </c>
      <c r="Y45">
        <f>HYPERLINK("https://klasma.github.io/Logging_1862/kartor_geotiff/A 38904-2023 georefererad karta.tif", "A 38904-2023")</f>
        <v/>
      </c>
      <c r="AA45">
        <f>HYPERLINK("https://klasma.github.io/Logging_1862/klagomål/A 38904-2023 FSC-klagomål.docx", "A 38904-2023")</f>
        <v/>
      </c>
      <c r="AB45">
        <f>HYPERLINK("https://klasma.github.io/Logging_1862/klagomålsmail/A 38904-2023 FSC-klagomål mail.docx", "A 38904-2023")</f>
        <v/>
      </c>
      <c r="AC45">
        <f>HYPERLINK("https://klasma.github.io/Logging_1862/tillsyn/A 38904-2023 tillsynsbegäran.docx", "A 38904-2023")</f>
        <v/>
      </c>
      <c r="AD45">
        <f>HYPERLINK("https://klasma.github.io/Logging_1862/tillsynsmail/A 38904-2023 tillsynsbegäran mail.docx", "A 38904-2023")</f>
        <v/>
      </c>
      <c r="AE45">
        <f>HYPERLINK("https://klasma.github.io/Logging_1862/fåglar/A 38904-2023 prioriterade fågelarter.docx", "A 38904-2023")</f>
        <v/>
      </c>
    </row>
    <row r="46" ht="15" customHeight="1">
      <c r="A46" t="inlineStr">
        <is>
          <t>A 48285-2023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46303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48285-2023 artfynd.xlsx", "A 48285-2023")</f>
        <v/>
      </c>
      <c r="X46">
        <f>HYPERLINK("https://klasma.github.io/Logging_1862/kartor/A 48285-2023 karta.png", "A 48285-2023")</f>
        <v/>
      </c>
      <c r="Y46">
        <f>HYPERLINK("https://klasma.github.io/Logging_1862/kartor_geotiff/A 48285-2023 georefererad karta.tif", "A 48285-2023")</f>
        <v/>
      </c>
      <c r="AA46">
        <f>HYPERLINK("https://klasma.github.io/Logging_1862/klagomål/A 48285-2023 FSC-klagomål.docx", "A 48285-2023")</f>
        <v/>
      </c>
      <c r="AB46">
        <f>HYPERLINK("https://klasma.github.io/Logging_1862/klagomålsmail/A 48285-2023 FSC-klagomål mail.docx", "A 48285-2023")</f>
        <v/>
      </c>
      <c r="AC46">
        <f>HYPERLINK("https://klasma.github.io/Logging_1862/tillsyn/A 48285-2023 tillsynsbegäran.docx", "A 48285-2023")</f>
        <v/>
      </c>
      <c r="AD46">
        <f>HYPERLINK("https://klasma.github.io/Logging_1862/tillsynsmail/A 48285-2023 tillsynsbegäran mail.docx", "A 48285-2023")</f>
        <v/>
      </c>
      <c r="AE46">
        <f>HYPERLINK("https://klasma.github.io/Logging_1862/fåglar/A 48285-2023 prioriterade fågelarter.docx", "A 48285-2023")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46303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46303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46303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46303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46303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46303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46303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46303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46303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46303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46303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46303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44643</v>
      </c>
      <c r="E59" s="1" t="n">
        <v>46303</v>
      </c>
      <c r="F59" t="inlineStr">
        <is>
          <t>ÖREBRO LÄN</t>
        </is>
      </c>
      <c r="G59" t="inlineStr">
        <is>
          <t>DEGERFORS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46303</v>
      </c>
      <c r="F60" t="inlineStr">
        <is>
          <t>ÖREBRO LÄN</t>
        </is>
      </c>
      <c r="G60" t="inlineStr">
        <is>
          <t>DEGERFORS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44505</v>
      </c>
      <c r="E61" s="1" t="n">
        <v>46303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63905-2021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46303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46303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46303</v>
      </c>
      <c r="F64" t="inlineStr">
        <is>
          <t>ÖREBRO LÄN</t>
        </is>
      </c>
      <c r="G64" t="inlineStr">
        <is>
          <t>DEGERFORS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46303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46303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20577-2023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45057</v>
      </c>
      <c r="E67" s="1" t="n">
        <v>46303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44989</v>
      </c>
      <c r="E68" s="1" t="n">
        <v>46303</v>
      </c>
      <c r="F68" t="inlineStr">
        <is>
          <t>ÖREBRO LÄN</t>
        </is>
      </c>
      <c r="G68" t="inlineStr">
        <is>
          <t>DEGERFORS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45764</v>
      </c>
      <c r="E69" s="1" t="n">
        <v>46303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44457-2022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44839</v>
      </c>
      <c r="E70" s="1" t="n">
        <v>46303</v>
      </c>
      <c r="F70" t="inlineStr">
        <is>
          <t>ÖREBRO LÄN</t>
        </is>
      </c>
      <c r="G70" t="inlineStr">
        <is>
          <t>DEGERFORS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46303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6394-2024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45338</v>
      </c>
      <c r="E72" s="1" t="n">
        <v>46303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45635</v>
      </c>
      <c r="E73" s="1" t="n">
        <v>46303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45474</v>
      </c>
      <c r="E74" s="1" t="n">
        <v>46303</v>
      </c>
      <c r="F74" t="inlineStr">
        <is>
          <t>ÖREBRO LÄN</t>
        </is>
      </c>
      <c r="G74" t="inlineStr">
        <is>
          <t>DEGERFORS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46303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29482-2023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46303</v>
      </c>
      <c r="F76" t="inlineStr">
        <is>
          <t>ÖREBRO LÄN</t>
        </is>
      </c>
      <c r="G76" t="inlineStr">
        <is>
          <t>DEGERFORS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45223</v>
      </c>
      <c r="E77" s="1" t="n">
        <v>46303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45272</v>
      </c>
      <c r="E78" s="1" t="n">
        <v>46303</v>
      </c>
      <c r="F78" t="inlineStr">
        <is>
          <t>ÖREBRO LÄN</t>
        </is>
      </c>
      <c r="G78" t="inlineStr">
        <is>
          <t>DEGERFORS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45581</v>
      </c>
      <c r="E79" s="1" t="n">
        <v>46303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46303</v>
      </c>
      <c r="F80" t="inlineStr">
        <is>
          <t>ÖREBRO LÄN</t>
        </is>
      </c>
      <c r="G80" t="inlineStr">
        <is>
          <t>DEGERFORS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46303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46303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46303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45735</v>
      </c>
      <c r="E84" s="1" t="n">
        <v>46303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46303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45387</v>
      </c>
      <c r="E86" s="1" t="n">
        <v>46303</v>
      </c>
      <c r="F86" t="inlineStr">
        <is>
          <t>ÖREBRO LÄN</t>
        </is>
      </c>
      <c r="G86" t="inlineStr">
        <is>
          <t>DEGERFORS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45453</v>
      </c>
      <c r="E87" s="1" t="n">
        <v>46303</v>
      </c>
      <c r="F87" t="inlineStr">
        <is>
          <t>ÖREBRO LÄN</t>
        </is>
      </c>
      <c r="G87" t="inlineStr">
        <is>
          <t>DEGERFORS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46303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46303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46303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46303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46303</v>
      </c>
      <c r="F92" t="inlineStr">
        <is>
          <t>ÖREBRO LÄN</t>
        </is>
      </c>
      <c r="G92" t="inlineStr">
        <is>
          <t>DEGERFORS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46303</v>
      </c>
      <c r="F93" t="inlineStr">
        <is>
          <t>ÖREBRO LÄN</t>
        </is>
      </c>
      <c r="G93" t="inlineStr">
        <is>
          <t>DEGERFORS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24707-2025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46303</v>
      </c>
      <c r="F94" t="inlineStr">
        <is>
          <t>ÖREBRO LÄN</t>
        </is>
      </c>
      <c r="G94" t="inlineStr">
        <is>
          <t>DEGERFORS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46303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46303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46303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46303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46303</v>
      </c>
      <c r="F99" t="inlineStr">
        <is>
          <t>ÖREBRO LÄN</t>
        </is>
      </c>
      <c r="G99" t="inlineStr">
        <is>
          <t>DEGERFORS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46303</v>
      </c>
      <c r="F100" t="inlineStr">
        <is>
          <t>ÖREBRO LÄN</t>
        </is>
      </c>
      <c r="G100" t="inlineStr">
        <is>
          <t>DEGERFORS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45601</v>
      </c>
      <c r="E101" s="1" t="n">
        <v>46303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46303</v>
      </c>
      <c r="F102" t="inlineStr">
        <is>
          <t>ÖREBRO LÄN</t>
        </is>
      </c>
      <c r="G102" t="inlineStr">
        <is>
          <t>DEGERFORS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61750-2021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46303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46303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46303</v>
      </c>
      <c r="F105" t="inlineStr">
        <is>
          <t>ÖREBRO LÄN</t>
        </is>
      </c>
      <c r="G105" t="inlineStr">
        <is>
          <t>DEGERFORS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46303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46303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44719</v>
      </c>
      <c r="E108" s="1" t="n">
        <v>46303</v>
      </c>
      <c r="F108" t="inlineStr">
        <is>
          <t>ÖREBRO LÄN</t>
        </is>
      </c>
      <c r="G108" t="inlineStr">
        <is>
          <t>DEGERFORS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46303</v>
      </c>
      <c r="F109" t="inlineStr">
        <is>
          <t>ÖREBRO LÄN</t>
        </is>
      </c>
      <c r="G109" t="inlineStr">
        <is>
          <t>DEGERFORS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45520</v>
      </c>
      <c r="E110" s="1" t="n">
        <v>46303</v>
      </c>
      <c r="F110" t="inlineStr">
        <is>
          <t>ÖREBRO LÄN</t>
        </is>
      </c>
      <c r="G110" t="inlineStr">
        <is>
          <t>DEGERFORS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38233-2023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45160</v>
      </c>
      <c r="E111" s="1" t="n">
        <v>46303</v>
      </c>
      <c r="F111" t="inlineStr">
        <is>
          <t>ÖREBRO LÄN</t>
        </is>
      </c>
      <c r="G111" t="inlineStr">
        <is>
          <t>DEGERFORS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46303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46303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6387-2024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45338</v>
      </c>
      <c r="E114" s="1" t="n">
        <v>46303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46303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46303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59158-2022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44904</v>
      </c>
      <c r="E117" s="1" t="n">
        <v>46303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46303</v>
      </c>
      <c r="F118" t="inlineStr">
        <is>
          <t>ÖREBRO LÄN</t>
        </is>
      </c>
      <c r="G118" t="inlineStr">
        <is>
          <t>DEGERFORS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46303</v>
      </c>
      <c r="F119" t="inlineStr">
        <is>
          <t>ÖREBRO LÄN</t>
        </is>
      </c>
      <c r="G119" t="inlineStr">
        <is>
          <t>DEGERFORS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46303</v>
      </c>
      <c r="F120" t="inlineStr">
        <is>
          <t>ÖREBRO LÄN</t>
        </is>
      </c>
      <c r="G120" t="inlineStr">
        <is>
          <t>DEGERFORS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46303</v>
      </c>
      <c r="F121" t="inlineStr">
        <is>
          <t>ÖREBRO LÄN</t>
        </is>
      </c>
      <c r="G121" t="inlineStr">
        <is>
          <t>DEGERFORS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45330</v>
      </c>
      <c r="E122" s="1" t="n">
        <v>46303</v>
      </c>
      <c r="F122" t="inlineStr">
        <is>
          <t>ÖREBRO LÄN</t>
        </is>
      </c>
      <c r="G122" t="inlineStr">
        <is>
          <t>DEGERFORS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59863-2024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46303</v>
      </c>
      <c r="F123" t="inlineStr">
        <is>
          <t>ÖREBRO LÄN</t>
        </is>
      </c>
      <c r="G123" t="inlineStr">
        <is>
          <t>DEGERFORS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45569</v>
      </c>
      <c r="E124" s="1" t="n">
        <v>46303</v>
      </c>
      <c r="F124" t="inlineStr">
        <is>
          <t>ÖREBRO LÄN</t>
        </is>
      </c>
      <c r="G124" t="inlineStr">
        <is>
          <t>DEGERFORS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37333-2025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45876</v>
      </c>
      <c r="E125" s="1" t="n">
        <v>46303</v>
      </c>
      <c r="F125" t="inlineStr">
        <is>
          <t>ÖREBRO LÄN</t>
        </is>
      </c>
      <c r="G125" t="inlineStr">
        <is>
          <t>DEGERFORS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45876</v>
      </c>
      <c r="E126" s="1" t="n">
        <v>46303</v>
      </c>
      <c r="F126" t="inlineStr">
        <is>
          <t>ÖREBRO LÄN</t>
        </is>
      </c>
      <c r="G126" t="inlineStr">
        <is>
          <t>DEGERFORS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46303</v>
      </c>
      <c r="F127" t="inlineStr">
        <is>
          <t>ÖREBRO LÄN</t>
        </is>
      </c>
      <c r="G127" t="inlineStr">
        <is>
          <t>DEGERFORS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12143-2025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45729</v>
      </c>
      <c r="E128" s="1" t="n">
        <v>46303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45609</v>
      </c>
      <c r="E129" s="1" t="n">
        <v>46303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45971</v>
      </c>
      <c r="E130" s="1" t="n">
        <v>46303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46303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44609</v>
      </c>
      <c r="E132" s="1" t="n">
        <v>46303</v>
      </c>
      <c r="F132" t="inlineStr">
        <is>
          <t>ÖREBRO LÄN</t>
        </is>
      </c>
      <c r="G132" t="inlineStr">
        <is>
          <t>DEGERFORS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46303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46303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21952-2024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45443</v>
      </c>
      <c r="E135" s="1" t="n">
        <v>46303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45616</v>
      </c>
      <c r="E136" s="1" t="n">
        <v>46303</v>
      </c>
      <c r="F136" t="inlineStr">
        <is>
          <t>ÖREBRO LÄN</t>
        </is>
      </c>
      <c r="G136" t="inlineStr">
        <is>
          <t>DEGERFORS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46303</v>
      </c>
      <c r="F137" t="inlineStr">
        <is>
          <t>ÖREBRO LÄN</t>
        </is>
      </c>
      <c r="G137" t="inlineStr">
        <is>
          <t>DEGERFORS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57086-2025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45979</v>
      </c>
      <c r="E138" s="1" t="n">
        <v>46303</v>
      </c>
      <c r="F138" t="inlineStr">
        <is>
          <t>ÖREBRO LÄN</t>
        </is>
      </c>
      <c r="G138" t="inlineStr">
        <is>
          <t>DEGERFORS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46303</v>
      </c>
      <c r="F139" t="inlineStr">
        <is>
          <t>ÖREBRO LÄN</t>
        </is>
      </c>
      <c r="G139" t="inlineStr">
        <is>
          <t>DEGERFORS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46303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46303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46303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46303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46148</v>
      </c>
      <c r="E144" s="1" t="n">
        <v>46303</v>
      </c>
      <c r="F144" t="inlineStr">
        <is>
          <t>ÖREBRO LÄN</t>
        </is>
      </c>
      <c r="G144" t="inlineStr">
        <is>
          <t>DEGERFORS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46148</v>
      </c>
      <c r="E145" s="1" t="n">
        <v>46303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46148</v>
      </c>
      <c r="E146" s="1" t="n">
        <v>46303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46303</v>
      </c>
      <c r="F147" t="inlineStr">
        <is>
          <t>ÖREBRO LÄN</t>
        </is>
      </c>
      <c r="G147" t="inlineStr">
        <is>
          <t>DEGERFORS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44807-2023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45190</v>
      </c>
      <c r="E148" s="1" t="n">
        <v>46303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46303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45190</v>
      </c>
      <c r="E150" s="1" t="n">
        <v>46303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46303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46303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46303</v>
      </c>
      <c r="F153" t="inlineStr">
        <is>
          <t>ÖREBRO LÄN</t>
        </is>
      </c>
      <c r="G153" t="inlineStr">
        <is>
          <t>DEGERFORS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45116</v>
      </c>
      <c r="E154" s="1" t="n">
        <v>46303</v>
      </c>
      <c r="F154" t="inlineStr">
        <is>
          <t>ÖREBRO LÄN</t>
        </is>
      </c>
      <c r="G154" t="inlineStr">
        <is>
          <t>DEGERFORS</t>
        </is>
      </c>
      <c r="I154" t="n">
        <v>17.2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45996</v>
      </c>
      <c r="E155" s="1" t="n">
        <v>46303</v>
      </c>
      <c r="F155" t="inlineStr">
        <is>
          <t>ÖREBRO LÄN</t>
        </is>
      </c>
      <c r="G155" t="inlineStr">
        <is>
          <t>DEGERFORS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44986</v>
      </c>
      <c r="E156" s="1" t="n">
        <v>46303</v>
      </c>
      <c r="F156" t="inlineStr">
        <is>
          <t>ÖREBRO LÄN</t>
        </is>
      </c>
      <c r="G156" t="inlineStr">
        <is>
          <t>DEGERFORS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14678-2025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45742</v>
      </c>
      <c r="E157" s="1" t="n">
        <v>46303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46303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23229-2026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46162</v>
      </c>
      <c r="E159" s="1" t="n">
        <v>46303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45205</v>
      </c>
      <c r="E160" s="1" t="n">
        <v>46303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46303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32154-2023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46303</v>
      </c>
      <c r="F162" t="inlineStr">
        <is>
          <t>ÖREBRO LÄN</t>
        </is>
      </c>
      <c r="G162" t="inlineStr">
        <is>
          <t>DEGERFORS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50764-2024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45602</v>
      </c>
      <c r="E163" s="1" t="n">
        <v>46303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46167</v>
      </c>
      <c r="E164" s="1" t="n">
        <v>46303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20.9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46303</v>
      </c>
      <c r="F165" t="inlineStr">
        <is>
          <t>ÖREBRO LÄN</t>
        </is>
      </c>
      <c r="G165" t="inlineStr">
        <is>
          <t>DEGERFORS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46303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46303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46303</v>
      </c>
      <c r="F168" t="inlineStr">
        <is>
          <t>ÖREBRO LÄN</t>
        </is>
      </c>
      <c r="G168" t="inlineStr">
        <is>
          <t>DEGERFORS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46303</v>
      </c>
      <c r="F169" t="inlineStr">
        <is>
          <t>ÖREBRO LÄN</t>
        </is>
      </c>
      <c r="G169" t="inlineStr">
        <is>
          <t>DEGERFORS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45351</v>
      </c>
      <c r="E170" s="1" t="n">
        <v>46303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45351</v>
      </c>
      <c r="E171" s="1" t="n">
        <v>46303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60907-2023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45261</v>
      </c>
      <c r="E172" s="1" t="n">
        <v>46303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44781</v>
      </c>
      <c r="E173" s="1" t="n">
        <v>46303</v>
      </c>
      <c r="F173" t="inlineStr">
        <is>
          <t>ÖREBRO LÄN</t>
        </is>
      </c>
      <c r="G173" t="inlineStr">
        <is>
          <t>DEGERFORS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46303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46303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46185</v>
      </c>
      <c r="E176" s="1" t="n">
        <v>46303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46189</v>
      </c>
      <c r="E177" s="1" t="n">
        <v>46303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46303</v>
      </c>
      <c r="F178" t="inlineStr">
        <is>
          <t>ÖREBRO LÄN</t>
        </is>
      </c>
      <c r="G178" t="inlineStr">
        <is>
          <t>DEGERFORS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45535</v>
      </c>
      <c r="E179" s="1" t="n">
        <v>46303</v>
      </c>
      <c r="F179" t="inlineStr">
        <is>
          <t>ÖREBRO LÄN</t>
        </is>
      </c>
      <c r="G179" t="inlineStr">
        <is>
          <t>DEGERFORS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46191</v>
      </c>
      <c r="E180" s="1" t="n">
        <v>46303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46303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28789-2026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46303</v>
      </c>
      <c r="F182" t="inlineStr">
        <is>
          <t>ÖREBRO LÄN</t>
        </is>
      </c>
      <c r="G182" t="inlineStr">
        <is>
          <t>DEGERFORS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45192</v>
      </c>
      <c r="E183" s="1" t="n">
        <v>46303</v>
      </c>
      <c r="F183" t="inlineStr">
        <is>
          <t>ÖREBRO LÄN</t>
        </is>
      </c>
      <c r="G183" t="inlineStr">
        <is>
          <t>DEGERFORS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46303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46303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46070</v>
      </c>
      <c r="E186" s="1" t="n">
        <v>46303</v>
      </c>
      <c r="F186" t="inlineStr">
        <is>
          <t>ÖREBRO LÄN</t>
        </is>
      </c>
      <c r="G186" t="inlineStr">
        <is>
          <t>DEGERFORS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37672-2024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45541</v>
      </c>
      <c r="E187" s="1" t="n">
        <v>46303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46199</v>
      </c>
      <c r="E188" s="1" t="n">
        <v>46303</v>
      </c>
      <c r="F188" t="inlineStr">
        <is>
          <t>ÖREBRO LÄN</t>
        </is>
      </c>
      <c r="G188" t="inlineStr">
        <is>
          <t>DEGERFORS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46086</v>
      </c>
      <c r="E189" s="1" t="n">
        <v>46303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46303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46303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46303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46303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46093</v>
      </c>
      <c r="E194" s="1" t="n">
        <v>46303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13040-2026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46303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46303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44579</v>
      </c>
      <c r="E197" s="1" t="n">
        <v>46303</v>
      </c>
      <c r="F197" t="inlineStr">
        <is>
          <t>ÖREBRO LÄN</t>
        </is>
      </c>
      <c r="G197" t="inlineStr">
        <is>
          <t>DEGERFORS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46303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10674-2024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45369</v>
      </c>
      <c r="E199" s="1" t="n">
        <v>46303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46303</v>
      </c>
      <c r="F200" t="inlineStr">
        <is>
          <t>ÖREBRO LÄN</t>
        </is>
      </c>
      <c r="G200" t="inlineStr">
        <is>
          <t>DEGERFORS</t>
        </is>
      </c>
      <c r="I200" t="n">
        <v>13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45222</v>
      </c>
      <c r="E201" s="1" t="n">
        <v>46303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46303</v>
      </c>
      <c r="F202" t="inlineStr">
        <is>
          <t>ÖREBRO LÄN</t>
        </is>
      </c>
      <c r="G202" t="inlineStr">
        <is>
          <t>DEGERFORS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46303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46303</v>
      </c>
      <c r="F204" t="inlineStr">
        <is>
          <t>ÖREBRO LÄN</t>
        </is>
      </c>
      <c r="G204" t="inlineStr">
        <is>
          <t>DEGERFORS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19227-2026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46132</v>
      </c>
      <c r="E205" s="1" t="n">
        <v>46303</v>
      </c>
      <c r="F205" t="inlineStr">
        <is>
          <t>ÖREBRO LÄN</t>
        </is>
      </c>
      <c r="G205" t="inlineStr">
        <is>
          <t>DEGERFORS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46303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46303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43752-2025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45912</v>
      </c>
      <c r="E208" s="1" t="n">
        <v>46303</v>
      </c>
      <c r="F208" t="inlineStr">
        <is>
          <t>ÖREBRO LÄN</t>
        </is>
      </c>
      <c r="G208" t="inlineStr">
        <is>
          <t>DEGERFORS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45233</v>
      </c>
      <c r="E209" s="1" t="n">
        <v>46303</v>
      </c>
      <c r="F209" t="inlineStr">
        <is>
          <t>ÖREBRO LÄN</t>
        </is>
      </c>
      <c r="G209" t="inlineStr">
        <is>
          <t>DEGERFORS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46268</v>
      </c>
      <c r="E210" s="1" t="n">
        <v>46303</v>
      </c>
      <c r="F210" t="inlineStr">
        <is>
          <t>ÖREBRO LÄN</t>
        </is>
      </c>
      <c r="G210" t="inlineStr">
        <is>
          <t>DEGERFORS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46268</v>
      </c>
      <c r="E211" s="1" t="n">
        <v>46303</v>
      </c>
      <c r="F211" t="inlineStr">
        <is>
          <t>ÖREBRO LÄN</t>
        </is>
      </c>
      <c r="G211" t="inlineStr">
        <is>
          <t>DEGERFORS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46268</v>
      </c>
      <c r="E212" s="1" t="n">
        <v>46303</v>
      </c>
      <c r="F212" t="inlineStr">
        <is>
          <t>ÖREBRO LÄN</t>
        </is>
      </c>
      <c r="G212" t="inlineStr">
        <is>
          <t>DEGERFORS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44816</v>
      </c>
      <c r="E213" s="1" t="n">
        <v>46303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46230</v>
      </c>
      <c r="E214" s="1" t="n">
        <v>46303</v>
      </c>
      <c r="F214" t="inlineStr">
        <is>
          <t>ÖREBRO LÄN</t>
        </is>
      </c>
      <c r="G214" t="inlineStr">
        <is>
          <t>DEGERFORS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46303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46231</v>
      </c>
      <c r="E216" s="1" t="n">
        <v>46303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46303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44986</v>
      </c>
      <c r="E218" s="1" t="n">
        <v>46303</v>
      </c>
      <c r="F218" t="inlineStr">
        <is>
          <t>ÖREBRO LÄN</t>
        </is>
      </c>
      <c r="G218" t="inlineStr">
        <is>
          <t>DEGERFORS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46303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46303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37809-2026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46279</v>
      </c>
      <c r="E221" s="1" t="n">
        <v>46303</v>
      </c>
      <c r="F221" t="inlineStr">
        <is>
          <t>ÖREBRO LÄN</t>
        </is>
      </c>
      <c r="G221" t="inlineStr">
        <is>
          <t>DEGERFORS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46281</v>
      </c>
      <c r="E222" s="1" t="n">
        <v>46303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46282</v>
      </c>
      <c r="E223" s="1" t="n">
        <v>46303</v>
      </c>
      <c r="F223" t="inlineStr">
        <is>
          <t>ÖREBRO LÄN</t>
        </is>
      </c>
      <c r="G223" t="inlineStr">
        <is>
          <t>DEGERFORS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46303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46303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46303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32810-2026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46303</v>
      </c>
      <c r="F227" t="inlineStr">
        <is>
          <t>ÖREBRO LÄN</t>
        </is>
      </c>
      <c r="G227" t="inlineStr">
        <is>
          <t>DEGERFORS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46283</v>
      </c>
      <c r="E228" s="1" t="n">
        <v>46303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46303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46260</v>
      </c>
      <c r="E230" s="1" t="n">
        <v>46303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46231</v>
      </c>
      <c r="E231" s="1" t="n">
        <v>46303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46303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46303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46303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46303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46303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46303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46303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46303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2026-10-08T02:07:14Z</dcterms:created>
  <dcterms:modified xmlns:dcterms="http://purl.org/dc/terms/" xmlns:xsi="http://www.w3.org/2001/XMLSchema-instance" xsi:type="dcterms:W3CDTF">2026-10-08T02:07:15Z</dcterms:modified>
</cp:coreProperties>
</file>