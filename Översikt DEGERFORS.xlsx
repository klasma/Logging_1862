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46322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46322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46322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46322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46322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46322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46322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46322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46322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46322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46322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46322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46322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46322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46322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46322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46322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46322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28976-2026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46322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Orange taggsvamp
Talltita</t>
        </is>
      </c>
      <c r="W30">
        <f>HYPERLINK("https://klasma.github.io/Logging_1862/artfynd/A 28976-2026 artfynd.xlsx", "A 28976-2026")</f>
        <v/>
      </c>
      <c r="X30">
        <f>HYPERLINK("https://klasma.github.io/Logging_1862/kartor/A 28976-2026 karta.png", "A 28976-2026")</f>
        <v/>
      </c>
      <c r="Y30">
        <f>HYPERLINK("https://klasma.github.io/Logging_1862/kartor_geotiff/A 28976-2026 georefererad karta.tif", "A 28976-2026")</f>
        <v/>
      </c>
      <c r="AA30">
        <f>HYPERLINK("https://klasma.github.io/Logging_1862/klagomål/A 28976-2026 FSC-klagomål.docx", "A 28976-2026")</f>
        <v/>
      </c>
      <c r="AB30">
        <f>HYPERLINK("https://klasma.github.io/Logging_1862/klagomålsmail/A 28976-2026 FSC-klagomål mail.docx", "A 28976-2026")</f>
        <v/>
      </c>
      <c r="AC30">
        <f>HYPERLINK("https://klasma.github.io/Logging_1862/tillsyn/A 28976-2026 tillsynsbegäran.docx", "A 28976-2026")</f>
        <v/>
      </c>
      <c r="AD30">
        <f>HYPERLINK("https://klasma.github.io/Logging_1862/tillsynsmail/A 28976-2026 tillsynsbegäran mail.docx", "A 28976-2026")</f>
        <v/>
      </c>
      <c r="AE30">
        <f>HYPERLINK("https://klasma.github.io/Logging_1862/fåglar/A 28976-2026 prioriterade fågelarter.docx", "A 28976-2026")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46322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46322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27071-2026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46186</v>
      </c>
      <c r="E33" s="1" t="n">
        <v>46322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9.9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Vedticka</t>
        </is>
      </c>
      <c r="W33">
        <f>HYPERLINK("https://klasma.github.io/Logging_1862/artfynd/A 27071-2026 artfynd.xlsx", "A 27071-2026")</f>
        <v/>
      </c>
      <c r="X33">
        <f>HYPERLINK("https://klasma.github.io/Logging_1862/kartor/A 27071-2026 karta.png", "A 27071-2026")</f>
        <v/>
      </c>
      <c r="Y33">
        <f>HYPERLINK("https://klasma.github.io/Logging_1862/kartor_geotiff/A 27071-2026 georefererad karta.tif", "A 27071-2026")</f>
        <v/>
      </c>
      <c r="AA33">
        <f>HYPERLINK("https://klasma.github.io/Logging_1862/klagomål/A 27071-2026 FSC-klagomål.docx", "A 27071-2026")</f>
        <v/>
      </c>
      <c r="AB33">
        <f>HYPERLINK("https://klasma.github.io/Logging_1862/klagomålsmail/A 27071-2026 FSC-klagomål mail.docx", "A 27071-2026")</f>
        <v/>
      </c>
      <c r="AC33">
        <f>HYPERLINK("https://klasma.github.io/Logging_1862/tillsyn/A 27071-2026 tillsynsbegäran.docx", "A 27071-2026")</f>
        <v/>
      </c>
      <c r="AD33">
        <f>HYPERLINK("https://klasma.github.io/Logging_1862/tillsynsmail/A 27071-2026 tillsynsbegäran mail.docx", "A 27071-2026")</f>
        <v/>
      </c>
    </row>
    <row r="34" ht="15" customHeight="1">
      <c r="A34" t="inlineStr">
        <is>
          <t>A 27072-2026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46186</v>
      </c>
      <c r="E34" s="1" t="n">
        <v>46322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HYPERLINK("https://klasma.github.io/Logging_1862/artfynd/A 27072-2026 artfynd.xlsx", "A 27072-2026")</f>
        <v/>
      </c>
      <c r="X34">
        <f>HYPERLINK("https://klasma.github.io/Logging_1862/kartor/A 27072-2026 karta.png", "A 27072-2026")</f>
        <v/>
      </c>
      <c r="Y34">
        <f>HYPERLINK("https://klasma.github.io/Logging_1862/kartor_geotiff/A 27072-2026 georefererad karta.tif", "A 27072-2026")</f>
        <v/>
      </c>
      <c r="AA34">
        <f>HYPERLINK("https://klasma.github.io/Logging_1862/klagomål/A 27072-2026 FSC-klagomål.docx", "A 27072-2026")</f>
        <v/>
      </c>
      <c r="AB34">
        <f>HYPERLINK("https://klasma.github.io/Logging_1862/klagomålsmail/A 27072-2026 FSC-klagomål mail.docx", "A 27072-2026")</f>
        <v/>
      </c>
      <c r="AC34">
        <f>HYPERLINK("https://klasma.github.io/Logging_1862/tillsyn/A 27072-2026 tillsynsbegäran.docx", "A 27072-2026")</f>
        <v/>
      </c>
      <c r="AD34">
        <f>HYPERLINK("https://klasma.github.io/Logging_1862/tillsynsmail/A 27072-2026 tillsynsbegäran mail.docx", "A 27072-2026")</f>
        <v/>
      </c>
      <c r="AE34">
        <f>HYPERLINK("https://klasma.github.io/Logging_1862/fåglar/A 27072-2026 prioriterade fågelarter.docx", "A 27072-2026")</f>
        <v/>
      </c>
    </row>
    <row r="35" ht="15" customHeight="1">
      <c r="A35" t="inlineStr">
        <is>
          <t>A 49306-2025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45938</v>
      </c>
      <c r="E35" s="1" t="n">
        <v>46322</v>
      </c>
      <c r="F35" t="inlineStr">
        <is>
          <t>ÖREBRO LÄN</t>
        </is>
      </c>
      <c r="G35" t="inlineStr">
        <is>
          <t>DEGERFORS</t>
        </is>
      </c>
      <c r="I35" t="n">
        <v>5.8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HYPERLINK("https://klasma.github.io/Logging_1862/artfynd/A 49306-2025 artfynd.xlsx", "A 49306-2025")</f>
        <v/>
      </c>
      <c r="X35">
        <f>HYPERLINK("https://klasma.github.io/Logging_1862/kartor/A 49306-2025 karta.png", "A 49306-2025")</f>
        <v/>
      </c>
      <c r="Y35">
        <f>HYPERLINK("https://klasma.github.io/Logging_1862/kartor_geotiff/A 49306-2025 georefererad karta.tif", "A 49306-2025")</f>
        <v/>
      </c>
      <c r="AA35">
        <f>HYPERLINK("https://klasma.github.io/Logging_1862/klagomål/A 49306-2025 FSC-klagomål.docx", "A 49306-2025")</f>
        <v/>
      </c>
      <c r="AB35">
        <f>HYPERLINK("https://klasma.github.io/Logging_1862/klagomålsmail/A 49306-2025 FSC-klagomål mail.docx", "A 49306-2025")</f>
        <v/>
      </c>
      <c r="AC35">
        <f>HYPERLINK("https://klasma.github.io/Logging_1862/tillsyn/A 49306-2025 tillsynsbegäran.docx", "A 49306-2025")</f>
        <v/>
      </c>
      <c r="AD35">
        <f>HYPERLINK("https://klasma.github.io/Logging_1862/tillsynsmail/A 49306-2025 tillsynsbegäran mail.docx", "A 49306-2025")</f>
        <v/>
      </c>
    </row>
    <row r="36" ht="15" customHeight="1">
      <c r="A36" t="inlineStr">
        <is>
          <t>A 33297-2023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45116</v>
      </c>
      <c r="E36" s="1" t="n">
        <v>46322</v>
      </c>
      <c r="F36" t="inlineStr">
        <is>
          <t>ÖREBRO LÄN</t>
        </is>
      </c>
      <c r="G36" t="inlineStr">
        <is>
          <t>DEGERFORS</t>
        </is>
      </c>
      <c r="I36" t="n">
        <v>7.2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HYPERLINK("https://klasma.github.io/Logging_1862/artfynd/A 33297-2023 artfynd.xlsx", "A 33297-2023")</f>
        <v/>
      </c>
      <c r="X36">
        <f>HYPERLINK("https://klasma.github.io/Logging_1862/kartor/A 33297-2023 karta.png", "A 33297-2023")</f>
        <v/>
      </c>
      <c r="Y36">
        <f>HYPERLINK("https://klasma.github.io/Logging_1862/kartor_geotiff/A 33297-2023 georefererad karta.tif", "A 33297-2023")</f>
        <v/>
      </c>
      <c r="AA36">
        <f>HYPERLINK("https://klasma.github.io/Logging_1862/klagomål/A 33297-2023 FSC-klagomål.docx", "A 33297-2023")</f>
        <v/>
      </c>
      <c r="AB36">
        <f>HYPERLINK("https://klasma.github.io/Logging_1862/klagomålsmail/A 33297-2023 FSC-klagomål mail.docx", "A 33297-2023")</f>
        <v/>
      </c>
      <c r="AC36">
        <f>HYPERLINK("https://klasma.github.io/Logging_1862/tillsyn/A 33297-2023 tillsynsbegäran.docx", "A 33297-2023")</f>
        <v/>
      </c>
      <c r="AD36">
        <f>HYPERLINK("https://klasma.github.io/Logging_1862/tillsynsmail/A 33297-2023 tillsynsbegäran mail.docx", "A 33297-2023")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46322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46322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2357-2022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46322</v>
      </c>
      <c r="F39" t="inlineStr">
        <is>
          <t>ÖREBRO LÄN</t>
        </is>
      </c>
      <c r="G39" t="inlineStr">
        <is>
          <t>DEGERFORS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2357-2022 artfynd.xlsx", "A 2357-2022")</f>
        <v/>
      </c>
      <c r="X39">
        <f>HYPERLINK("https://klasma.github.io/Logging_1862/kartor/A 2357-2022 karta.png", "A 2357-2022")</f>
        <v/>
      </c>
      <c r="Y39">
        <f>HYPERLINK("https://klasma.github.io/Logging_1862/kartor_geotiff/A 2357-2022 georefererad karta.tif", "A 2357-2022")</f>
        <v/>
      </c>
      <c r="AA39">
        <f>HYPERLINK("https://klasma.github.io/Logging_1862/klagomål/A 2357-2022 FSC-klagomål.docx", "A 2357-2022")</f>
        <v/>
      </c>
      <c r="AB39">
        <f>HYPERLINK("https://klasma.github.io/Logging_1862/klagomålsmail/A 2357-2022 FSC-klagomål mail.docx", "A 2357-2022")</f>
        <v/>
      </c>
      <c r="AC39">
        <f>HYPERLINK("https://klasma.github.io/Logging_1862/tillsyn/A 2357-2022 tillsynsbegäran.docx", "A 2357-2022")</f>
        <v/>
      </c>
      <c r="AD39">
        <f>HYPERLINK("https://klasma.github.io/Logging_1862/tillsynsmail/A 2357-2022 tillsynsbegäran mail.docx", "A 2357-2022")</f>
        <v/>
      </c>
      <c r="AE39">
        <f>HYPERLINK("https://klasma.github.io/Logging_1862/fåglar/A 2357-2022 prioriterade fågelarter.docx", "A 2357-2022")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46322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27093-2023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46322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27093-2023 artfynd.xlsx", "A 27093-2023")</f>
        <v/>
      </c>
      <c r="X41">
        <f>HYPERLINK("https://klasma.github.io/Logging_1862/kartor/A 27093-2023 karta.png", "A 27093-2023")</f>
        <v/>
      </c>
      <c r="Y41">
        <f>HYPERLINK("https://klasma.github.io/Logging_1862/kartor_geotiff/A 27093-2023 georefererad karta.tif", "A 27093-2023")</f>
        <v/>
      </c>
      <c r="AA41">
        <f>HYPERLINK("https://klasma.github.io/Logging_1862/klagomål/A 27093-2023 FSC-klagomål.docx", "A 27093-2023")</f>
        <v/>
      </c>
      <c r="AB41">
        <f>HYPERLINK("https://klasma.github.io/Logging_1862/klagomålsmail/A 27093-2023 FSC-klagomål mail.docx", "A 27093-2023")</f>
        <v/>
      </c>
      <c r="AC41">
        <f>HYPERLINK("https://klasma.github.io/Logging_1862/tillsyn/A 27093-2023 tillsynsbegäran.docx", "A 27093-2023")</f>
        <v/>
      </c>
      <c r="AD41">
        <f>HYPERLINK("https://klasma.github.io/Logging_1862/tillsynsmail/A 27093-2023 tillsynsbegäran mail.docx", "A 27093-2023")</f>
        <v/>
      </c>
      <c r="AE41">
        <f>HYPERLINK("https://klasma.github.io/Logging_1862/fåglar/A 27093-2023 prioriterade fågelarter.docx", "A 27093-2023")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46322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46322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HYPERLINK("https://klasma.github.io/Logging_1862/artfynd/A 26971-2026 artfynd.xlsx", "A 26971-2026")</f>
        <v/>
      </c>
      <c r="X43">
        <f>HYPERLINK("https://klasma.github.io/Logging_1862/kartor/A 26971-2026 karta.png", "A 26971-2026")</f>
        <v/>
      </c>
      <c r="Y43">
        <f>HYPERLINK("https://klasma.github.io/Logging_1862/kartor_geotiff/A 26971-2026 georefererad karta.tif", "A 26971-2026")</f>
        <v/>
      </c>
      <c r="AA43">
        <f>HYPERLINK("https://klasma.github.io/Logging_1862/klagomål/A 26971-2026 FSC-klagomål.docx", "A 26971-2026")</f>
        <v/>
      </c>
      <c r="AB43">
        <f>HYPERLINK("https://klasma.github.io/Logging_1862/klagomålsmail/A 26971-2026 FSC-klagomål mail.docx", "A 26971-2026")</f>
        <v/>
      </c>
      <c r="AC43">
        <f>HYPERLINK("https://klasma.github.io/Logging_1862/tillsyn/A 26971-2026 tillsynsbegäran.docx", "A 26971-2026")</f>
        <v/>
      </c>
      <c r="AD43">
        <f>HYPERLINK("https://klasma.github.io/Logging_1862/tillsynsmail/A 26971-2026 tillsynsbegäran mail.docx", "A 26971-2026")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46322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46322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46322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46322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46322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42337-2026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46322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4.7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42337-2026 artfynd.xlsx", "A 42337-2026")</f>
        <v/>
      </c>
      <c r="X49">
        <f>HYPERLINK("https://klasma.github.io/Logging_1862/kartor/A 42337-2026 karta.png", "A 42337-2026")</f>
        <v/>
      </c>
      <c r="Y49">
        <f>HYPERLINK("https://klasma.github.io/Logging_1862/kartor_geotiff/A 42337-2026 georefererad karta.tif", "A 42337-2026")</f>
        <v/>
      </c>
      <c r="AA49">
        <f>HYPERLINK("https://klasma.github.io/Logging_1862/klagomål/A 42337-2026 FSC-klagomål.docx", "A 42337-2026")</f>
        <v/>
      </c>
      <c r="AB49">
        <f>HYPERLINK("https://klasma.github.io/Logging_1862/klagomålsmail/A 42337-2026 FSC-klagomål mail.docx", "A 42337-2026")</f>
        <v/>
      </c>
      <c r="AC49">
        <f>HYPERLINK("https://klasma.github.io/Logging_1862/tillsyn/A 42337-2026 tillsynsbegäran.docx", "A 42337-2026")</f>
        <v/>
      </c>
      <c r="AD49">
        <f>HYPERLINK("https://klasma.github.io/Logging_1862/tillsynsmail/A 42337-2026 tillsynsbegäran mail.docx", "A 42337-2026")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46322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46322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46322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46322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46322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46322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46322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46322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46322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46322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46322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46322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46322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46322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46322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46322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46322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46322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46322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46322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46322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46322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46322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46322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46322</v>
      </c>
      <c r="F74" t="inlineStr">
        <is>
          <t>ÖREBRO LÄN</t>
        </is>
      </c>
      <c r="G74" t="inlineStr">
        <is>
          <t>DEGERFORS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46185</v>
      </c>
      <c r="E75" s="1" t="n">
        <v>46322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45707</v>
      </c>
      <c r="E76" s="1" t="n">
        <v>46322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46322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46322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37672-2024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45541</v>
      </c>
      <c r="E79" s="1" t="n">
        <v>46322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45705</v>
      </c>
      <c r="E80" s="1" t="n">
        <v>46322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46322</v>
      </c>
      <c r="F81" t="inlineStr">
        <is>
          <t>ÖREBRO LÄN</t>
        </is>
      </c>
      <c r="G81" t="inlineStr">
        <is>
          <t>DEGERFORS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46322</v>
      </c>
      <c r="F82" t="inlineStr">
        <is>
          <t>ÖREBRO LÄN</t>
        </is>
      </c>
      <c r="G82" t="inlineStr">
        <is>
          <t>DEGERFORS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46322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46322</v>
      </c>
      <c r="F84" t="inlineStr">
        <is>
          <t>ÖREBRO LÄN</t>
        </is>
      </c>
      <c r="G84" t="inlineStr">
        <is>
          <t>DEGERFORS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45600</v>
      </c>
      <c r="E85" s="1" t="n">
        <v>46322</v>
      </c>
      <c r="F85" t="inlineStr">
        <is>
          <t>ÖREBRO LÄN</t>
        </is>
      </c>
      <c r="G85" t="inlineStr">
        <is>
          <t>DEGERFORS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46322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45376</v>
      </c>
      <c r="E87" s="1" t="n">
        <v>46322</v>
      </c>
      <c r="F87" t="inlineStr">
        <is>
          <t>ÖREBRO LÄN</t>
        </is>
      </c>
      <c r="G87" t="inlineStr">
        <is>
          <t>DEGERFORS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46322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46322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46322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46322</v>
      </c>
      <c r="F91" t="inlineStr">
        <is>
          <t>ÖREBRO LÄN</t>
        </is>
      </c>
      <c r="G91" t="inlineStr">
        <is>
          <t>DEGERFORS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46322</v>
      </c>
      <c r="F92" t="inlineStr">
        <is>
          <t>ÖREBRO LÄN</t>
        </is>
      </c>
      <c r="G92" t="inlineStr">
        <is>
          <t>DEGERFORS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45535</v>
      </c>
      <c r="E93" s="1" t="n">
        <v>46322</v>
      </c>
      <c r="F93" t="inlineStr">
        <is>
          <t>ÖREBRO LÄN</t>
        </is>
      </c>
      <c r="G93" t="inlineStr">
        <is>
          <t>DEGERFORS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46322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45474</v>
      </c>
      <c r="E95" s="1" t="n">
        <v>46322</v>
      </c>
      <c r="F95" t="inlineStr">
        <is>
          <t>ÖREBRO LÄN</t>
        </is>
      </c>
      <c r="G95" t="inlineStr">
        <is>
          <t>DEGERFORS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46322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46322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46322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46322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27745-2026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46191</v>
      </c>
      <c r="E100" s="1" t="n">
        <v>46322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46191</v>
      </c>
      <c r="E101" s="1" t="n">
        <v>46322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46322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46322</v>
      </c>
      <c r="F103" t="inlineStr">
        <is>
          <t>ÖREBRO LÄN</t>
        </is>
      </c>
      <c r="G103" t="inlineStr">
        <is>
          <t>DEGERFORS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46322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45979</v>
      </c>
      <c r="E105" s="1" t="n">
        <v>46322</v>
      </c>
      <c r="F105" t="inlineStr">
        <is>
          <t>ÖREBRO LÄN</t>
        </is>
      </c>
      <c r="G105" t="inlineStr">
        <is>
          <t>DEGERFORS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46322</v>
      </c>
      <c r="F106" t="inlineStr">
        <is>
          <t>ÖREBRO LÄN</t>
        </is>
      </c>
      <c r="G106" t="inlineStr">
        <is>
          <t>DEGERFORS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46322</v>
      </c>
      <c r="F107" t="inlineStr">
        <is>
          <t>ÖREBRO LÄN</t>
        </is>
      </c>
      <c r="G107" t="inlineStr">
        <is>
          <t>DEGERFORS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46198</v>
      </c>
      <c r="E108" s="1" t="n">
        <v>46322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46198</v>
      </c>
      <c r="E109" s="1" t="n">
        <v>46322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46322</v>
      </c>
      <c r="F110" t="inlineStr">
        <is>
          <t>ÖREBRO LÄN</t>
        </is>
      </c>
      <c r="G110" t="inlineStr">
        <is>
          <t>DEGERFORS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46198</v>
      </c>
      <c r="E111" s="1" t="n">
        <v>46322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46322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46322</v>
      </c>
      <c r="F113" t="inlineStr">
        <is>
          <t>ÖREBRO LÄN</t>
        </is>
      </c>
      <c r="G113" t="inlineStr">
        <is>
          <t>DEGERFORS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45996</v>
      </c>
      <c r="E114" s="1" t="n">
        <v>46322</v>
      </c>
      <c r="F114" t="inlineStr">
        <is>
          <t>ÖREBRO LÄN</t>
        </is>
      </c>
      <c r="G114" t="inlineStr">
        <is>
          <t>DEGERFORS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46322</v>
      </c>
      <c r="F115" t="inlineStr">
        <is>
          <t>ÖREBRO LÄN</t>
        </is>
      </c>
      <c r="G115" t="inlineStr">
        <is>
          <t>DEGERFORS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26783-2025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46322</v>
      </c>
      <c r="F116" t="inlineStr">
        <is>
          <t>ÖREBRO LÄN</t>
        </is>
      </c>
      <c r="G116" t="inlineStr">
        <is>
          <t>DEGERFORS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46322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60907-2023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45261</v>
      </c>
      <c r="E118" s="1" t="n">
        <v>46322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46322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46322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46322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46199</v>
      </c>
      <c r="E122" s="1" t="n">
        <v>46322</v>
      </c>
      <c r="F122" t="inlineStr">
        <is>
          <t>ÖREBRO LÄN</t>
        </is>
      </c>
      <c r="G122" t="inlineStr">
        <is>
          <t>DEGERFORS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46322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44582</v>
      </c>
      <c r="E124" s="1" t="n">
        <v>46322</v>
      </c>
      <c r="F124" t="inlineStr">
        <is>
          <t>ÖREBRO LÄN</t>
        </is>
      </c>
      <c r="G124" t="inlineStr">
        <is>
          <t>DEGERFORS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44719</v>
      </c>
      <c r="E125" s="1" t="n">
        <v>46322</v>
      </c>
      <c r="F125" t="inlineStr">
        <is>
          <t>ÖREBRO LÄN</t>
        </is>
      </c>
      <c r="G125" t="inlineStr">
        <is>
          <t>DEGERFORS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46322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46322</v>
      </c>
      <c r="F127" t="inlineStr">
        <is>
          <t>ÖREBRO LÄN</t>
        </is>
      </c>
      <c r="G127" t="inlineStr">
        <is>
          <t>DEGERFORS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46322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46322</v>
      </c>
      <c r="F129" t="inlineStr">
        <is>
          <t>ÖREBRO LÄN</t>
        </is>
      </c>
      <c r="G129" t="inlineStr">
        <is>
          <t>DEGERFORS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46322</v>
      </c>
      <c r="F130" t="inlineStr">
        <is>
          <t>ÖREBRO LÄN</t>
        </is>
      </c>
      <c r="G130" t="inlineStr">
        <is>
          <t>DEGERFORS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45233</v>
      </c>
      <c r="E131" s="1" t="n">
        <v>46322</v>
      </c>
      <c r="F131" t="inlineStr">
        <is>
          <t>ÖREBRO LÄN</t>
        </is>
      </c>
      <c r="G131" t="inlineStr">
        <is>
          <t>DEGERFORS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46322</v>
      </c>
      <c r="F132" t="inlineStr">
        <is>
          <t>ÖREBRO LÄN</t>
        </is>
      </c>
      <c r="G132" t="inlineStr">
        <is>
          <t>DEGERFORS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46322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46322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37333-2025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45876</v>
      </c>
      <c r="E135" s="1" t="n">
        <v>46322</v>
      </c>
      <c r="F135" t="inlineStr">
        <is>
          <t>ÖREBRO LÄN</t>
        </is>
      </c>
      <c r="G135" t="inlineStr">
        <is>
          <t>DEGERFORS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46322</v>
      </c>
      <c r="F136" t="inlineStr">
        <is>
          <t>ÖREBRO LÄN</t>
        </is>
      </c>
      <c r="G136" t="inlineStr">
        <is>
          <t>DEGERFORS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38233-2023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45160</v>
      </c>
      <c r="E137" s="1" t="n">
        <v>46322</v>
      </c>
      <c r="F137" t="inlineStr">
        <is>
          <t>ÖREBRO LÄN</t>
        </is>
      </c>
      <c r="G137" t="inlineStr">
        <is>
          <t>DEGERFORS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46322</v>
      </c>
      <c r="F138" t="inlineStr">
        <is>
          <t>ÖREBRO LÄN</t>
        </is>
      </c>
      <c r="G138" t="inlineStr">
        <is>
          <t>DEGERFORS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10674-2024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45369</v>
      </c>
      <c r="E139" s="1" t="n">
        <v>46322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46322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46322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73693-2021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46322</v>
      </c>
      <c r="F142" t="inlineStr">
        <is>
          <t>ÖREBRO LÄN</t>
        </is>
      </c>
      <c r="G142" t="inlineStr">
        <is>
          <t>DEGERFORS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46322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46322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46322</v>
      </c>
      <c r="F145" t="inlineStr">
        <is>
          <t>ÖREBRO LÄN</t>
        </is>
      </c>
      <c r="G145" t="inlineStr">
        <is>
          <t>DEGERFORS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46322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46322</v>
      </c>
      <c r="F147" t="inlineStr">
        <is>
          <t>ÖREBRO LÄN</t>
        </is>
      </c>
      <c r="G147" t="inlineStr">
        <is>
          <t>DEGERFORS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46322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46322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46230</v>
      </c>
      <c r="E150" s="1" t="n">
        <v>46322</v>
      </c>
      <c r="F150" t="inlineStr">
        <is>
          <t>ÖREBRO LÄN</t>
        </is>
      </c>
      <c r="G150" t="inlineStr">
        <is>
          <t>DEGERFORS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31870-2026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46231</v>
      </c>
      <c r="E151" s="1" t="n">
        <v>46322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46231</v>
      </c>
      <c r="E152" s="1" t="n">
        <v>46322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46322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46322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46322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46093</v>
      </c>
      <c r="E156" s="1" t="n">
        <v>46322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46281</v>
      </c>
      <c r="E157" s="1" t="n">
        <v>46322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46322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21952-2024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45443</v>
      </c>
      <c r="E159" s="1" t="n">
        <v>46322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46239</v>
      </c>
      <c r="E160" s="1" t="n">
        <v>46322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62972-2023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46322</v>
      </c>
      <c r="F161" t="inlineStr">
        <is>
          <t>ÖREBRO LÄN</t>
        </is>
      </c>
      <c r="G161" t="inlineStr">
        <is>
          <t>DEGERFORS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46283</v>
      </c>
      <c r="E162" s="1" t="n">
        <v>46322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46322</v>
      </c>
      <c r="F163" t="inlineStr">
        <is>
          <t>ÖREBRO LÄN</t>
        </is>
      </c>
      <c r="G163" t="inlineStr">
        <is>
          <t>DEGERFORS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46322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46239</v>
      </c>
      <c r="E165" s="1" t="n">
        <v>46322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46283</v>
      </c>
      <c r="E166" s="1" t="n">
        <v>46322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12143-2025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45729</v>
      </c>
      <c r="E167" s="1" t="n">
        <v>46322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46127</v>
      </c>
      <c r="E168" s="1" t="n">
        <v>46322</v>
      </c>
      <c r="F168" t="inlineStr">
        <is>
          <t>ÖREBRO LÄN</t>
        </is>
      </c>
      <c r="G168" t="inlineStr">
        <is>
          <t>DEGERFORS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46132</v>
      </c>
      <c r="E169" s="1" t="n">
        <v>46322</v>
      </c>
      <c r="F169" t="inlineStr">
        <is>
          <t>ÖREBRO LÄN</t>
        </is>
      </c>
      <c r="G169" t="inlineStr">
        <is>
          <t>DEGERFORS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46322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20577-2023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45057</v>
      </c>
      <c r="E171" s="1" t="n">
        <v>46322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45192</v>
      </c>
      <c r="E172" s="1" t="n">
        <v>46322</v>
      </c>
      <c r="F172" t="inlineStr">
        <is>
          <t>ÖREBRO LÄN</t>
        </is>
      </c>
      <c r="G172" t="inlineStr">
        <is>
          <t>DEGERFORS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45338</v>
      </c>
      <c r="E173" s="1" t="n">
        <v>46322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46322</v>
      </c>
      <c r="F174" t="inlineStr">
        <is>
          <t>ÖREBRO LÄN</t>
        </is>
      </c>
      <c r="G174" t="inlineStr">
        <is>
          <t>DEGERFORS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46322</v>
      </c>
      <c r="F175" t="inlineStr">
        <is>
          <t>ÖREBRO LÄN</t>
        </is>
      </c>
      <c r="G175" t="inlineStr">
        <is>
          <t>DEGERFORS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45338</v>
      </c>
      <c r="E176" s="1" t="n">
        <v>46322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46322</v>
      </c>
      <c r="F177" t="inlineStr">
        <is>
          <t>ÖREBRO LÄN</t>
        </is>
      </c>
      <c r="G177" t="inlineStr">
        <is>
          <t>DEGERFORS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44986</v>
      </c>
      <c r="E178" s="1" t="n">
        <v>46322</v>
      </c>
      <c r="F178" t="inlineStr">
        <is>
          <t>ÖREBRO LÄN</t>
        </is>
      </c>
      <c r="G178" t="inlineStr">
        <is>
          <t>DEGERFORS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46322</v>
      </c>
      <c r="F179" t="inlineStr">
        <is>
          <t>ÖREBRO LÄN</t>
        </is>
      </c>
      <c r="G179" t="inlineStr">
        <is>
          <t>DEGERFORS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46322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46322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46322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46322</v>
      </c>
      <c r="F183" t="inlineStr">
        <is>
          <t>ÖREBRO LÄN</t>
        </is>
      </c>
      <c r="G183" t="inlineStr">
        <is>
          <t>DEGERFORS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46322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45116</v>
      </c>
      <c r="E185" s="1" t="n">
        <v>46322</v>
      </c>
      <c r="F185" t="inlineStr">
        <is>
          <t>ÖREBRO LÄN</t>
        </is>
      </c>
      <c r="G185" t="inlineStr">
        <is>
          <t>DEGERFORS</t>
        </is>
      </c>
      <c r="I185" t="n">
        <v>17.2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46322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21440-2026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46322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46322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46322</v>
      </c>
      <c r="F189" t="inlineStr">
        <is>
          <t>ÖREBRO LÄN</t>
        </is>
      </c>
      <c r="G189" t="inlineStr">
        <is>
          <t>DEGERFORS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45222</v>
      </c>
      <c r="E190" s="1" t="n">
        <v>46322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46322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46322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46322</v>
      </c>
      <c r="F193" t="inlineStr">
        <is>
          <t>ÖREBRO LÄN</t>
        </is>
      </c>
      <c r="G193" t="inlineStr">
        <is>
          <t>DEGERFORS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46322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44781</v>
      </c>
      <c r="E195" s="1" t="n">
        <v>46322</v>
      </c>
      <c r="F195" t="inlineStr">
        <is>
          <t>ÖREBRO LÄN</t>
        </is>
      </c>
      <c r="G195" t="inlineStr">
        <is>
          <t>DEGERFORS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46322</v>
      </c>
      <c r="F196" t="inlineStr">
        <is>
          <t>ÖREBRO LÄN</t>
        </is>
      </c>
      <c r="G196" t="inlineStr">
        <is>
          <t>DEGERFORS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45384</v>
      </c>
      <c r="E197" s="1" t="n">
        <v>46322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46322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46322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14678-2025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45742</v>
      </c>
      <c r="E200" s="1" t="n">
        <v>46322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46322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46322</v>
      </c>
      <c r="F202" t="inlineStr">
        <is>
          <t>ÖREBRO LÄN</t>
        </is>
      </c>
      <c r="G202" t="inlineStr">
        <is>
          <t>DEGERFORS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46170</v>
      </c>
      <c r="E203" s="1" t="n">
        <v>46322</v>
      </c>
      <c r="F203" t="inlineStr">
        <is>
          <t>ÖREBRO LÄN</t>
        </is>
      </c>
      <c r="G203" t="inlineStr">
        <is>
          <t>DEGERFORS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46322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46322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44509</v>
      </c>
      <c r="E206" s="1" t="n">
        <v>46322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46322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46303</v>
      </c>
      <c r="E208" s="1" t="n">
        <v>46322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46322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46322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46322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45351</v>
      </c>
      <c r="E212" s="1" t="n">
        <v>46322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46322</v>
      </c>
      <c r="F213" t="inlineStr">
        <is>
          <t>ÖREBRO LÄN</t>
        </is>
      </c>
      <c r="G213" t="inlineStr">
        <is>
          <t>DEGERFORS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46307</v>
      </c>
      <c r="E214" s="1" t="n">
        <v>46322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59158-2022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44904</v>
      </c>
      <c r="E215" s="1" t="n">
        <v>46322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46322</v>
      </c>
      <c r="F216" t="inlineStr">
        <is>
          <t>ÖREBRO LÄN</t>
        </is>
      </c>
      <c r="G216" t="inlineStr">
        <is>
          <t>DEGERFORS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46322</v>
      </c>
      <c r="F217" t="inlineStr">
        <is>
          <t>ÖREBRO LÄN</t>
        </is>
      </c>
      <c r="G217" t="inlineStr">
        <is>
          <t>DEGERFORS</t>
        </is>
      </c>
      <c r="I217" t="n">
        <v>13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46322</v>
      </c>
      <c r="F218" t="inlineStr">
        <is>
          <t>ÖREBRO LÄN</t>
        </is>
      </c>
      <c r="G218" t="inlineStr">
        <is>
          <t>DEGERFORS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44989</v>
      </c>
      <c r="E219" s="1" t="n">
        <v>46322</v>
      </c>
      <c r="F219" t="inlineStr">
        <is>
          <t>ÖREBRO LÄN</t>
        </is>
      </c>
      <c r="G219" t="inlineStr">
        <is>
          <t>DEGERFORS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46322</v>
      </c>
      <c r="F220" t="inlineStr">
        <is>
          <t>ÖREBRO LÄN</t>
        </is>
      </c>
      <c r="G220" t="inlineStr">
        <is>
          <t>DEGERFORS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45602</v>
      </c>
      <c r="E221" s="1" t="n">
        <v>46322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46322</v>
      </c>
      <c r="F222" t="inlineStr">
        <is>
          <t>ÖREBRO LÄN</t>
        </is>
      </c>
      <c r="G222" t="inlineStr">
        <is>
          <t>DEGERFORS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46322</v>
      </c>
      <c r="F223" t="inlineStr">
        <is>
          <t>ÖREBRO LÄN</t>
        </is>
      </c>
      <c r="G223" t="inlineStr">
        <is>
          <t>DEGERFORS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45861-2023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45195</v>
      </c>
      <c r="E224" s="1" t="n">
        <v>46322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46322</v>
      </c>
      <c r="F225" t="inlineStr">
        <is>
          <t>ÖREBRO LÄN</t>
        </is>
      </c>
      <c r="G225" t="inlineStr">
        <is>
          <t>DEGERFORS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46322</v>
      </c>
      <c r="F226" t="inlineStr">
        <is>
          <t>ÖREBRO LÄN</t>
        </is>
      </c>
      <c r="G226" t="inlineStr">
        <is>
          <t>DEGERFORS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46322</v>
      </c>
      <c r="F227" t="inlineStr">
        <is>
          <t>ÖREBRO LÄN</t>
        </is>
      </c>
      <c r="G227" t="inlineStr">
        <is>
          <t>DEGERFORS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46322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46279</v>
      </c>
      <c r="E229" s="1" t="n">
        <v>46322</v>
      </c>
      <c r="F229" t="inlineStr">
        <is>
          <t>ÖREBRO LÄN</t>
        </is>
      </c>
      <c r="G229" t="inlineStr">
        <is>
          <t>DEGERFORS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46322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46320</v>
      </c>
      <c r="E231" s="1" t="n">
        <v>46322</v>
      </c>
      <c r="F231" t="inlineStr">
        <is>
          <t>ÖREBRO LÄN</t>
        </is>
      </c>
      <c r="G231" t="inlineStr">
        <is>
          <t>DEGERFORS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46322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46322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46322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46322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46322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46322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46322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46322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2026-10-27T03:11:07Z</dcterms:created>
  <dcterms:modified xmlns:dcterms="http://purl.org/dc/terms/" xmlns:xsi="http://www.w3.org/2001/XMLSchema-instance" xsi:type="dcterms:W3CDTF">2026-10-27T03:11:07Z</dcterms:modified>
</cp:coreProperties>
</file>