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46297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46297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46297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46297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46297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46297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46297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46297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46297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46297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46297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46297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46297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46297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46297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46297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46297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46297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46297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36081-2025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45866</v>
      </c>
      <c r="E21" s="1" t="n">
        <v>46297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Jungfrulin
Skogsklocka
Svinrot
Springkorn</t>
        </is>
      </c>
      <c r="W21">
        <f>HYPERLINK("https://klasma.github.io/Logging_1862/artfynd/A 36081-2025 artfynd.xlsx", "A 36081-2025")</f>
        <v/>
      </c>
      <c r="X21">
        <f>HYPERLINK("https://klasma.github.io/Logging_1862/kartor/A 36081-2025 karta.png", "A 36081-2025")</f>
        <v/>
      </c>
      <c r="Y21">
        <f>HYPERLINK("https://klasma.github.io/Logging_1862/kartor_geotiff/A 36081-2025 georefererad karta.tif", "A 36081-2025")</f>
        <v/>
      </c>
      <c r="AA21">
        <f>HYPERLINK("https://klasma.github.io/Logging_1862/klagomål/A 36081-2025 FSC-klagomål.docx", "A 36081-2025")</f>
        <v/>
      </c>
      <c r="AB21">
        <f>HYPERLINK("https://klasma.github.io/Logging_1862/klagomålsmail/A 36081-2025 FSC-klagomål mail.docx", "A 36081-2025")</f>
        <v/>
      </c>
      <c r="AC21">
        <f>HYPERLINK("https://klasma.github.io/Logging_1862/tillsyn/A 36081-2025 tillsynsbegäran.docx", "A 36081-2025")</f>
        <v/>
      </c>
      <c r="AD21">
        <f>HYPERLINK("https://klasma.github.io/Logging_1862/tillsynsmail/A 36081-2025 tillsynsbegäran mail.docx", "A 36081-2025")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46297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46297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46297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46297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46297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4256-2026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46297</v>
      </c>
      <c r="F27" t="inlineStr">
        <is>
          <t>ÖREBRO LÄN</t>
        </is>
      </c>
      <c r="G27" t="inlineStr">
        <is>
          <t>DEGERFORS</t>
        </is>
      </c>
      <c r="I27" t="n">
        <v>2.9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Skogsklocka
Slåtterfibbla</t>
        </is>
      </c>
      <c r="W27">
        <f>HYPERLINK("https://klasma.github.io/Logging_1862/artfynd/A 4256-2026 artfynd.xlsx", "A 4256-2026")</f>
        <v/>
      </c>
      <c r="X27">
        <f>HYPERLINK("https://klasma.github.io/Logging_1862/kartor/A 4256-2026 karta.png", "A 4256-2026")</f>
        <v/>
      </c>
      <c r="Y27">
        <f>HYPERLINK("https://klasma.github.io/Logging_1862/kartor_geotiff/A 4256-2026 georefererad karta.tif", "A 4256-2026")</f>
        <v/>
      </c>
      <c r="AA27">
        <f>HYPERLINK("https://klasma.github.io/Logging_1862/klagomål/A 4256-2026 FSC-klagomål.docx", "A 4256-2026")</f>
        <v/>
      </c>
      <c r="AB27">
        <f>HYPERLINK("https://klasma.github.io/Logging_1862/klagomålsmail/A 4256-2026 FSC-klagomål mail.docx", "A 4256-2026")</f>
        <v/>
      </c>
      <c r="AC27">
        <f>HYPERLINK("https://klasma.github.io/Logging_1862/tillsyn/A 4256-2026 tillsynsbegäran.docx", "A 4256-2026")</f>
        <v/>
      </c>
      <c r="AD27">
        <f>HYPERLINK("https://klasma.github.io/Logging_1862/tillsynsmail/A 4256-2026 tillsynsbegäran mail.docx", "A 4256-2026")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46297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46297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46297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46297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28976-2026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46199</v>
      </c>
      <c r="E32" s="1" t="n">
        <v>46297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2.3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Orange taggsvamp
Talltita</t>
        </is>
      </c>
      <c r="W32">
        <f>HYPERLINK("https://klasma.github.io/Logging_1862/artfynd/A 28976-2026 artfynd.xlsx", "A 28976-2026")</f>
        <v/>
      </c>
      <c r="X32">
        <f>HYPERLINK("https://klasma.github.io/Logging_1862/kartor/A 28976-2026 karta.png", "A 28976-2026")</f>
        <v/>
      </c>
      <c r="Y32">
        <f>HYPERLINK("https://klasma.github.io/Logging_1862/kartor_geotiff/A 28976-2026 georefererad karta.tif", "A 28976-2026")</f>
        <v/>
      </c>
      <c r="AA32">
        <f>HYPERLINK("https://klasma.github.io/Logging_1862/klagomål/A 28976-2026 FSC-klagomål.docx", "A 28976-2026")</f>
        <v/>
      </c>
      <c r="AB32">
        <f>HYPERLINK("https://klasma.github.io/Logging_1862/klagomålsmail/A 28976-2026 FSC-klagomål mail.docx", "A 28976-2026")</f>
        <v/>
      </c>
      <c r="AC32">
        <f>HYPERLINK("https://klasma.github.io/Logging_1862/tillsyn/A 28976-2026 tillsynsbegäran.docx", "A 28976-2026")</f>
        <v/>
      </c>
      <c r="AD32">
        <f>HYPERLINK("https://klasma.github.io/Logging_1862/tillsynsmail/A 28976-2026 tillsynsbegäran mail.docx", "A 28976-2026")</f>
        <v/>
      </c>
      <c r="AE32">
        <f>HYPERLINK("https://klasma.github.io/Logging_1862/fåglar/A 28976-2026 prioriterade fågelarter.docx", "A 28976-2026")</f>
        <v/>
      </c>
    </row>
    <row r="33" ht="15" customHeight="1">
      <c r="A33" t="inlineStr">
        <is>
          <t>A 38914-2023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45163</v>
      </c>
      <c r="E33" s="1" t="n">
        <v>46297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Tretåig hackspett
Tjäder</t>
        </is>
      </c>
      <c r="W33">
        <f>HYPERLINK("https://klasma.github.io/Logging_1862/artfynd/A 38914-2023 artfynd.xlsx", "A 38914-2023")</f>
        <v/>
      </c>
      <c r="X33">
        <f>HYPERLINK("https://klasma.github.io/Logging_1862/kartor/A 38914-2023 karta.png", "A 38914-2023")</f>
        <v/>
      </c>
      <c r="Y33">
        <f>HYPERLINK("https://klasma.github.io/Logging_1862/kartor_geotiff/A 38914-2023 georefererad karta.tif", "A 38914-2023")</f>
        <v/>
      </c>
      <c r="AA33">
        <f>HYPERLINK("https://klasma.github.io/Logging_1862/klagomål/A 38914-2023 FSC-klagomål.docx", "A 38914-2023")</f>
        <v/>
      </c>
      <c r="AB33">
        <f>HYPERLINK("https://klasma.github.io/Logging_1862/klagomålsmail/A 38914-2023 FSC-klagomål mail.docx", "A 38914-2023")</f>
        <v/>
      </c>
      <c r="AC33">
        <f>HYPERLINK("https://klasma.github.io/Logging_1862/tillsyn/A 38914-2023 tillsynsbegäran.docx", "A 38914-2023")</f>
        <v/>
      </c>
      <c r="AD33">
        <f>HYPERLINK("https://klasma.github.io/Logging_1862/tillsynsmail/A 38914-2023 tillsynsbegäran mail.docx", "A 38914-2023")</f>
        <v/>
      </c>
      <c r="AE33">
        <f>HYPERLINK("https://klasma.github.io/Logging_1862/fåglar/A 38914-2023 prioriterade fågelarter.docx", "A 38914-2023")</f>
        <v/>
      </c>
    </row>
    <row r="34" ht="15" customHeight="1">
      <c r="A34" t="inlineStr">
        <is>
          <t>A 58132-2021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44487</v>
      </c>
      <c r="E34" s="1" t="n">
        <v>46297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Hårklomossa</t>
        </is>
      </c>
      <c r="W34">
        <f>HYPERLINK("https://klasma.github.io/Logging_1862/artfynd/A 58132-2021 artfynd.xlsx", "A 58132-2021")</f>
        <v/>
      </c>
      <c r="X34">
        <f>HYPERLINK("https://klasma.github.io/Logging_1862/kartor/A 58132-2021 karta.png", "A 58132-2021")</f>
        <v/>
      </c>
      <c r="Y34">
        <f>HYPERLINK("https://klasma.github.io/Logging_1862/kartor_geotiff/A 58132-2021 georefererad karta.tif", "A 58132-2021")</f>
        <v/>
      </c>
      <c r="AA34">
        <f>HYPERLINK("https://klasma.github.io/Logging_1862/klagomål/A 58132-2021 FSC-klagomål.docx", "A 58132-2021")</f>
        <v/>
      </c>
      <c r="AB34">
        <f>HYPERLINK("https://klasma.github.io/Logging_1862/klagomålsmail/A 58132-2021 FSC-klagomål mail.docx", "A 58132-2021")</f>
        <v/>
      </c>
      <c r="AC34">
        <f>HYPERLINK("https://klasma.github.io/Logging_1862/tillsyn/A 58132-2021 tillsynsbegäran.docx", "A 58132-2021")</f>
        <v/>
      </c>
      <c r="AD34">
        <f>HYPERLINK("https://klasma.github.io/Logging_1862/tillsynsmail/A 58132-2021 tillsynsbegäran mail.docx", "A 58132-2021")</f>
        <v/>
      </c>
    </row>
    <row r="35" ht="15" customHeight="1">
      <c r="A35" t="inlineStr">
        <is>
          <t>A 49306-2025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45938</v>
      </c>
      <c r="E35" s="1" t="n">
        <v>46297</v>
      </c>
      <c r="F35" t="inlineStr">
        <is>
          <t>ÖREBRO LÄN</t>
        </is>
      </c>
      <c r="G35" t="inlineStr">
        <is>
          <t>DEGERFORS</t>
        </is>
      </c>
      <c r="I35" t="n">
        <v>5.8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Svart trolldruva</t>
        </is>
      </c>
      <c r="W35">
        <f>HYPERLINK("https://klasma.github.io/Logging_1862/artfynd/A 49306-2025 artfynd.xlsx", "A 49306-2025")</f>
        <v/>
      </c>
      <c r="X35">
        <f>HYPERLINK("https://klasma.github.io/Logging_1862/kartor/A 49306-2025 karta.png", "A 49306-2025")</f>
        <v/>
      </c>
      <c r="Y35">
        <f>HYPERLINK("https://klasma.github.io/Logging_1862/kartor_geotiff/A 49306-2025 georefererad karta.tif", "A 49306-2025")</f>
        <v/>
      </c>
      <c r="AA35">
        <f>HYPERLINK("https://klasma.github.io/Logging_1862/klagomål/A 49306-2025 FSC-klagomål.docx", "A 49306-2025")</f>
        <v/>
      </c>
      <c r="AB35">
        <f>HYPERLINK("https://klasma.github.io/Logging_1862/klagomålsmail/A 49306-2025 FSC-klagomål mail.docx", "A 49306-2025")</f>
        <v/>
      </c>
      <c r="AC35">
        <f>HYPERLINK("https://klasma.github.io/Logging_1862/tillsyn/A 49306-2025 tillsynsbegäran.docx", "A 49306-2025")</f>
        <v/>
      </c>
      <c r="AD35">
        <f>HYPERLINK("https://klasma.github.io/Logging_1862/tillsynsmail/A 49306-2025 tillsynsbegäran mail.docx", "A 49306-2025")</f>
        <v/>
      </c>
    </row>
    <row r="36" ht="15" customHeight="1">
      <c r="A36" t="inlineStr">
        <is>
          <t>A 14177-2026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46099</v>
      </c>
      <c r="E36" s="1" t="n">
        <v>46297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HYPERLINK("https://klasma.github.io/Logging_1862/artfynd/A 14177-2026 artfynd.xlsx", "A 14177-2026")</f>
        <v/>
      </c>
      <c r="X36">
        <f>HYPERLINK("https://klasma.github.io/Logging_1862/kartor/A 14177-2026 karta.png", "A 14177-2026")</f>
        <v/>
      </c>
      <c r="Y36">
        <f>HYPERLINK("https://klasma.github.io/Logging_1862/kartor_geotiff/A 14177-2026 georefererad karta.tif", "A 14177-2026")</f>
        <v/>
      </c>
      <c r="AA36">
        <f>HYPERLINK("https://klasma.github.io/Logging_1862/klagomål/A 14177-2026 FSC-klagomål.docx", "A 14177-2026")</f>
        <v/>
      </c>
      <c r="AB36">
        <f>HYPERLINK("https://klasma.github.io/Logging_1862/klagomålsmail/A 14177-2026 FSC-klagomål mail.docx", "A 14177-2026")</f>
        <v/>
      </c>
      <c r="AC36">
        <f>HYPERLINK("https://klasma.github.io/Logging_1862/tillsyn/A 14177-2026 tillsynsbegäran.docx", "A 14177-2026")</f>
        <v/>
      </c>
      <c r="AD36">
        <f>HYPERLINK("https://klasma.github.io/Logging_1862/tillsynsmail/A 14177-2026 tillsynsbegäran mail.docx", "A 14177-2026")</f>
        <v/>
      </c>
    </row>
    <row r="37" ht="15" customHeight="1">
      <c r="A37" t="inlineStr">
        <is>
          <t>A 47915-2024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45589</v>
      </c>
      <c r="E37" s="1" t="n">
        <v>46297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HYPERLINK("https://klasma.github.io/Logging_1862/artfynd/A 47915-2024 artfynd.xlsx", "A 47915-2024")</f>
        <v/>
      </c>
      <c r="X37">
        <f>HYPERLINK("https://klasma.github.io/Logging_1862/kartor/A 47915-2024 karta.png", "A 47915-2024")</f>
        <v/>
      </c>
      <c r="Y37">
        <f>HYPERLINK("https://klasma.github.io/Logging_1862/kartor_geotiff/A 47915-2024 georefererad karta.tif", "A 47915-2024")</f>
        <v/>
      </c>
      <c r="AA37">
        <f>HYPERLINK("https://klasma.github.io/Logging_1862/klagomål/A 47915-2024 FSC-klagomål.docx", "A 47915-2024")</f>
        <v/>
      </c>
      <c r="AB37">
        <f>HYPERLINK("https://klasma.github.io/Logging_1862/klagomålsmail/A 47915-2024 FSC-klagomål mail.docx", "A 47915-2024")</f>
        <v/>
      </c>
      <c r="AC37">
        <f>HYPERLINK("https://klasma.github.io/Logging_1862/tillsyn/A 47915-2024 tillsynsbegäran.docx", "A 47915-2024")</f>
        <v/>
      </c>
      <c r="AD37">
        <f>HYPERLINK("https://klasma.github.io/Logging_1862/tillsynsmail/A 47915-2024 tillsynsbegäran mail.docx", "A 47915-2024")</f>
        <v/>
      </c>
    </row>
    <row r="38" ht="15" customHeight="1">
      <c r="A38" t="inlineStr">
        <is>
          <t>A 47787-2025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45931</v>
      </c>
      <c r="E38" s="1" t="n">
        <v>46297</v>
      </c>
      <c r="F38" t="inlineStr">
        <is>
          <t>ÖREBRO LÄN</t>
        </is>
      </c>
      <c r="G38" t="inlineStr">
        <is>
          <t>DEGERFORS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Tretåig hackspett</t>
        </is>
      </c>
      <c r="W38">
        <f>HYPERLINK("https://klasma.github.io/Logging_1862/artfynd/A 47787-2025 artfynd.xlsx", "A 47787-2025")</f>
        <v/>
      </c>
      <c r="X38">
        <f>HYPERLINK("https://klasma.github.io/Logging_1862/kartor/A 47787-2025 karta.png", "A 47787-2025")</f>
        <v/>
      </c>
      <c r="Y38">
        <f>HYPERLINK("https://klasma.github.io/Logging_1862/kartor_geotiff/A 47787-2025 georefererad karta.tif", "A 47787-2025")</f>
        <v/>
      </c>
      <c r="AA38">
        <f>HYPERLINK("https://klasma.github.io/Logging_1862/klagomål/A 47787-2025 FSC-klagomål.docx", "A 47787-2025")</f>
        <v/>
      </c>
      <c r="AB38">
        <f>HYPERLINK("https://klasma.github.io/Logging_1862/klagomålsmail/A 47787-2025 FSC-klagomål mail.docx", "A 47787-2025")</f>
        <v/>
      </c>
      <c r="AC38">
        <f>HYPERLINK("https://klasma.github.io/Logging_1862/tillsyn/A 47787-2025 tillsynsbegäran.docx", "A 47787-2025")</f>
        <v/>
      </c>
      <c r="AD38">
        <f>HYPERLINK("https://klasma.github.io/Logging_1862/tillsynsmail/A 47787-2025 tillsynsbegäran mail.docx", "A 47787-2025")</f>
        <v/>
      </c>
      <c r="AE38">
        <f>HYPERLINK("https://klasma.github.io/Logging_1862/fåglar/A 47787-2025 prioriterade fågelarter.docx", "A 47787-2025")</f>
        <v/>
      </c>
    </row>
    <row r="39" ht="15" customHeight="1">
      <c r="A39" t="inlineStr">
        <is>
          <t>A 38904-2023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45163</v>
      </c>
      <c r="E39" s="1" t="n">
        <v>46297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38904-2023 artfynd.xlsx", "A 38904-2023")</f>
        <v/>
      </c>
      <c r="X39">
        <f>HYPERLINK("https://klasma.github.io/Logging_1862/kartor/A 38904-2023 karta.png", "A 38904-2023")</f>
        <v/>
      </c>
      <c r="Y39">
        <f>HYPERLINK("https://klasma.github.io/Logging_1862/kartor_geotiff/A 38904-2023 georefererad karta.tif", "A 38904-2023")</f>
        <v/>
      </c>
      <c r="AA39">
        <f>HYPERLINK("https://klasma.github.io/Logging_1862/klagomål/A 38904-2023 FSC-klagomål.docx", "A 38904-2023")</f>
        <v/>
      </c>
      <c r="AB39">
        <f>HYPERLINK("https://klasma.github.io/Logging_1862/klagomålsmail/A 38904-2023 FSC-klagomål mail.docx", "A 38904-2023")</f>
        <v/>
      </c>
      <c r="AC39">
        <f>HYPERLINK("https://klasma.github.io/Logging_1862/tillsyn/A 38904-2023 tillsynsbegäran.docx", "A 38904-2023")</f>
        <v/>
      </c>
      <c r="AD39">
        <f>HYPERLINK("https://klasma.github.io/Logging_1862/tillsynsmail/A 38904-2023 tillsynsbegäran mail.docx", "A 38904-2023")</f>
        <v/>
      </c>
      <c r="AE39">
        <f>HYPERLINK("https://klasma.github.io/Logging_1862/fåglar/A 38904-2023 prioriterade fågelarter.docx", "A 38904-2023")</f>
        <v/>
      </c>
    </row>
    <row r="40" ht="15" customHeight="1">
      <c r="A40" t="inlineStr">
        <is>
          <t>A 38907-2023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45163</v>
      </c>
      <c r="E40" s="1" t="n">
        <v>46297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2.9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38907-2023 artfynd.xlsx", "A 38907-2023")</f>
        <v/>
      </c>
      <c r="X40">
        <f>HYPERLINK("https://klasma.github.io/Logging_1862/kartor/A 38907-2023 karta.png", "A 38907-2023")</f>
        <v/>
      </c>
      <c r="Y40">
        <f>HYPERLINK("https://klasma.github.io/Logging_1862/kartor_geotiff/A 38907-2023 georefererad karta.tif", "A 38907-2023")</f>
        <v/>
      </c>
      <c r="AA40">
        <f>HYPERLINK("https://klasma.github.io/Logging_1862/klagomål/A 38907-2023 FSC-klagomål.docx", "A 38907-2023")</f>
        <v/>
      </c>
      <c r="AB40">
        <f>HYPERLINK("https://klasma.github.io/Logging_1862/klagomålsmail/A 38907-2023 FSC-klagomål mail.docx", "A 38907-2023")</f>
        <v/>
      </c>
      <c r="AC40">
        <f>HYPERLINK("https://klasma.github.io/Logging_1862/tillsyn/A 38907-2023 tillsynsbegäran.docx", "A 38907-2023")</f>
        <v/>
      </c>
      <c r="AD40">
        <f>HYPERLINK("https://klasma.github.io/Logging_1862/tillsynsmail/A 38907-2023 tillsynsbegäran mail.docx", "A 38907-2023")</f>
        <v/>
      </c>
      <c r="AE40">
        <f>HYPERLINK("https://klasma.github.io/Logging_1862/fåglar/A 38907-2023 prioriterade fågelarter.docx", "A 38907-2023")</f>
        <v/>
      </c>
    </row>
    <row r="41" ht="15" customHeight="1">
      <c r="A41" t="inlineStr">
        <is>
          <t>A 48285-2023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45205</v>
      </c>
      <c r="E41" s="1" t="n">
        <v>46297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48285-2023 artfynd.xlsx", "A 48285-2023")</f>
        <v/>
      </c>
      <c r="X41">
        <f>HYPERLINK("https://klasma.github.io/Logging_1862/kartor/A 48285-2023 karta.png", "A 48285-2023")</f>
        <v/>
      </c>
      <c r="Y41">
        <f>HYPERLINK("https://klasma.github.io/Logging_1862/kartor_geotiff/A 48285-2023 georefererad karta.tif", "A 48285-2023")</f>
        <v/>
      </c>
      <c r="AA41">
        <f>HYPERLINK("https://klasma.github.io/Logging_1862/klagomål/A 48285-2023 FSC-klagomål.docx", "A 48285-2023")</f>
        <v/>
      </c>
      <c r="AB41">
        <f>HYPERLINK("https://klasma.github.io/Logging_1862/klagomålsmail/A 48285-2023 FSC-klagomål mail.docx", "A 48285-2023")</f>
        <v/>
      </c>
      <c r="AC41">
        <f>HYPERLINK("https://klasma.github.io/Logging_1862/tillsyn/A 48285-2023 tillsynsbegäran.docx", "A 48285-2023")</f>
        <v/>
      </c>
      <c r="AD41">
        <f>HYPERLINK("https://klasma.github.io/Logging_1862/tillsynsmail/A 48285-2023 tillsynsbegäran mail.docx", "A 48285-2023")</f>
        <v/>
      </c>
      <c r="AE41">
        <f>HYPERLINK("https://klasma.github.io/Logging_1862/fåglar/A 48285-2023 prioriterade fågelarter.docx", "A 48285-2023")</f>
        <v/>
      </c>
    </row>
    <row r="42" ht="15" customHeight="1">
      <c r="A42" t="inlineStr">
        <is>
          <t>A 27093-2023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45096</v>
      </c>
      <c r="E42" s="1" t="n">
        <v>46297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5.9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27093-2023 artfynd.xlsx", "A 27093-2023")</f>
        <v/>
      </c>
      <c r="X42">
        <f>HYPERLINK("https://klasma.github.io/Logging_1862/kartor/A 27093-2023 karta.png", "A 27093-2023")</f>
        <v/>
      </c>
      <c r="Y42">
        <f>HYPERLINK("https://klasma.github.io/Logging_1862/kartor_geotiff/A 27093-2023 georefererad karta.tif", "A 27093-2023")</f>
        <v/>
      </c>
      <c r="AA42">
        <f>HYPERLINK("https://klasma.github.io/Logging_1862/klagomål/A 27093-2023 FSC-klagomål.docx", "A 27093-2023")</f>
        <v/>
      </c>
      <c r="AB42">
        <f>HYPERLINK("https://klasma.github.io/Logging_1862/klagomålsmail/A 27093-2023 FSC-klagomål mail.docx", "A 27093-2023")</f>
        <v/>
      </c>
      <c r="AC42">
        <f>HYPERLINK("https://klasma.github.io/Logging_1862/tillsyn/A 27093-2023 tillsynsbegäran.docx", "A 27093-2023")</f>
        <v/>
      </c>
      <c r="AD42">
        <f>HYPERLINK("https://klasma.github.io/Logging_1862/tillsynsmail/A 27093-2023 tillsynsbegäran mail.docx", "A 27093-2023")</f>
        <v/>
      </c>
      <c r="AE42">
        <f>HYPERLINK("https://klasma.github.io/Logging_1862/fåglar/A 27093-2023 prioriterade fågelarter.docx", "A 27093-2023")</f>
        <v/>
      </c>
    </row>
    <row r="43" ht="15" customHeight="1">
      <c r="A43" t="inlineStr">
        <is>
          <t>A 47941-2024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46297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Brunfläckig pärlemorfjäril</t>
        </is>
      </c>
      <c r="W43">
        <f>HYPERLINK("https://klasma.github.io/Logging_1862/artfynd/A 47941-2024 artfynd.xlsx", "A 47941-2024")</f>
        <v/>
      </c>
      <c r="X43">
        <f>HYPERLINK("https://klasma.github.io/Logging_1862/kartor/A 47941-2024 karta.png", "A 47941-2024")</f>
        <v/>
      </c>
      <c r="Y43">
        <f>HYPERLINK("https://klasma.github.io/Logging_1862/kartor_geotiff/A 47941-2024 georefererad karta.tif", "A 47941-2024")</f>
        <v/>
      </c>
      <c r="AA43">
        <f>HYPERLINK("https://klasma.github.io/Logging_1862/klagomål/A 47941-2024 FSC-klagomål.docx", "A 47941-2024")</f>
        <v/>
      </c>
      <c r="AB43">
        <f>HYPERLINK("https://klasma.github.io/Logging_1862/klagomålsmail/A 47941-2024 FSC-klagomål mail.docx", "A 47941-2024")</f>
        <v/>
      </c>
      <c r="AC43">
        <f>HYPERLINK("https://klasma.github.io/Logging_1862/tillsyn/A 47941-2024 tillsynsbegäran.docx", "A 47941-2024")</f>
        <v/>
      </c>
      <c r="AD43">
        <f>HYPERLINK("https://klasma.github.io/Logging_1862/tillsynsmail/A 47941-2024 tillsynsbegäran mail.docx", "A 47941-2024")</f>
        <v/>
      </c>
    </row>
    <row r="44" ht="15" customHeight="1">
      <c r="A44" t="inlineStr">
        <is>
          <t>A 14121-2022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46297</v>
      </c>
      <c r="F44" t="inlineStr">
        <is>
          <t>ÖREBRO LÄN</t>
        </is>
      </c>
      <c r="G44" t="inlineStr">
        <is>
          <t>DEGERFORS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Hårklomossa</t>
        </is>
      </c>
      <c r="W44">
        <f>HYPERLINK("https://klasma.github.io/Logging_1862/artfynd/A 14121-2022 artfynd.xlsx", "A 14121-2022")</f>
        <v/>
      </c>
      <c r="X44">
        <f>HYPERLINK("https://klasma.github.io/Logging_1862/kartor/A 14121-2022 karta.png", "A 14121-2022")</f>
        <v/>
      </c>
      <c r="Y44">
        <f>HYPERLINK("https://klasma.github.io/Logging_1862/kartor_geotiff/A 14121-2022 georefererad karta.tif", "A 14121-2022")</f>
        <v/>
      </c>
      <c r="AA44">
        <f>HYPERLINK("https://klasma.github.io/Logging_1862/klagomål/A 14121-2022 FSC-klagomål.docx", "A 14121-2022")</f>
        <v/>
      </c>
      <c r="AB44">
        <f>HYPERLINK("https://klasma.github.io/Logging_1862/klagomålsmail/A 14121-2022 FSC-klagomål mail.docx", "A 14121-2022")</f>
        <v/>
      </c>
      <c r="AC44">
        <f>HYPERLINK("https://klasma.github.io/Logging_1862/tillsyn/A 14121-2022 tillsynsbegäran.docx", "A 14121-2022")</f>
        <v/>
      </c>
      <c r="AD44">
        <f>HYPERLINK("https://klasma.github.io/Logging_1862/tillsynsmail/A 14121-2022 tillsynsbegäran mail.docx", "A 14121-2022")</f>
        <v/>
      </c>
    </row>
    <row r="45" ht="15" customHeight="1">
      <c r="A45" t="inlineStr">
        <is>
          <t>A 27071-2026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46297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9.9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HYPERLINK("https://klasma.github.io/Logging_1862/artfynd/A 27071-2026 artfynd.xlsx", "A 27071-2026")</f>
        <v/>
      </c>
      <c r="X45">
        <f>HYPERLINK("https://klasma.github.io/Logging_1862/kartor/A 27071-2026 karta.png", "A 27071-2026")</f>
        <v/>
      </c>
      <c r="Y45">
        <f>HYPERLINK("https://klasma.github.io/Logging_1862/kartor_geotiff/A 27071-2026 georefererad karta.tif", "A 27071-2026")</f>
        <v/>
      </c>
      <c r="AA45">
        <f>HYPERLINK("https://klasma.github.io/Logging_1862/klagomål/A 27071-2026 FSC-klagomål.docx", "A 27071-2026")</f>
        <v/>
      </c>
      <c r="AB45">
        <f>HYPERLINK("https://klasma.github.io/Logging_1862/klagomålsmail/A 27071-2026 FSC-klagomål mail.docx", "A 27071-2026")</f>
        <v/>
      </c>
      <c r="AC45">
        <f>HYPERLINK("https://klasma.github.io/Logging_1862/tillsyn/A 27071-2026 tillsynsbegäran.docx", "A 27071-2026")</f>
        <v/>
      </c>
      <c r="AD45">
        <f>HYPERLINK("https://klasma.github.io/Logging_1862/tillsynsmail/A 27071-2026 tillsynsbegäran mail.docx", "A 27071-2026")</f>
        <v/>
      </c>
    </row>
    <row r="46" ht="15" customHeight="1">
      <c r="A46" t="inlineStr">
        <is>
          <t>A 27072-2026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46186</v>
      </c>
      <c r="E46" s="1" t="n">
        <v>46297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7.6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HYPERLINK("https://klasma.github.io/Logging_1862/artfynd/A 27072-2026 artfynd.xlsx", "A 27072-2026")</f>
        <v/>
      </c>
      <c r="X46">
        <f>HYPERLINK("https://klasma.github.io/Logging_1862/kartor/A 27072-2026 karta.png", "A 27072-2026")</f>
        <v/>
      </c>
      <c r="Y46">
        <f>HYPERLINK("https://klasma.github.io/Logging_1862/kartor_geotiff/A 27072-2026 georefererad karta.tif", "A 27072-2026")</f>
        <v/>
      </c>
      <c r="AA46">
        <f>HYPERLINK("https://klasma.github.io/Logging_1862/klagomål/A 27072-2026 FSC-klagomål.docx", "A 27072-2026")</f>
        <v/>
      </c>
      <c r="AB46">
        <f>HYPERLINK("https://klasma.github.io/Logging_1862/klagomålsmail/A 27072-2026 FSC-klagomål mail.docx", "A 27072-2026")</f>
        <v/>
      </c>
      <c r="AC46">
        <f>HYPERLINK("https://klasma.github.io/Logging_1862/tillsyn/A 27072-2026 tillsynsbegäran.docx", "A 27072-2026")</f>
        <v/>
      </c>
      <c r="AD46">
        <f>HYPERLINK("https://klasma.github.io/Logging_1862/tillsynsmail/A 27072-2026 tillsynsbegäran mail.docx", "A 27072-2026")</f>
        <v/>
      </c>
      <c r="AE46">
        <f>HYPERLINK("https://klasma.github.io/Logging_1862/fåglar/A 27072-2026 prioriterade fågelarter.docx", "A 27072-2026")</f>
        <v/>
      </c>
    </row>
    <row r="47" ht="15" customHeight="1">
      <c r="A47" t="inlineStr">
        <is>
          <t>A 33297-2023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45116</v>
      </c>
      <c r="E47" s="1" t="n">
        <v>46297</v>
      </c>
      <c r="F47" t="inlineStr">
        <is>
          <t>ÖREBRO LÄN</t>
        </is>
      </c>
      <c r="G47" t="inlineStr">
        <is>
          <t>DEGERFORS</t>
        </is>
      </c>
      <c r="I47" t="n">
        <v>7.2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HYPERLINK("https://klasma.github.io/Logging_1862/artfynd/A 33297-2023 artfynd.xlsx", "A 33297-2023")</f>
        <v/>
      </c>
      <c r="X47">
        <f>HYPERLINK("https://klasma.github.io/Logging_1862/kartor/A 33297-2023 karta.png", "A 33297-2023")</f>
        <v/>
      </c>
      <c r="Y47">
        <f>HYPERLINK("https://klasma.github.io/Logging_1862/kartor_geotiff/A 33297-2023 georefererad karta.tif", "A 33297-2023")</f>
        <v/>
      </c>
      <c r="AA47">
        <f>HYPERLINK("https://klasma.github.io/Logging_1862/klagomål/A 33297-2023 FSC-klagomål.docx", "A 33297-2023")</f>
        <v/>
      </c>
      <c r="AB47">
        <f>HYPERLINK("https://klasma.github.io/Logging_1862/klagomålsmail/A 33297-2023 FSC-klagomål mail.docx", "A 33297-2023")</f>
        <v/>
      </c>
      <c r="AC47">
        <f>HYPERLINK("https://klasma.github.io/Logging_1862/tillsyn/A 33297-2023 tillsynsbegäran.docx", "A 33297-2023")</f>
        <v/>
      </c>
      <c r="AD47">
        <f>HYPERLINK("https://klasma.github.io/Logging_1862/tillsynsmail/A 33297-2023 tillsynsbegäran mail.docx", "A 33297-2023")</f>
        <v/>
      </c>
    </row>
    <row r="48" ht="15" customHeight="1">
      <c r="A48" t="inlineStr">
        <is>
          <t>A 26971-2026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46185</v>
      </c>
      <c r="E48" s="1" t="n">
        <v>46297</v>
      </c>
      <c r="F48" t="inlineStr">
        <is>
          <t>ÖREBRO LÄN</t>
        </is>
      </c>
      <c r="G48" t="inlineStr">
        <is>
          <t>DEGERFORS</t>
        </is>
      </c>
      <c r="I48" t="n">
        <v>2.1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Stuplav</t>
        </is>
      </c>
      <c r="W48">
        <f>HYPERLINK("https://klasma.github.io/Logging_1862/artfynd/A 26971-2026 artfynd.xlsx", "A 26971-2026")</f>
        <v/>
      </c>
      <c r="X48">
        <f>HYPERLINK("https://klasma.github.io/Logging_1862/kartor/A 26971-2026 karta.png", "A 26971-2026")</f>
        <v/>
      </c>
      <c r="Y48">
        <f>HYPERLINK("https://klasma.github.io/Logging_1862/kartor_geotiff/A 26971-2026 georefererad karta.tif", "A 26971-2026")</f>
        <v/>
      </c>
      <c r="AA48">
        <f>HYPERLINK("https://klasma.github.io/Logging_1862/klagomål/A 26971-2026 FSC-klagomål.docx", "A 26971-2026")</f>
        <v/>
      </c>
      <c r="AB48">
        <f>HYPERLINK("https://klasma.github.io/Logging_1862/klagomålsmail/A 26971-2026 FSC-klagomål mail.docx", "A 26971-2026")</f>
        <v/>
      </c>
      <c r="AC48">
        <f>HYPERLINK("https://klasma.github.io/Logging_1862/tillsyn/A 26971-2026 tillsynsbegäran.docx", "A 26971-2026")</f>
        <v/>
      </c>
      <c r="AD48">
        <f>HYPERLINK("https://klasma.github.io/Logging_1862/tillsynsmail/A 26971-2026 tillsynsbegäran mail.docx", "A 26971-2026")</f>
        <v/>
      </c>
    </row>
    <row r="49" ht="15" customHeight="1">
      <c r="A49" t="inlineStr">
        <is>
          <t>A 2357-2022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46297</v>
      </c>
      <c r="F49" t="inlineStr">
        <is>
          <t>ÖREBRO LÄN</t>
        </is>
      </c>
      <c r="G49" t="inlineStr">
        <is>
          <t>DEGERFORS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2357-2022 artfynd.xlsx", "A 2357-2022")</f>
        <v/>
      </c>
      <c r="X49">
        <f>HYPERLINK("https://klasma.github.io/Logging_1862/kartor/A 2357-2022 karta.png", "A 2357-2022")</f>
        <v/>
      </c>
      <c r="Y49">
        <f>HYPERLINK("https://klasma.github.io/Logging_1862/kartor_geotiff/A 2357-2022 georefererad karta.tif", "A 2357-2022")</f>
        <v/>
      </c>
      <c r="AA49">
        <f>HYPERLINK("https://klasma.github.io/Logging_1862/klagomål/A 2357-2022 FSC-klagomål.docx", "A 2357-2022")</f>
        <v/>
      </c>
      <c r="AB49">
        <f>HYPERLINK("https://klasma.github.io/Logging_1862/klagomålsmail/A 2357-2022 FSC-klagomål mail.docx", "A 2357-2022")</f>
        <v/>
      </c>
      <c r="AC49">
        <f>HYPERLINK("https://klasma.github.io/Logging_1862/tillsyn/A 2357-2022 tillsynsbegäran.docx", "A 2357-2022")</f>
        <v/>
      </c>
      <c r="AD49">
        <f>HYPERLINK("https://klasma.github.io/Logging_1862/tillsynsmail/A 2357-2022 tillsynsbegäran mail.docx", "A 2357-2022")</f>
        <v/>
      </c>
      <c r="AE49">
        <f>HYPERLINK("https://klasma.github.io/Logging_1862/fåglar/A 2357-2022 prioriterade fågelarter.docx", "A 2357-2022")</f>
        <v/>
      </c>
    </row>
    <row r="50" ht="15" customHeight="1">
      <c r="A50" t="inlineStr">
        <is>
          <t>A 53838-2024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45614</v>
      </c>
      <c r="E50" s="1" t="n">
        <v>46297</v>
      </c>
      <c r="F50" t="inlineStr">
        <is>
          <t>ÖREBRO LÄN</t>
        </is>
      </c>
      <c r="G50" t="inlineStr">
        <is>
          <t>DEGERFORS</t>
        </is>
      </c>
      <c r="I50" t="n">
        <v>4.3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HYPERLINK("https://klasma.github.io/Logging_1862/artfynd/A 53838-2024 artfynd.xlsx", "A 53838-2024")</f>
        <v/>
      </c>
      <c r="X50">
        <f>HYPERLINK("https://klasma.github.io/Logging_1862/kartor/A 53838-2024 karta.png", "A 53838-2024")</f>
        <v/>
      </c>
      <c r="Y50">
        <f>HYPERLINK("https://klasma.github.io/Logging_1862/kartor_geotiff/A 53838-2024 georefererad karta.tif", "A 53838-2024")</f>
        <v/>
      </c>
      <c r="AA50">
        <f>HYPERLINK("https://klasma.github.io/Logging_1862/klagomål/A 53838-2024 FSC-klagomål.docx", "A 53838-2024")</f>
        <v/>
      </c>
      <c r="AB50">
        <f>HYPERLINK("https://klasma.github.io/Logging_1862/klagomålsmail/A 53838-2024 FSC-klagomål mail.docx", "A 53838-2024")</f>
        <v/>
      </c>
      <c r="AC50">
        <f>HYPERLINK("https://klasma.github.io/Logging_1862/tillsyn/A 53838-2024 tillsynsbegäran.docx", "A 53838-2024")</f>
        <v/>
      </c>
      <c r="AD50">
        <f>HYPERLINK("https://klasma.github.io/Logging_1862/tillsynsmail/A 53838-2024 tillsynsbegäran mail.docx", "A 53838-2024")</f>
        <v/>
      </c>
      <c r="AE50">
        <f>HYPERLINK("https://klasma.github.io/Logging_1862/fåglar/A 53838-2024 prioriterade fågelarter.docx", "A 53838-2024")</f>
        <v/>
      </c>
    </row>
    <row r="51" ht="15" customHeight="1">
      <c r="A51" t="inlineStr">
        <is>
          <t>A 36798-2022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46297</v>
      </c>
      <c r="F51" t="inlineStr">
        <is>
          <t>ÖREBRO LÄN</t>
        </is>
      </c>
      <c r="G51" t="inlineStr">
        <is>
          <t>DEGERFORS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46297</v>
      </c>
      <c r="F52" t="inlineStr">
        <is>
          <t>ÖREBRO LÄN</t>
        </is>
      </c>
      <c r="G52" t="inlineStr">
        <is>
          <t>DEGERFORS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46297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46297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46297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46297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46297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46297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46297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46297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12977-2022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44643</v>
      </c>
      <c r="E61" s="1" t="n">
        <v>46297</v>
      </c>
      <c r="F61" t="inlineStr">
        <is>
          <t>ÖREBRO LÄN</t>
        </is>
      </c>
      <c r="G61" t="inlineStr">
        <is>
          <t>DEGERFORS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46297</v>
      </c>
      <c r="F62" t="inlineStr">
        <is>
          <t>ÖREBRO LÄN</t>
        </is>
      </c>
      <c r="G62" t="inlineStr">
        <is>
          <t>DEGERFORS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67998-2021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46297</v>
      </c>
      <c r="F63" t="inlineStr">
        <is>
          <t>ÖREBRO LÄN</t>
        </is>
      </c>
      <c r="G63" t="inlineStr">
        <is>
          <t>DEGERFORS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63906-2021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44509</v>
      </c>
      <c r="E64" s="1" t="n">
        <v>46297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46297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6394-2024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45338</v>
      </c>
      <c r="E66" s="1" t="n">
        <v>46297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18675-2025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45763</v>
      </c>
      <c r="E67" s="1" t="n">
        <v>46297</v>
      </c>
      <c r="F67" t="inlineStr">
        <is>
          <t>ÖREBRO LÄN</t>
        </is>
      </c>
      <c r="G67" t="inlineStr">
        <is>
          <t>DEGERFORS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45861-2023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45195</v>
      </c>
      <c r="E68" s="1" t="n">
        <v>46297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38743-2022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46297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13405-2024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45387</v>
      </c>
      <c r="E70" s="1" t="n">
        <v>46297</v>
      </c>
      <c r="F70" t="inlineStr">
        <is>
          <t>ÖREBRO LÄN</t>
        </is>
      </c>
      <c r="G70" t="inlineStr">
        <is>
          <t>DEGERFORS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26176-2024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45468</v>
      </c>
      <c r="E71" s="1" t="n">
        <v>46297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21935-2024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45443</v>
      </c>
      <c r="E72" s="1" t="n">
        <v>46297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770-2026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46027</v>
      </c>
      <c r="E73" s="1" t="n">
        <v>46297</v>
      </c>
      <c r="F73" t="inlineStr">
        <is>
          <t>ÖREBRO LÄN</t>
        </is>
      </c>
      <c r="G73" t="inlineStr">
        <is>
          <t>DEGERFORS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23460-2024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45453</v>
      </c>
      <c r="E74" s="1" t="n">
        <v>46297</v>
      </c>
      <c r="F74" t="inlineStr">
        <is>
          <t>ÖREBRO LÄN</t>
        </is>
      </c>
      <c r="G74" t="inlineStr">
        <is>
          <t>DEGERFORS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44582</v>
      </c>
      <c r="E75" s="1" t="n">
        <v>46297</v>
      </c>
      <c r="F75" t="inlineStr">
        <is>
          <t>ÖREBRO LÄN</t>
        </is>
      </c>
      <c r="G75" t="inlineStr">
        <is>
          <t>DEGERFORS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50378-2024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45601</v>
      </c>
      <c r="E76" s="1" t="n">
        <v>46297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46297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8.300000000000001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38875-2025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46297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44986</v>
      </c>
      <c r="E79" s="1" t="n">
        <v>46297</v>
      </c>
      <c r="F79" t="inlineStr">
        <is>
          <t>ÖREBRO LÄN</t>
        </is>
      </c>
      <c r="G79" t="inlineStr">
        <is>
          <t>DEGERFORS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46297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41767-2025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46297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57234-2024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45629</v>
      </c>
      <c r="E82" s="1" t="n">
        <v>46297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45330</v>
      </c>
      <c r="E83" s="1" t="n">
        <v>46297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24707-2025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45798</v>
      </c>
      <c r="E84" s="1" t="n">
        <v>46297</v>
      </c>
      <c r="F84" t="inlineStr">
        <is>
          <t>ÖREBRO LÄN</t>
        </is>
      </c>
      <c r="G84" t="inlineStr">
        <is>
          <t>DEGERFORS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45912</v>
      </c>
      <c r="E85" s="1" t="n">
        <v>46297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43689-2025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45912</v>
      </c>
      <c r="E86" s="1" t="n">
        <v>46297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6387-2024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45338</v>
      </c>
      <c r="E87" s="1" t="n">
        <v>46297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43694-2025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45912</v>
      </c>
      <c r="E88" s="1" t="n">
        <v>46297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59158-2022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44904</v>
      </c>
      <c r="E89" s="1" t="n">
        <v>46297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45330</v>
      </c>
      <c r="E90" s="1" t="n">
        <v>46297</v>
      </c>
      <c r="F90" t="inlineStr">
        <is>
          <t>ÖREBRO LÄN</t>
        </is>
      </c>
      <c r="G90" t="inlineStr">
        <is>
          <t>DEGERFORS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9273-2026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46070</v>
      </c>
      <c r="E91" s="1" t="n">
        <v>46297</v>
      </c>
      <c r="F91" t="inlineStr">
        <is>
          <t>ÖREBRO LÄN</t>
        </is>
      </c>
      <c r="G91" t="inlineStr">
        <is>
          <t>DEGERFORS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46297</v>
      </c>
      <c r="F92" t="inlineStr">
        <is>
          <t>ÖREBRO LÄN</t>
        </is>
      </c>
      <c r="G92" t="inlineStr">
        <is>
          <t>DEGERFORS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12159-2026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46297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43768-2024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45569</v>
      </c>
      <c r="E94" s="1" t="n">
        <v>46297</v>
      </c>
      <c r="F94" t="inlineStr">
        <is>
          <t>ÖREBRO LÄN</t>
        </is>
      </c>
      <c r="G94" t="inlineStr">
        <is>
          <t>DEGERFORS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12160-2026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46086</v>
      </c>
      <c r="E95" s="1" t="n">
        <v>46297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13039-2026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46093</v>
      </c>
      <c r="E96" s="1" t="n">
        <v>46297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13040-2026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46093</v>
      </c>
      <c r="E97" s="1" t="n">
        <v>46297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12936-2026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46092</v>
      </c>
      <c r="E98" s="1" t="n">
        <v>46297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8.800000000000001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26783-2025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45810</v>
      </c>
      <c r="E99" s="1" t="n">
        <v>46297</v>
      </c>
      <c r="F99" t="inlineStr">
        <is>
          <t>ÖREBRO LÄN</t>
        </is>
      </c>
      <c r="G99" t="inlineStr">
        <is>
          <t>DEGERFORS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26820-2025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45810</v>
      </c>
      <c r="E100" s="1" t="n">
        <v>46297</v>
      </c>
      <c r="F100" t="inlineStr">
        <is>
          <t>ÖREBRO LÄN</t>
        </is>
      </c>
      <c r="G100" t="inlineStr">
        <is>
          <t>DEGERFORS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51040-2025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46297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46094</v>
      </c>
      <c r="E102" s="1" t="n">
        <v>46297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46297</v>
      </c>
      <c r="F103" t="inlineStr">
        <is>
          <t>ÖREBRO LÄN</t>
        </is>
      </c>
      <c r="G103" t="inlineStr">
        <is>
          <t>DEGERFORS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47935-2024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45589</v>
      </c>
      <c r="E104" s="1" t="n">
        <v>46297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21952-2024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45443</v>
      </c>
      <c r="E105" s="1" t="n">
        <v>46297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46297</v>
      </c>
      <c r="F106" t="inlineStr">
        <is>
          <t>ÖREBRO LÄN</t>
        </is>
      </c>
      <c r="G106" t="inlineStr">
        <is>
          <t>DEGERFORS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62972-2023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45272</v>
      </c>
      <c r="E107" s="1" t="n">
        <v>46297</v>
      </c>
      <c r="F107" t="inlineStr">
        <is>
          <t>ÖREBRO LÄN</t>
        </is>
      </c>
      <c r="G107" t="inlineStr">
        <is>
          <t>DEGERFORS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50377-2024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45601</v>
      </c>
      <c r="E108" s="1" t="n">
        <v>46297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46297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18506-2026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46127</v>
      </c>
      <c r="E110" s="1" t="n">
        <v>46297</v>
      </c>
      <c r="F110" t="inlineStr">
        <is>
          <t>ÖREBRO LÄN</t>
        </is>
      </c>
      <c r="G110" t="inlineStr">
        <is>
          <t>DEGERFORS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57086-2025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45979</v>
      </c>
      <c r="E111" s="1" t="n">
        <v>46297</v>
      </c>
      <c r="F111" t="inlineStr">
        <is>
          <t>ÖREBRO LÄN</t>
        </is>
      </c>
      <c r="G111" t="inlineStr">
        <is>
          <t>DEGERFORS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19227-2026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46132</v>
      </c>
      <c r="E112" s="1" t="n">
        <v>46297</v>
      </c>
      <c r="F112" t="inlineStr">
        <is>
          <t>ÖREBRO LÄN</t>
        </is>
      </c>
      <c r="G112" t="inlineStr">
        <is>
          <t>DEGERFORS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18913-2026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46129</v>
      </c>
      <c r="E113" s="1" t="n">
        <v>46297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44986</v>
      </c>
      <c r="E114" s="1" t="n">
        <v>46297</v>
      </c>
      <c r="F114" t="inlineStr">
        <is>
          <t>ÖREBRO LÄN</t>
        </is>
      </c>
      <c r="G114" t="inlineStr">
        <is>
          <t>DEGERFORS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28367-2025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45819</v>
      </c>
      <c r="E115" s="1" t="n">
        <v>46297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28368-2025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45819</v>
      </c>
      <c r="E116" s="1" t="n">
        <v>46297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50764-2024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45602</v>
      </c>
      <c r="E117" s="1" t="n">
        <v>46297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60708-2025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45996</v>
      </c>
      <c r="E118" s="1" t="n">
        <v>46297</v>
      </c>
      <c r="F118" t="inlineStr">
        <is>
          <t>ÖREBRO LÄN</t>
        </is>
      </c>
      <c r="G118" t="inlineStr">
        <is>
          <t>DEGERFORS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46297</v>
      </c>
      <c r="F119" t="inlineStr">
        <is>
          <t>ÖREBRO LÄN</t>
        </is>
      </c>
      <c r="G119" t="inlineStr">
        <is>
          <t>DEGERFORS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46297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60736-2025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45996</v>
      </c>
      <c r="E121" s="1" t="n">
        <v>46297</v>
      </c>
      <c r="F121" t="inlineStr">
        <is>
          <t>ÖREBRO LÄN</t>
        </is>
      </c>
      <c r="G121" t="inlineStr">
        <is>
          <t>DEGERFORS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44719</v>
      </c>
      <c r="E122" s="1" t="n">
        <v>46297</v>
      </c>
      <c r="F122" t="inlineStr">
        <is>
          <t>ÖREBRO LÄN</t>
        </is>
      </c>
      <c r="G122" t="inlineStr">
        <is>
          <t>DEGERFORS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48118-2023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45205</v>
      </c>
      <c r="E123" s="1" t="n">
        <v>46297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38917-2023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46297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54082-2024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45616</v>
      </c>
      <c r="E125" s="1" t="n">
        <v>46297</v>
      </c>
      <c r="F125" t="inlineStr">
        <is>
          <t>ÖREBRO LÄN</t>
        </is>
      </c>
      <c r="G125" t="inlineStr">
        <is>
          <t>DEGERFORS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63905-2021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44509</v>
      </c>
      <c r="E126" s="1" t="n">
        <v>46297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46297</v>
      </c>
      <c r="F127" t="inlineStr">
        <is>
          <t>ÖREBRO LÄN</t>
        </is>
      </c>
      <c r="G127" t="inlineStr">
        <is>
          <t>DEGERFORS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59863-2024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45639</v>
      </c>
      <c r="E128" s="1" t="n">
        <v>46297</v>
      </c>
      <c r="F128" t="inlineStr">
        <is>
          <t>ÖREBRO LÄN</t>
        </is>
      </c>
      <c r="G128" t="inlineStr">
        <is>
          <t>DEGERFORS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46140</v>
      </c>
      <c r="E129" s="1" t="n">
        <v>46297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20577-2023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45057</v>
      </c>
      <c r="E130" s="1" t="n">
        <v>46297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37333-2025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45876</v>
      </c>
      <c r="E131" s="1" t="n">
        <v>46297</v>
      </c>
      <c r="F131" t="inlineStr">
        <is>
          <t>ÖREBRO LÄN</t>
        </is>
      </c>
      <c r="G131" t="inlineStr">
        <is>
          <t>DEGERFORS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10797-2023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44989</v>
      </c>
      <c r="E132" s="1" t="n">
        <v>46297</v>
      </c>
      <c r="F132" t="inlineStr">
        <is>
          <t>ÖREBRO LÄN</t>
        </is>
      </c>
      <c r="G132" t="inlineStr">
        <is>
          <t>DEGERFORS</t>
        </is>
      </c>
      <c r="I132" t="n">
        <v>9.5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20567-2026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46297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20568-2026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46140</v>
      </c>
      <c r="E134" s="1" t="n">
        <v>46297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44839</v>
      </c>
      <c r="E135" s="1" t="n">
        <v>46297</v>
      </c>
      <c r="F135" t="inlineStr">
        <is>
          <t>ÖREBRO LÄN</t>
        </is>
      </c>
      <c r="G135" t="inlineStr">
        <is>
          <t>DEGERFORS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37265-2025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45876</v>
      </c>
      <c r="E136" s="1" t="n">
        <v>46297</v>
      </c>
      <c r="F136" t="inlineStr">
        <is>
          <t>ÖREBRO LÄN</t>
        </is>
      </c>
      <c r="G136" t="inlineStr">
        <is>
          <t>DEGERFORS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46297</v>
      </c>
      <c r="F137" t="inlineStr">
        <is>
          <t>ÖREBRO LÄN</t>
        </is>
      </c>
      <c r="G137" t="inlineStr">
        <is>
          <t>DEGERFORS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15594-2025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45747</v>
      </c>
      <c r="E138" s="1" t="n">
        <v>46297</v>
      </c>
      <c r="F138" t="inlineStr">
        <is>
          <t>ÖREBRO LÄN</t>
        </is>
      </c>
      <c r="G138" t="inlineStr">
        <is>
          <t>DEGERFORS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21402-2026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46148</v>
      </c>
      <c r="E139" s="1" t="n">
        <v>46297</v>
      </c>
      <c r="F139" t="inlineStr">
        <is>
          <t>ÖREBRO LÄN</t>
        </is>
      </c>
      <c r="G139" t="inlineStr">
        <is>
          <t>DEGERFORS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46148</v>
      </c>
      <c r="E140" s="1" t="n">
        <v>46297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46148</v>
      </c>
      <c r="E141" s="1" t="n">
        <v>46297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46148</v>
      </c>
      <c r="E142" s="1" t="n">
        <v>46297</v>
      </c>
      <c r="F142" t="inlineStr">
        <is>
          <t>ÖREBRO LÄN</t>
        </is>
      </c>
      <c r="G142" t="inlineStr">
        <is>
          <t>DEGERFORS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13236-2025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45735</v>
      </c>
      <c r="E143" s="1" t="n">
        <v>46297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18.5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44841-2023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45190</v>
      </c>
      <c r="E144" s="1" t="n">
        <v>46297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45581</v>
      </c>
      <c r="E145" s="1" t="n">
        <v>46297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11084-2023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44986</v>
      </c>
      <c r="E146" s="1" t="n">
        <v>46297</v>
      </c>
      <c r="F146" t="inlineStr">
        <is>
          <t>ÖREBRO LÄN</t>
        </is>
      </c>
      <c r="G146" t="inlineStr">
        <is>
          <t>DEGERFORS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45581</v>
      </c>
      <c r="E147" s="1" t="n">
        <v>46297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45624</v>
      </c>
      <c r="E148" s="1" t="n">
        <v>46297</v>
      </c>
      <c r="F148" t="inlineStr">
        <is>
          <t>ÖREBRO LÄN</t>
        </is>
      </c>
      <c r="G148" t="inlineStr">
        <is>
          <t>DEGERFORS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45645</v>
      </c>
      <c r="E149" s="1" t="n">
        <v>46297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14678-2025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45742</v>
      </c>
      <c r="E150" s="1" t="n">
        <v>46297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23230-2026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46162</v>
      </c>
      <c r="E151" s="1" t="n">
        <v>46297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61750-2021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44501</v>
      </c>
      <c r="E152" s="1" t="n">
        <v>46297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23229-2026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46162</v>
      </c>
      <c r="E153" s="1" t="n">
        <v>46297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29607-2022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46297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45337</v>
      </c>
      <c r="E155" s="1" t="n">
        <v>46297</v>
      </c>
      <c r="F155" t="inlineStr">
        <is>
          <t>ÖREBRO LÄN</t>
        </is>
      </c>
      <c r="G155" t="inlineStr">
        <is>
          <t>DEGERFORS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23854-2026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46167</v>
      </c>
      <c r="E156" s="1" t="n">
        <v>46297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33658-2024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45520</v>
      </c>
      <c r="E157" s="1" t="n">
        <v>46297</v>
      </c>
      <c r="F157" t="inlineStr">
        <is>
          <t>ÖREBRO LÄN</t>
        </is>
      </c>
      <c r="G157" t="inlineStr">
        <is>
          <t>DEGERFORS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38233-2023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45160</v>
      </c>
      <c r="E158" s="1" t="n">
        <v>46297</v>
      </c>
      <c r="F158" t="inlineStr">
        <is>
          <t>ÖREBRO LÄN</t>
        </is>
      </c>
      <c r="G158" t="inlineStr">
        <is>
          <t>DEGERFORS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24462-2026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46170</v>
      </c>
      <c r="E159" s="1" t="n">
        <v>46297</v>
      </c>
      <c r="F159" t="inlineStr">
        <is>
          <t>ÖREBRO LÄN</t>
        </is>
      </c>
      <c r="G159" t="inlineStr">
        <is>
          <t>DEGERFORS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24689-2026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46171</v>
      </c>
      <c r="E160" s="1" t="n">
        <v>46297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46297</v>
      </c>
      <c r="F161" t="inlineStr">
        <is>
          <t>ÖREBRO LÄN</t>
        </is>
      </c>
      <c r="G161" t="inlineStr">
        <is>
          <t>DEGERFORS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50766-2024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45602</v>
      </c>
      <c r="E162" s="1" t="n">
        <v>46297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45600</v>
      </c>
      <c r="E163" s="1" t="n">
        <v>46297</v>
      </c>
      <c r="F163" t="inlineStr">
        <is>
          <t>ÖREBRO LÄN</t>
        </is>
      </c>
      <c r="G163" t="inlineStr">
        <is>
          <t>DEGERFORS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50208-2024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45600</v>
      </c>
      <c r="E164" s="1" t="n">
        <v>46297</v>
      </c>
      <c r="F164" t="inlineStr">
        <is>
          <t>ÖREBRO LÄN</t>
        </is>
      </c>
      <c r="G164" t="inlineStr">
        <is>
          <t>DEGERFORS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26857-2026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46297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26947-2026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46297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26946-2026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46185</v>
      </c>
      <c r="E167" s="1" t="n">
        <v>46297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46189</v>
      </c>
      <c r="E168" s="1" t="n">
        <v>46297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12143-2025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45729</v>
      </c>
      <c r="E169" s="1" t="n">
        <v>46297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52523-2024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45609</v>
      </c>
      <c r="E170" s="1" t="n">
        <v>46297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46191</v>
      </c>
      <c r="E171" s="1" t="n">
        <v>46297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27746-2026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46191</v>
      </c>
      <c r="E172" s="1" t="n">
        <v>46297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8184-2022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44609</v>
      </c>
      <c r="E173" s="1" t="n">
        <v>46297</v>
      </c>
      <c r="F173" t="inlineStr">
        <is>
          <t>ÖREBRO LÄN</t>
        </is>
      </c>
      <c r="G173" t="inlineStr">
        <is>
          <t>DEGERFORS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60937-2024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45645</v>
      </c>
      <c r="E174" s="1" t="n">
        <v>46297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60940-2024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46297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28789-2026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46195</v>
      </c>
      <c r="E176" s="1" t="n">
        <v>46297</v>
      </c>
      <c r="F176" t="inlineStr">
        <is>
          <t>ÖREBRO LÄN</t>
        </is>
      </c>
      <c r="G176" t="inlineStr">
        <is>
          <t>DEGERFORS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28696-2026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46297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28708-2026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46297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28930-2026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46199</v>
      </c>
      <c r="E179" s="1" t="n">
        <v>46297</v>
      </c>
      <c r="F179" t="inlineStr">
        <is>
          <t>ÖREBRO LÄN</t>
        </is>
      </c>
      <c r="G179" t="inlineStr">
        <is>
          <t>DEGERFORS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28695-2026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46297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46202</v>
      </c>
      <c r="E181" s="1" t="n">
        <v>46297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44807-2023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45190</v>
      </c>
      <c r="E182" s="1" t="n">
        <v>46297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46202</v>
      </c>
      <c r="E183" s="1" t="n">
        <v>46297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51652-2023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45222</v>
      </c>
      <c r="E184" s="1" t="n">
        <v>46297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46204</v>
      </c>
      <c r="E185" s="1" t="n">
        <v>46297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33293-2023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45116</v>
      </c>
      <c r="E186" s="1" t="n">
        <v>46297</v>
      </c>
      <c r="F186" t="inlineStr">
        <is>
          <t>ÖREBRO LÄN</t>
        </is>
      </c>
      <c r="G186" t="inlineStr">
        <is>
          <t>DEGERFORS</t>
        </is>
      </c>
      <c r="I186" t="n">
        <v>17.2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32154-2023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45119</v>
      </c>
      <c r="E187" s="1" t="n">
        <v>46297</v>
      </c>
      <c r="F187" t="inlineStr">
        <is>
          <t>ÖREBRO LÄN</t>
        </is>
      </c>
      <c r="G187" t="inlineStr">
        <is>
          <t>DEGERFORS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46260</v>
      </c>
      <c r="E188" s="1" t="n">
        <v>46297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9.5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8062-2024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45351</v>
      </c>
      <c r="E189" s="1" t="n">
        <v>46297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8074-2024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45351</v>
      </c>
      <c r="E190" s="1" t="n">
        <v>46297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60907-2023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45261</v>
      </c>
      <c r="E191" s="1" t="n">
        <v>46297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36339-2026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46268</v>
      </c>
      <c r="E192" s="1" t="n">
        <v>46297</v>
      </c>
      <c r="F192" t="inlineStr">
        <is>
          <t>ÖREBRO LÄN</t>
        </is>
      </c>
      <c r="G192" t="inlineStr">
        <is>
          <t>DEGERFORS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36336-2026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46268</v>
      </c>
      <c r="E193" s="1" t="n">
        <v>46297</v>
      </c>
      <c r="F193" t="inlineStr">
        <is>
          <t>ÖREBRO LÄN</t>
        </is>
      </c>
      <c r="G193" t="inlineStr">
        <is>
          <t>DEGERFORS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36345-2026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46268</v>
      </c>
      <c r="E194" s="1" t="n">
        <v>46297</v>
      </c>
      <c r="F194" t="inlineStr">
        <is>
          <t>ÖREBRO LÄN</t>
        </is>
      </c>
      <c r="G194" t="inlineStr">
        <is>
          <t>DEGERFORS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32211-2022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44781</v>
      </c>
      <c r="E195" s="1" t="n">
        <v>46297</v>
      </c>
      <c r="F195" t="inlineStr">
        <is>
          <t>ÖREBRO LÄN</t>
        </is>
      </c>
      <c r="G195" t="inlineStr">
        <is>
          <t>DEGERFORS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31813-2026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46230</v>
      </c>
      <c r="E196" s="1" t="n">
        <v>46297</v>
      </c>
      <c r="F196" t="inlineStr">
        <is>
          <t>ÖREBRO LÄN</t>
        </is>
      </c>
      <c r="G196" t="inlineStr">
        <is>
          <t>DEGERFORS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31870-2026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46231</v>
      </c>
      <c r="E197" s="1" t="n">
        <v>46297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46231</v>
      </c>
      <c r="E198" s="1" t="n">
        <v>46297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31872-2026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46231</v>
      </c>
      <c r="E199" s="1" t="n">
        <v>46297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73693-2021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44552</v>
      </c>
      <c r="E200" s="1" t="n">
        <v>46297</v>
      </c>
      <c r="F200" t="inlineStr">
        <is>
          <t>ÖREBRO LÄN</t>
        </is>
      </c>
      <c r="G200" t="inlineStr">
        <is>
          <t>DEGERFORS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36437-2024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45535</v>
      </c>
      <c r="E201" s="1" t="n">
        <v>46297</v>
      </c>
      <c r="F201" t="inlineStr">
        <is>
          <t>ÖREBRO LÄN</t>
        </is>
      </c>
      <c r="G201" t="inlineStr">
        <is>
          <t>DEGERFORS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45365-2023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45192</v>
      </c>
      <c r="E202" s="1" t="n">
        <v>46297</v>
      </c>
      <c r="F202" t="inlineStr">
        <is>
          <t>ÖREBRO LÄN</t>
        </is>
      </c>
      <c r="G202" t="inlineStr">
        <is>
          <t>DEGERFORS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37809-2026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46279</v>
      </c>
      <c r="E203" s="1" t="n">
        <v>46297</v>
      </c>
      <c r="F203" t="inlineStr">
        <is>
          <t>ÖREBRO LÄN</t>
        </is>
      </c>
      <c r="G203" t="inlineStr">
        <is>
          <t>DEGERFORS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37672-2024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45541</v>
      </c>
      <c r="E204" s="1" t="n">
        <v>46297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38126-2026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46281</v>
      </c>
      <c r="E205" s="1" t="n">
        <v>46297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38463-2026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46282</v>
      </c>
      <c r="E206" s="1" t="n">
        <v>46297</v>
      </c>
      <c r="F206" t="inlineStr">
        <is>
          <t>ÖREBRO LÄN</t>
        </is>
      </c>
      <c r="G206" t="inlineStr">
        <is>
          <t>DEGERFORS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46239</v>
      </c>
      <c r="E207" s="1" t="n">
        <v>46297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32506-2026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46297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46283</v>
      </c>
      <c r="E209" s="1" t="n">
        <v>46297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2565-2022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44579</v>
      </c>
      <c r="E210" s="1" t="n">
        <v>46297</v>
      </c>
      <c r="F210" t="inlineStr">
        <is>
          <t>ÖREBRO LÄN</t>
        </is>
      </c>
      <c r="G210" t="inlineStr">
        <is>
          <t>DEGERFORS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32810-2026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46241</v>
      </c>
      <c r="E211" s="1" t="n">
        <v>46297</v>
      </c>
      <c r="F211" t="inlineStr">
        <is>
          <t>ÖREBRO LÄN</t>
        </is>
      </c>
      <c r="G211" t="inlineStr">
        <is>
          <t>DEGERFORS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46283</v>
      </c>
      <c r="E212" s="1" t="n">
        <v>46297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10674-2024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45369</v>
      </c>
      <c r="E213" s="1" t="n">
        <v>46297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18773-2025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45763</v>
      </c>
      <c r="E214" s="1" t="n">
        <v>46297</v>
      </c>
      <c r="F214" t="inlineStr">
        <is>
          <t>ÖREBRO LÄN</t>
        </is>
      </c>
      <c r="G214" t="inlineStr">
        <is>
          <t>DEGERFORS</t>
        </is>
      </c>
      <c r="I214" t="n">
        <v>13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45222</v>
      </c>
      <c r="E215" s="1" t="n">
        <v>46297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45376</v>
      </c>
      <c r="E216" s="1" t="n">
        <v>46297</v>
      </c>
      <c r="F216" t="inlineStr">
        <is>
          <t>ÖREBRO LÄN</t>
        </is>
      </c>
      <c r="G216" t="inlineStr">
        <is>
          <t>DEGERFORS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54994-2024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45621</v>
      </c>
      <c r="E217" s="1" t="n">
        <v>46297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8059-2024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45351</v>
      </c>
      <c r="E218" s="1" t="n">
        <v>46297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54515-2023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45233</v>
      </c>
      <c r="E219" s="1" t="n">
        <v>46297</v>
      </c>
      <c r="F219" t="inlineStr">
        <is>
          <t>ÖREBRO LÄN</t>
        </is>
      </c>
      <c r="G219" t="inlineStr">
        <is>
          <t>DEGERFORS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38738-2022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44816</v>
      </c>
      <c r="E220" s="1" t="n">
        <v>46297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12729-2024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45384</v>
      </c>
      <c r="E221" s="1" t="n">
        <v>46297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10320-2023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44986</v>
      </c>
      <c r="E222" s="1" t="n">
        <v>46297</v>
      </c>
      <c r="F222" t="inlineStr">
        <is>
          <t>ÖREBRO LÄN</t>
        </is>
      </c>
      <c r="G222" t="inlineStr">
        <is>
          <t>DEGERFORS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7472-2025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45705</v>
      </c>
      <c r="E223" s="1" t="n">
        <v>46297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7975-2025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45707</v>
      </c>
      <c r="E224" s="1" t="n">
        <v>46297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18831-2025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45764</v>
      </c>
      <c r="E225" s="1" t="n">
        <v>46297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45635</v>
      </c>
      <c r="E226" s="1" t="n">
        <v>46297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45474</v>
      </c>
      <c r="E227" s="1" t="n">
        <v>46297</v>
      </c>
      <c r="F227" t="inlineStr">
        <is>
          <t>ÖREBRO LÄN</t>
        </is>
      </c>
      <c r="G227" t="inlineStr">
        <is>
          <t>DEGERFORS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45215</v>
      </c>
      <c r="E228" s="1" t="n">
        <v>46297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51996-2023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45223</v>
      </c>
      <c r="E229" s="1" t="n">
        <v>46297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62982-2023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45272</v>
      </c>
      <c r="E230" s="1" t="n">
        <v>46297</v>
      </c>
      <c r="F230" t="inlineStr">
        <is>
          <t>ÖREBRO LÄN</t>
        </is>
      </c>
      <c r="G230" t="inlineStr">
        <is>
          <t>DEGERFORS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45581</v>
      </c>
      <c r="E231" s="1" t="n">
        <v>46297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479-2022</t>
        </is>
      </c>
      <c r="B232" t="inlineStr">
        <is>
          <t>samrådsanmälan</t>
        </is>
      </c>
      <c r="C232" t="inlineStr">
        <is>
          <t>Skogsbilväg</t>
        </is>
      </c>
      <c r="D232" s="1" t="n">
        <v>44587</v>
      </c>
      <c r="E232" s="1" t="n">
        <v>46297</v>
      </c>
      <c r="F232" t="inlineStr">
        <is>
          <t>ÖREBRO LÄN</t>
        </is>
      </c>
      <c r="G232" t="inlineStr">
        <is>
          <t>DEGERFORS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1697-2025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46297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46297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46297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46297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46297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46297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2595-2025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45916</v>
      </c>
      <c r="E239" s="1" t="n">
        <v>46297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2026-10-02T02:01:30Z</dcterms:created>
  <dcterms:modified xmlns:dcterms="http://purl.org/dc/terms/" xmlns:xsi="http://www.w3.org/2001/XMLSchema-instance" xsi:type="dcterms:W3CDTF">2026-10-02T02:01:31Z</dcterms:modified>
</cp:coreProperties>
</file>