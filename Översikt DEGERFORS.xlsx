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46294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46294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46294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25541-2023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45089</v>
      </c>
      <c r="E10" s="1" t="n">
        <v>46294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1.8</v>
      </c>
      <c r="J10" t="n">
        <v>2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8</v>
      </c>
      <c r="T10" t="n">
        <v>9</v>
      </c>
      <c r="U10" t="n">
        <v>9</v>
      </c>
      <c r="V10" s="2" t="inlineStr">
        <is>
          <t>Gräddticka
Gransotdyna
Tretåig hackspett
Ullticka
Vedflikmossa
Brandticka
Vedticka
Spillkråka</t>
        </is>
      </c>
      <c r="W10">
        <f>HYPERLINK("https://klasma.github.io/Logging_1862/artfynd/A 25541-2023 artfynd.xlsx", "A 25541-2023")</f>
        <v/>
      </c>
      <c r="X10">
        <f>HYPERLINK("https://klasma.github.io/Logging_1862/kartor/A 25541-2023 karta.png", "A 25541-2023")</f>
        <v/>
      </c>
      <c r="Y10">
        <f>HYPERLINK("https://klasma.github.io/Logging_1862/kartor_geotiff/A 25541-2023 georefererad karta.tif", "A 25541-2023")</f>
        <v/>
      </c>
      <c r="AA10">
        <f>HYPERLINK("https://klasma.github.io/Logging_1862/klagomål/A 25541-2023 FSC-klagomål.docx", "A 25541-2023")</f>
        <v/>
      </c>
      <c r="AB10">
        <f>HYPERLINK("https://klasma.github.io/Logging_1862/klagomålsmail/A 25541-2023 FSC-klagomål mail.docx", "A 25541-2023")</f>
        <v/>
      </c>
      <c r="AC10">
        <f>HYPERLINK("https://klasma.github.io/Logging_1862/tillsyn/A 25541-2023 tillsynsbegäran.docx", "A 25541-2023")</f>
        <v/>
      </c>
      <c r="AD10">
        <f>HYPERLINK("https://klasma.github.io/Logging_1862/tillsynsmail/A 25541-2023 tillsynsbegäran mail.docx", "A 25541-2023")</f>
        <v/>
      </c>
      <c r="AE10">
        <f>HYPERLINK("https://klasma.github.io/Logging_1862/fåglar/A 25541-2023 prioriterade fågelarter.docx", "A 25541-2023")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46294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46294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46294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46294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36081-2025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45866</v>
      </c>
      <c r="E20" s="1" t="n">
        <v>46294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Jungfrulin
Skogsklocka
Svinrot
Springkorn</t>
        </is>
      </c>
      <c r="W20">
        <f>HYPERLINK("https://klasma.github.io/Logging_1862/artfynd/A 36081-2025 artfynd.xlsx", "A 36081-2025")</f>
        <v/>
      </c>
      <c r="X20">
        <f>HYPERLINK("https://klasma.github.io/Logging_1862/kartor/A 36081-2025 karta.png", "A 36081-2025")</f>
        <v/>
      </c>
      <c r="Y20">
        <f>HYPERLINK("https://klasma.github.io/Logging_1862/kartor_geotiff/A 36081-2025 georefererad karta.tif", "A 36081-2025")</f>
        <v/>
      </c>
      <c r="AA20">
        <f>HYPERLINK("https://klasma.github.io/Logging_1862/klagomål/A 36081-2025 FSC-klagomål.docx", "A 36081-2025")</f>
        <v/>
      </c>
      <c r="AB20">
        <f>HYPERLINK("https://klasma.github.io/Logging_1862/klagomålsmail/A 36081-2025 FSC-klagomål mail.docx", "A 36081-2025")</f>
        <v/>
      </c>
      <c r="AC20">
        <f>HYPERLINK("https://klasma.github.io/Logging_1862/tillsyn/A 36081-2025 tillsynsbegäran.docx", "A 36081-2025")</f>
        <v/>
      </c>
      <c r="AD20">
        <f>HYPERLINK("https://klasma.github.io/Logging_1862/tillsynsmail/A 36081-2025 tillsynsbegäran mail.docx", "A 36081-2025")</f>
        <v/>
      </c>
    </row>
    <row r="21" ht="15" customHeight="1">
      <c r="A21" t="inlineStr">
        <is>
          <t>A 47975-2025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46294</v>
      </c>
      <c r="F21" t="inlineStr">
        <is>
          <t>ÖREBRO LÄN</t>
        </is>
      </c>
      <c r="G21" t="inlineStr">
        <is>
          <t>DEGERFORS</t>
        </is>
      </c>
      <c r="I21" t="n">
        <v>11.8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10</v>
      </c>
      <c r="U21" t="n">
        <v>10</v>
      </c>
      <c r="V21" s="2" t="inlineStr">
        <is>
          <t>Tretåig hackspett
Spillkråka
Kråka
Kungsfågel</t>
        </is>
      </c>
      <c r="W21">
        <f>HYPERLINK("https://klasma.github.io/Logging_1862/artfynd/A 47975-2025 artfynd.xlsx", "A 47975-2025")</f>
        <v/>
      </c>
      <c r="X21">
        <f>HYPERLINK("https://klasma.github.io/Logging_1862/kartor/A 47975-2025 karta.png", "A 47975-2025")</f>
        <v/>
      </c>
      <c r="Y21">
        <f>HYPERLINK("https://klasma.github.io/Logging_1862/kartor_geotiff/A 47975-2025 georefererad karta.tif", "A 47975-2025")</f>
        <v/>
      </c>
      <c r="AA21">
        <f>HYPERLINK("https://klasma.github.io/Logging_1862/klagomål/A 47975-2025 FSC-klagomål.docx", "A 47975-2025")</f>
        <v/>
      </c>
      <c r="AB21">
        <f>HYPERLINK("https://klasma.github.io/Logging_1862/klagomålsmail/A 47975-2025 FSC-klagomål mail.docx", "A 47975-2025")</f>
        <v/>
      </c>
      <c r="AC21">
        <f>HYPERLINK("https://klasma.github.io/Logging_1862/tillsyn/A 47975-2025 tillsynsbegäran.docx", "A 47975-2025")</f>
        <v/>
      </c>
      <c r="AD21">
        <f>HYPERLINK("https://klasma.github.io/Logging_1862/tillsynsmail/A 47975-2025 tillsynsbegäran mail.docx", "A 47975-2025")</f>
        <v/>
      </c>
      <c r="AE21">
        <f>HYPERLINK("https://klasma.github.io/Logging_1862/fåglar/A 47975-2025 prioriterade fågelarter.docx", "A 47975-2025")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12720-2024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45384</v>
      </c>
      <c r="E24" s="1" t="n">
        <v>46294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Svinrot
Tretåig hackspett
Fläcknycklar</t>
        </is>
      </c>
      <c r="W24">
        <f>HYPERLINK("https://klasma.github.io/Logging_1862/artfynd/A 12720-2024 artfynd.xlsx", "A 12720-2024")</f>
        <v/>
      </c>
      <c r="X24">
        <f>HYPERLINK("https://klasma.github.io/Logging_1862/kartor/A 12720-2024 karta.png", "A 12720-2024")</f>
        <v/>
      </c>
      <c r="Y24">
        <f>HYPERLINK("https://klasma.github.io/Logging_1862/kartor_geotiff/A 12720-2024 georefererad karta.tif", "A 12720-2024")</f>
        <v/>
      </c>
      <c r="AA24">
        <f>HYPERLINK("https://klasma.github.io/Logging_1862/klagomål/A 12720-2024 FSC-klagomål.docx", "A 12720-2024")</f>
        <v/>
      </c>
      <c r="AB24">
        <f>HYPERLINK("https://klasma.github.io/Logging_1862/klagomålsmail/A 12720-2024 FSC-klagomål mail.docx", "A 12720-2024")</f>
        <v/>
      </c>
      <c r="AC24">
        <f>HYPERLINK("https://klasma.github.io/Logging_1862/tillsyn/A 12720-2024 tillsynsbegäran.docx", "A 12720-2024")</f>
        <v/>
      </c>
      <c r="AD24">
        <f>HYPERLINK("https://klasma.github.io/Logging_1862/tillsynsmail/A 12720-2024 tillsynsbegäran mail.docx", "A 12720-2024")</f>
        <v/>
      </c>
      <c r="AE24">
        <f>HYPERLINK("https://klasma.github.io/Logging_1862/fåglar/A 12720-2024 prioriterade fågelarter.docx", "A 12720-2024")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46294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46294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46294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47785-2025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46294</v>
      </c>
      <c r="F30" t="inlineStr">
        <is>
          <t>ÖREBRO LÄN</t>
        </is>
      </c>
      <c r="G30" t="inlineStr">
        <is>
          <t>DEGERFORS</t>
        </is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Spillkråka
Kungsfågel</t>
        </is>
      </c>
      <c r="W30">
        <f>HYPERLINK("https://klasma.github.io/Logging_1862/artfynd/A 47785-2025 artfynd.xlsx", "A 47785-2025")</f>
        <v/>
      </c>
      <c r="X30">
        <f>HYPERLINK("https://klasma.github.io/Logging_1862/kartor/A 47785-2025 karta.png", "A 47785-2025")</f>
        <v/>
      </c>
      <c r="Y30">
        <f>HYPERLINK("https://klasma.github.io/Logging_1862/kartor_geotiff/A 47785-2025 georefererad karta.tif", "A 47785-2025")</f>
        <v/>
      </c>
      <c r="AA30">
        <f>HYPERLINK("https://klasma.github.io/Logging_1862/klagomål/A 47785-2025 FSC-klagomål.docx", "A 47785-2025")</f>
        <v/>
      </c>
      <c r="AB30">
        <f>HYPERLINK("https://klasma.github.io/Logging_1862/klagomålsmail/A 47785-2025 FSC-klagomål mail.docx", "A 47785-2025")</f>
        <v/>
      </c>
      <c r="AC30">
        <f>HYPERLINK("https://klasma.github.io/Logging_1862/tillsyn/A 47785-2025 tillsynsbegäran.docx", "A 47785-2025")</f>
        <v/>
      </c>
      <c r="AD30">
        <f>HYPERLINK("https://klasma.github.io/Logging_1862/tillsynsmail/A 47785-2025 tillsynsbegäran mail.docx", "A 47785-2025")</f>
        <v/>
      </c>
      <c r="AE30">
        <f>HYPERLINK("https://klasma.github.io/Logging_1862/fåglar/A 47785-2025 prioriterade fågelarter.docx", "A 47785-2025")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46294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46294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46294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38907-2023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46294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38907-2023 artfynd.xlsx", "A 38907-2023")</f>
        <v/>
      </c>
      <c r="X37">
        <f>HYPERLINK("https://klasma.github.io/Logging_1862/kartor/A 38907-2023 karta.png", "A 38907-2023")</f>
        <v/>
      </c>
      <c r="Y37">
        <f>HYPERLINK("https://klasma.github.io/Logging_1862/kartor_geotiff/A 38907-2023 georefererad karta.tif", "A 38907-2023")</f>
        <v/>
      </c>
      <c r="AA37">
        <f>HYPERLINK("https://klasma.github.io/Logging_1862/klagomål/A 38907-2023 FSC-klagomål.docx", "A 38907-2023")</f>
        <v/>
      </c>
      <c r="AB37">
        <f>HYPERLINK("https://klasma.github.io/Logging_1862/klagomålsmail/A 38907-2023 FSC-klagomål mail.docx", "A 38907-2023")</f>
        <v/>
      </c>
      <c r="AC37">
        <f>HYPERLINK("https://klasma.github.io/Logging_1862/tillsyn/A 38907-2023 tillsynsbegäran.docx", "A 38907-2023")</f>
        <v/>
      </c>
      <c r="AD37">
        <f>HYPERLINK("https://klasma.github.io/Logging_1862/tillsynsmail/A 38907-2023 tillsynsbegäran mail.docx", "A 38907-2023")</f>
        <v/>
      </c>
      <c r="AE37">
        <f>HYPERLINK("https://klasma.github.io/Logging_1862/fåglar/A 38907-2023 prioriterade fågelarter.docx", "A 38907-2023")</f>
        <v/>
      </c>
    </row>
    <row r="38" ht="15" customHeight="1">
      <c r="A38" t="inlineStr">
        <is>
          <t>A 33297-2023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45116</v>
      </c>
      <c r="E38" s="1" t="n">
        <v>46294</v>
      </c>
      <c r="F38" t="inlineStr">
        <is>
          <t>ÖREBRO LÄN</t>
        </is>
      </c>
      <c r="G38" t="inlineStr">
        <is>
          <t>DEGERFORS</t>
        </is>
      </c>
      <c r="I38" t="n">
        <v>7.2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HYPERLINK("https://klasma.github.io/Logging_1862/artfynd/A 33297-2023 artfynd.xlsx", "A 33297-2023")</f>
        <v/>
      </c>
      <c r="X38">
        <f>HYPERLINK("https://klasma.github.io/Logging_1862/kartor/A 33297-2023 karta.png", "A 33297-2023")</f>
        <v/>
      </c>
      <c r="Y38">
        <f>HYPERLINK("https://klasma.github.io/Logging_1862/kartor_geotiff/A 33297-2023 georefererad karta.tif", "A 33297-2023")</f>
        <v/>
      </c>
      <c r="AA38">
        <f>HYPERLINK("https://klasma.github.io/Logging_1862/klagomål/A 33297-2023 FSC-klagomål.docx", "A 33297-2023")</f>
        <v/>
      </c>
      <c r="AB38">
        <f>HYPERLINK("https://klasma.github.io/Logging_1862/klagomålsmail/A 33297-2023 FSC-klagomål mail.docx", "A 33297-2023")</f>
        <v/>
      </c>
      <c r="AC38">
        <f>HYPERLINK("https://klasma.github.io/Logging_1862/tillsyn/A 33297-2023 tillsynsbegäran.docx", "A 33297-2023")</f>
        <v/>
      </c>
      <c r="AD38">
        <f>HYPERLINK("https://klasma.github.io/Logging_1862/tillsynsmail/A 33297-2023 tillsynsbegäran mail.docx", "A 33297-2023")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46294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27093-2023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27093-2023 artfynd.xlsx", "A 27093-2023")</f>
        <v/>
      </c>
      <c r="X40">
        <f>HYPERLINK("https://klasma.github.io/Logging_1862/kartor/A 27093-2023 karta.png", "A 27093-2023")</f>
        <v/>
      </c>
      <c r="Y40">
        <f>HYPERLINK("https://klasma.github.io/Logging_1862/kartor_geotiff/A 27093-2023 georefererad karta.tif", "A 27093-2023")</f>
        <v/>
      </c>
      <c r="AA40">
        <f>HYPERLINK("https://klasma.github.io/Logging_1862/klagomål/A 27093-2023 FSC-klagomål.docx", "A 27093-2023")</f>
        <v/>
      </c>
      <c r="AB40">
        <f>HYPERLINK("https://klasma.github.io/Logging_1862/klagomålsmail/A 27093-2023 FSC-klagomål mail.docx", "A 27093-2023")</f>
        <v/>
      </c>
      <c r="AC40">
        <f>HYPERLINK("https://klasma.github.io/Logging_1862/tillsyn/A 27093-2023 tillsynsbegäran.docx", "A 27093-2023")</f>
        <v/>
      </c>
      <c r="AD40">
        <f>HYPERLINK("https://klasma.github.io/Logging_1862/tillsynsmail/A 27093-2023 tillsynsbegäran mail.docx", "A 27093-2023")</f>
        <v/>
      </c>
      <c r="AE40">
        <f>HYPERLINK("https://klasma.github.io/Logging_1862/fåglar/A 27093-2023 prioriterade fågelarter.docx", "A 27093-2023")</f>
        <v/>
      </c>
    </row>
    <row r="41" ht="15" customHeight="1">
      <c r="A41" t="inlineStr">
        <is>
          <t>A 49306-2025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45938</v>
      </c>
      <c r="E41" s="1" t="n">
        <v>46294</v>
      </c>
      <c r="F41" t="inlineStr">
        <is>
          <t>ÖREBRO LÄN</t>
        </is>
      </c>
      <c r="G41" t="inlineStr">
        <is>
          <t>DEGERFORS</t>
        </is>
      </c>
      <c r="I41" t="n">
        <v>5.8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HYPERLINK("https://klasma.github.io/Logging_1862/artfynd/A 49306-2025 artfynd.xlsx", "A 49306-2025")</f>
        <v/>
      </c>
      <c r="X41">
        <f>HYPERLINK("https://klasma.github.io/Logging_1862/kartor/A 49306-2025 karta.png", "A 49306-2025")</f>
        <v/>
      </c>
      <c r="Y41">
        <f>HYPERLINK("https://klasma.github.io/Logging_1862/kartor_geotiff/A 49306-2025 georefererad karta.tif", "A 49306-2025")</f>
        <v/>
      </c>
      <c r="AA41">
        <f>HYPERLINK("https://klasma.github.io/Logging_1862/klagomål/A 49306-2025 FSC-klagomål.docx", "A 49306-2025")</f>
        <v/>
      </c>
      <c r="AB41">
        <f>HYPERLINK("https://klasma.github.io/Logging_1862/klagomålsmail/A 49306-2025 FSC-klagomål mail.docx", "A 49306-2025")</f>
        <v/>
      </c>
      <c r="AC41">
        <f>HYPERLINK("https://klasma.github.io/Logging_1862/tillsyn/A 49306-2025 tillsynsbegäran.docx", "A 49306-2025")</f>
        <v/>
      </c>
      <c r="AD41">
        <f>HYPERLINK("https://klasma.github.io/Logging_1862/tillsynsmail/A 49306-2025 tillsynsbegäran mail.docx", "A 49306-2025")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46294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46294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14177-2026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46294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HYPERLINK("https://klasma.github.io/Logging_1862/artfynd/A 14177-2026 artfynd.xlsx", "A 14177-2026")</f>
        <v/>
      </c>
      <c r="X44">
        <f>HYPERLINK("https://klasma.github.io/Logging_1862/kartor/A 14177-2026 karta.png", "A 14177-2026")</f>
        <v/>
      </c>
      <c r="Y44">
        <f>HYPERLINK("https://klasma.github.io/Logging_1862/kartor_geotiff/A 14177-2026 georefererad karta.tif", "A 14177-2026")</f>
        <v/>
      </c>
      <c r="AA44">
        <f>HYPERLINK("https://klasma.github.io/Logging_1862/klagomål/A 14177-2026 FSC-klagomål.docx", "A 14177-2026")</f>
        <v/>
      </c>
      <c r="AB44">
        <f>HYPERLINK("https://klasma.github.io/Logging_1862/klagomålsmail/A 14177-2026 FSC-klagomål mail.docx", "A 14177-2026")</f>
        <v/>
      </c>
      <c r="AC44">
        <f>HYPERLINK("https://klasma.github.io/Logging_1862/tillsyn/A 14177-2026 tillsynsbegäran.docx", "A 14177-2026")</f>
        <v/>
      </c>
      <c r="AD44">
        <f>HYPERLINK("https://klasma.github.io/Logging_1862/tillsynsmail/A 14177-2026 tillsynsbegäran mail.docx", "A 14177-2026")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46294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46294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46294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46294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47915-2024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46294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47915-2024 artfynd.xlsx", "A 47915-2024")</f>
        <v/>
      </c>
      <c r="X49">
        <f>HYPERLINK("https://klasma.github.io/Logging_1862/kartor/A 47915-2024 karta.png", "A 47915-2024")</f>
        <v/>
      </c>
      <c r="Y49">
        <f>HYPERLINK("https://klasma.github.io/Logging_1862/kartor_geotiff/A 47915-2024 georefererad karta.tif", "A 47915-2024")</f>
        <v/>
      </c>
      <c r="AA49">
        <f>HYPERLINK("https://klasma.github.io/Logging_1862/klagomål/A 47915-2024 FSC-klagomål.docx", "A 47915-2024")</f>
        <v/>
      </c>
      <c r="AB49">
        <f>HYPERLINK("https://klasma.github.io/Logging_1862/klagomålsmail/A 47915-2024 FSC-klagomål mail.docx", "A 47915-2024")</f>
        <v/>
      </c>
      <c r="AC49">
        <f>HYPERLINK("https://klasma.github.io/Logging_1862/tillsyn/A 47915-2024 tillsynsbegäran.docx", "A 47915-2024")</f>
        <v/>
      </c>
      <c r="AD49">
        <f>HYPERLINK("https://klasma.github.io/Logging_1862/tillsynsmail/A 47915-2024 tillsynsbegäran mail.docx", "A 47915-2024")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46294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46294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46294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46294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46294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46294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46294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46294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46294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46294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46294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46294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46294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46294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46294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46294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46294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46294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46294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46294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46294</v>
      </c>
      <c r="F71" t="inlineStr">
        <is>
          <t>ÖREBRO LÄN</t>
        </is>
      </c>
      <c r="G71" t="inlineStr">
        <is>
          <t>DEGERFORS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44754</v>
      </c>
      <c r="E72" s="1" t="n">
        <v>46294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37672-2024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45541</v>
      </c>
      <c r="E73" s="1" t="n">
        <v>46294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46294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46294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45272</v>
      </c>
      <c r="E76" s="1" t="n">
        <v>46294</v>
      </c>
      <c r="F76" t="inlineStr">
        <is>
          <t>ÖREBRO LÄN</t>
        </is>
      </c>
      <c r="G76" t="inlineStr">
        <is>
          <t>DEGERFORS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45443</v>
      </c>
      <c r="E77" s="1" t="n">
        <v>46294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46294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46294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45624</v>
      </c>
      <c r="E80" s="1" t="n">
        <v>46294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46294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46294</v>
      </c>
      <c r="F82" t="inlineStr">
        <is>
          <t>ÖREBRO LÄN</t>
        </is>
      </c>
      <c r="G82" t="inlineStr">
        <is>
          <t>DEGERFORS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46294</v>
      </c>
      <c r="F83" t="inlineStr">
        <is>
          <t>ÖREBRO LÄN</t>
        </is>
      </c>
      <c r="G83" t="inlineStr">
        <is>
          <t>DEGERFORS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46294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46294</v>
      </c>
      <c r="F85" t="inlineStr">
        <is>
          <t>ÖREBRO LÄN</t>
        </is>
      </c>
      <c r="G85" t="inlineStr">
        <is>
          <t>DEGERFORS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46294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46294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46294</v>
      </c>
      <c r="F88" t="inlineStr">
        <is>
          <t>ÖREBRO LÄN</t>
        </is>
      </c>
      <c r="G88" t="inlineStr">
        <is>
          <t>DEGERFORS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45535</v>
      </c>
      <c r="E89" s="1" t="n">
        <v>46294</v>
      </c>
      <c r="F89" t="inlineStr">
        <is>
          <t>ÖREBRO LÄN</t>
        </is>
      </c>
      <c r="G89" t="inlineStr">
        <is>
          <t>DEGERFORS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46294</v>
      </c>
      <c r="F90" t="inlineStr">
        <is>
          <t>ÖREBRO LÄN</t>
        </is>
      </c>
      <c r="G90" t="inlineStr">
        <is>
          <t>DEGERFORS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46294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46294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46294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46294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46294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46294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46294</v>
      </c>
      <c r="F97" t="inlineStr">
        <is>
          <t>ÖREBRO LÄN</t>
        </is>
      </c>
      <c r="G97" t="inlineStr">
        <is>
          <t>DEGERFORS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46294</v>
      </c>
      <c r="F98" t="inlineStr">
        <is>
          <t>ÖREBRO LÄN</t>
        </is>
      </c>
      <c r="G98" t="inlineStr">
        <is>
          <t>DEGERFORS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46294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46294</v>
      </c>
      <c r="F100" t="inlineStr">
        <is>
          <t>ÖREBRO LÄN</t>
        </is>
      </c>
      <c r="G100" t="inlineStr">
        <is>
          <t>DEGERFORS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46294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46294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46027</v>
      </c>
      <c r="E103" s="1" t="n">
        <v>46294</v>
      </c>
      <c r="F103" t="inlineStr">
        <is>
          <t>ÖREBRO LÄN</t>
        </is>
      </c>
      <c r="G103" t="inlineStr">
        <is>
          <t>DEGERFORS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46294</v>
      </c>
      <c r="F104" t="inlineStr">
        <is>
          <t>ÖREBRO LÄN</t>
        </is>
      </c>
      <c r="G104" t="inlineStr">
        <is>
          <t>DEGERFORS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60907-2023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45261</v>
      </c>
      <c r="E105" s="1" t="n">
        <v>46294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37333-2025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45876</v>
      </c>
      <c r="E106" s="1" t="n">
        <v>46294</v>
      </c>
      <c r="F106" t="inlineStr">
        <is>
          <t>ÖREBRO LÄN</t>
        </is>
      </c>
      <c r="G106" t="inlineStr">
        <is>
          <t>DEGERFORS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46294</v>
      </c>
      <c r="F107" t="inlineStr">
        <is>
          <t>ÖREBRO LÄN</t>
        </is>
      </c>
      <c r="G107" t="inlineStr">
        <is>
          <t>DEGERFORS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46294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46294</v>
      </c>
      <c r="F109" t="inlineStr">
        <is>
          <t>ÖREBRO LÄN</t>
        </is>
      </c>
      <c r="G109" t="inlineStr">
        <is>
          <t>DEGERFORS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46294</v>
      </c>
      <c r="F110" t="inlineStr">
        <is>
          <t>ÖREBRO LÄN</t>
        </is>
      </c>
      <c r="G110" t="inlineStr">
        <is>
          <t>DEGERFORS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46294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46294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46294</v>
      </c>
      <c r="F113" t="inlineStr">
        <is>
          <t>ÖREBRO LÄN</t>
        </is>
      </c>
      <c r="G113" t="inlineStr">
        <is>
          <t>DEGERFORS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45609</v>
      </c>
      <c r="E114" s="1" t="n">
        <v>46294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57086-2025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45979</v>
      </c>
      <c r="E115" s="1" t="n">
        <v>46294</v>
      </c>
      <c r="F115" t="inlineStr">
        <is>
          <t>ÖREBRO LÄN</t>
        </is>
      </c>
      <c r="G115" t="inlineStr">
        <is>
          <t>DEGERFORS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46294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46294</v>
      </c>
      <c r="F117" t="inlineStr">
        <is>
          <t>ÖREBRO LÄN</t>
        </is>
      </c>
      <c r="G117" t="inlineStr">
        <is>
          <t>DEGERFORS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46294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46294</v>
      </c>
      <c r="F119" t="inlineStr">
        <is>
          <t>ÖREBRO LÄN</t>
        </is>
      </c>
      <c r="G119" t="inlineStr">
        <is>
          <t>DEGERFORS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46294</v>
      </c>
      <c r="F120" t="inlineStr">
        <is>
          <t>ÖREBRO LÄN</t>
        </is>
      </c>
      <c r="G120" t="inlineStr">
        <is>
          <t>DEGERFORS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46294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38233-2023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45160</v>
      </c>
      <c r="E122" s="1" t="n">
        <v>46294</v>
      </c>
      <c r="F122" t="inlineStr">
        <is>
          <t>ÖREBRO LÄN</t>
        </is>
      </c>
      <c r="G122" t="inlineStr">
        <is>
          <t>DEGERFORS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10674-2024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45369</v>
      </c>
      <c r="E123" s="1" t="n">
        <v>46294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46294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73693-2021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46294</v>
      </c>
      <c r="F125" t="inlineStr">
        <is>
          <t>ÖREBRO LÄN</t>
        </is>
      </c>
      <c r="G125" t="inlineStr">
        <is>
          <t>DEGERFORS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46294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46294</v>
      </c>
      <c r="F128" t="inlineStr">
        <is>
          <t>ÖREBRO LÄN</t>
        </is>
      </c>
      <c r="G128" t="inlineStr">
        <is>
          <t>DEGERFORS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46294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46294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46294</v>
      </c>
      <c r="F131" t="inlineStr">
        <is>
          <t>ÖREBRO LÄN</t>
        </is>
      </c>
      <c r="G131" t="inlineStr">
        <is>
          <t>DEGERFORS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46092</v>
      </c>
      <c r="E132" s="1" t="n">
        <v>46294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46094</v>
      </c>
      <c r="E133" s="1" t="n">
        <v>46294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46294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46294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13039-2026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46294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45351</v>
      </c>
      <c r="E137" s="1" t="n">
        <v>46294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21952-2024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45443</v>
      </c>
      <c r="E138" s="1" t="n">
        <v>46294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46129</v>
      </c>
      <c r="E139" s="1" t="n">
        <v>46294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18506-2026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46294</v>
      </c>
      <c r="F140" t="inlineStr">
        <is>
          <t>ÖREBRO LÄN</t>
        </is>
      </c>
      <c r="G140" t="inlineStr">
        <is>
          <t>DEGERFORS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46132</v>
      </c>
      <c r="E141" s="1" t="n">
        <v>46294</v>
      </c>
      <c r="F141" t="inlineStr">
        <is>
          <t>ÖREBRO LÄN</t>
        </is>
      </c>
      <c r="G141" t="inlineStr">
        <is>
          <t>DEGERFORS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46294</v>
      </c>
      <c r="F142" t="inlineStr">
        <is>
          <t>ÖREBRO LÄN</t>
        </is>
      </c>
      <c r="G142" t="inlineStr">
        <is>
          <t>DEGERFORS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12143-2025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45729</v>
      </c>
      <c r="E143" s="1" t="n">
        <v>46294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46294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20577-2023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45057</v>
      </c>
      <c r="E145" s="1" t="n">
        <v>46294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45365-2023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45192</v>
      </c>
      <c r="E146" s="1" t="n">
        <v>46294</v>
      </c>
      <c r="F146" t="inlineStr">
        <is>
          <t>ÖREBRO LÄN</t>
        </is>
      </c>
      <c r="G146" t="inlineStr">
        <is>
          <t>DEGERFORS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45338</v>
      </c>
      <c r="E147" s="1" t="n">
        <v>46294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46294</v>
      </c>
      <c r="F148" t="inlineStr">
        <is>
          <t>ÖREBRO LÄN</t>
        </is>
      </c>
      <c r="G148" t="inlineStr">
        <is>
          <t>DEGERFORS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46294</v>
      </c>
      <c r="F149" t="inlineStr">
        <is>
          <t>ÖREBRO LÄN</t>
        </is>
      </c>
      <c r="G149" t="inlineStr">
        <is>
          <t>DEGERFORS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46294</v>
      </c>
      <c r="F150" t="inlineStr">
        <is>
          <t>ÖREBRO LÄN</t>
        </is>
      </c>
      <c r="G150" t="inlineStr">
        <is>
          <t>DEGERFORS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6394-2024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45338</v>
      </c>
      <c r="E151" s="1" t="n">
        <v>46294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44986</v>
      </c>
      <c r="E152" s="1" t="n">
        <v>46294</v>
      </c>
      <c r="F152" t="inlineStr">
        <is>
          <t>ÖREBRO LÄN</t>
        </is>
      </c>
      <c r="G152" t="inlineStr">
        <is>
          <t>DEGERFORS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46294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46294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46294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46294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46294</v>
      </c>
      <c r="F157" t="inlineStr">
        <is>
          <t>ÖREBRO LÄN</t>
        </is>
      </c>
      <c r="G157" t="inlineStr">
        <is>
          <t>DEGERFORS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45330</v>
      </c>
      <c r="E158" s="1" t="n">
        <v>46294</v>
      </c>
      <c r="F158" t="inlineStr">
        <is>
          <t>ÖREBRO LÄN</t>
        </is>
      </c>
      <c r="G158" t="inlineStr">
        <is>
          <t>DEGERFORS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46294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46294</v>
      </c>
      <c r="F160" t="inlineStr">
        <is>
          <t>ÖREBRO LÄN</t>
        </is>
      </c>
      <c r="G160" t="inlineStr">
        <is>
          <t>DEGERFORS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46294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45116</v>
      </c>
      <c r="E162" s="1" t="n">
        <v>46294</v>
      </c>
      <c r="F162" t="inlineStr">
        <is>
          <t>ÖREBRO LÄN</t>
        </is>
      </c>
      <c r="G162" t="inlineStr">
        <is>
          <t>DEGERFORS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46294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46294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46294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46294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46294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46294</v>
      </c>
      <c r="F168" t="inlineStr">
        <is>
          <t>ÖREBRO LÄN</t>
        </is>
      </c>
      <c r="G168" t="inlineStr">
        <is>
          <t>DEGERFORS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46294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46294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44781</v>
      </c>
      <c r="E171" s="1" t="n">
        <v>46294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46294</v>
      </c>
      <c r="F172" t="inlineStr">
        <is>
          <t>ÖREBRO LÄN</t>
        </is>
      </c>
      <c r="G172" t="inlineStr">
        <is>
          <t>DEGERFORS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14678-2025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45742</v>
      </c>
      <c r="E173" s="1" t="n">
        <v>46294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45384</v>
      </c>
      <c r="E174" s="1" t="n">
        <v>46294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46294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46294</v>
      </c>
      <c r="F176" t="inlineStr">
        <is>
          <t>ÖREBRO LÄN</t>
        </is>
      </c>
      <c r="G176" t="inlineStr">
        <is>
          <t>DEGERFORS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46294</v>
      </c>
      <c r="F177" t="inlineStr">
        <is>
          <t>ÖREBRO LÄN</t>
        </is>
      </c>
      <c r="G177" t="inlineStr">
        <is>
          <t>DEGERFORS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46294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46294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46294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46294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46294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63905-2021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46294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44816</v>
      </c>
      <c r="E184" s="1" t="n">
        <v>46294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46294</v>
      </c>
      <c r="F185" t="inlineStr">
        <is>
          <t>ÖREBRO LÄN</t>
        </is>
      </c>
      <c r="G185" t="inlineStr">
        <is>
          <t>DEGERFORS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46294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46294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46294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46294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46294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46294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46294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8059-2024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45351</v>
      </c>
      <c r="E193" s="1" t="n">
        <v>46294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46294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46294</v>
      </c>
      <c r="F195" t="inlineStr">
        <is>
          <t>ÖREBRO LÄN</t>
        </is>
      </c>
      <c r="G195" t="inlineStr">
        <is>
          <t>DEGERFORS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46294</v>
      </c>
      <c r="F196" t="inlineStr">
        <is>
          <t>ÖREBRO LÄN</t>
        </is>
      </c>
      <c r="G196" t="inlineStr">
        <is>
          <t>DEGERFORS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46294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59158-2022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44904</v>
      </c>
      <c r="E198" s="1" t="n">
        <v>46294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46294</v>
      </c>
      <c r="F199" t="inlineStr">
        <is>
          <t>ÖREBRO LÄN</t>
        </is>
      </c>
      <c r="G199" t="inlineStr">
        <is>
          <t>DEGERFORS</t>
        </is>
      </c>
      <c r="I199" t="n">
        <v>13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46204</v>
      </c>
      <c r="E200" s="1" t="n">
        <v>46294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44986</v>
      </c>
      <c r="E201" s="1" t="n">
        <v>46294</v>
      </c>
      <c r="F201" t="inlineStr">
        <is>
          <t>ÖREBRO LÄN</t>
        </is>
      </c>
      <c r="G201" t="inlineStr">
        <is>
          <t>DEGERFORS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44989</v>
      </c>
      <c r="E202" s="1" t="n">
        <v>46294</v>
      </c>
      <c r="F202" t="inlineStr">
        <is>
          <t>ÖREBRO LÄN</t>
        </is>
      </c>
      <c r="G202" t="inlineStr">
        <is>
          <t>DEGERFORS</t>
        </is>
      </c>
      <c r="I202" t="n">
        <v>9.5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46294</v>
      </c>
      <c r="F203" t="inlineStr">
        <is>
          <t>ÖREBRO LÄN</t>
        </is>
      </c>
      <c r="G203" t="inlineStr">
        <is>
          <t>DEGERFORS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46294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46294</v>
      </c>
      <c r="F205" t="inlineStr">
        <is>
          <t>ÖREBRO LÄN</t>
        </is>
      </c>
      <c r="G205" t="inlineStr">
        <is>
          <t>DEGERFORS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45195</v>
      </c>
      <c r="E206" s="1" t="n">
        <v>46294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46294</v>
      </c>
      <c r="F207" t="inlineStr">
        <is>
          <t>ÖREBRO LÄN</t>
        </is>
      </c>
      <c r="G207" t="inlineStr">
        <is>
          <t>DEGERFORS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46294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46294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46294</v>
      </c>
      <c r="F210" t="inlineStr">
        <is>
          <t>ÖREBRO LÄN</t>
        </is>
      </c>
      <c r="G210" t="inlineStr">
        <is>
          <t>DEGERFORS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46268</v>
      </c>
      <c r="E211" s="1" t="n">
        <v>46294</v>
      </c>
      <c r="F211" t="inlineStr">
        <is>
          <t>ÖREBRO LÄN</t>
        </is>
      </c>
      <c r="G211" t="inlineStr">
        <is>
          <t>DEGERFORS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46294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46294</v>
      </c>
      <c r="F213" t="inlineStr">
        <is>
          <t>ÖREBRO LÄN</t>
        </is>
      </c>
      <c r="G213" t="inlineStr">
        <is>
          <t>DEGERFORS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46294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46294</v>
      </c>
      <c r="F215" t="inlineStr">
        <is>
          <t>ÖREBRO LÄN</t>
        </is>
      </c>
      <c r="G215" t="inlineStr">
        <is>
          <t>DEGERFORS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46294</v>
      </c>
      <c r="F216" t="inlineStr">
        <is>
          <t>ÖREBRO LÄN</t>
        </is>
      </c>
      <c r="G216" t="inlineStr">
        <is>
          <t>DEGERFORS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46294</v>
      </c>
      <c r="F217" t="inlineStr">
        <is>
          <t>ÖREBRO LÄN</t>
        </is>
      </c>
      <c r="G217" t="inlineStr">
        <is>
          <t>DEGERFORS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46294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46231</v>
      </c>
      <c r="E219" s="1" t="n">
        <v>46294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46231</v>
      </c>
      <c r="E220" s="1" t="n">
        <v>46294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46294</v>
      </c>
      <c r="F221" t="inlineStr">
        <is>
          <t>ÖREBRO LÄN</t>
        </is>
      </c>
      <c r="G221" t="inlineStr">
        <is>
          <t>DEGERFORS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46294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46294</v>
      </c>
      <c r="F223" t="inlineStr">
        <is>
          <t>ÖREBRO LÄN</t>
        </is>
      </c>
      <c r="G223" t="inlineStr">
        <is>
          <t>DEGERFORS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46281</v>
      </c>
      <c r="E224" s="1" t="n">
        <v>46294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46294</v>
      </c>
      <c r="F225" t="inlineStr">
        <is>
          <t>ÖREBRO LÄN</t>
        </is>
      </c>
      <c r="G225" t="inlineStr">
        <is>
          <t>DEGERFORS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46294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46239</v>
      </c>
      <c r="E227" s="1" t="n">
        <v>46294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46283</v>
      </c>
      <c r="E228" s="1" t="n">
        <v>46294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46294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46282</v>
      </c>
      <c r="E230" s="1" t="n">
        <v>46294</v>
      </c>
      <c r="F230" t="inlineStr">
        <is>
          <t>ÖREBRO LÄN</t>
        </is>
      </c>
      <c r="G230" t="inlineStr">
        <is>
          <t>DEGERFORS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46294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46294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46283</v>
      </c>
      <c r="E233" s="1" t="n">
        <v>46294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46294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46241</v>
      </c>
      <c r="E235" s="1" t="n">
        <v>46294</v>
      </c>
      <c r="F235" t="inlineStr">
        <is>
          <t>ÖREBRO LÄN</t>
        </is>
      </c>
      <c r="G235" t="inlineStr">
        <is>
          <t>DEGERFORS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479-2022</t>
        </is>
      </c>
      <c r="B236" t="inlineStr">
        <is>
          <t>samrådsanmälan</t>
        </is>
      </c>
      <c r="C236" t="inlineStr">
        <is>
          <t>Skogsbilväg</t>
        </is>
      </c>
      <c r="D236" s="1" t="n">
        <v>44587</v>
      </c>
      <c r="E236" s="1" t="n">
        <v>46294</v>
      </c>
      <c r="F236" t="inlineStr">
        <is>
          <t>ÖREBRO LÄN</t>
        </is>
      </c>
      <c r="G236" t="inlineStr">
        <is>
          <t>DEGERFORS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46294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46294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46294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46294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46294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2595-2025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45916</v>
      </c>
      <c r="E243" s="1" t="n">
        <v>46294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2026-09-29T01:58:11Z</dcterms:created>
  <dcterms:modified xmlns:dcterms="http://purl.org/dc/terms/" xmlns:xsi="http://www.w3.org/2001/XMLSchema-instance" xsi:type="dcterms:W3CDTF">2026-09-29T01:58:11Z</dcterms:modified>
</cp:coreProperties>
</file>