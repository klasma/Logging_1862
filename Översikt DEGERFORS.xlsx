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46233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46233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46233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46233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46233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46233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46233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22868-2026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46160</v>
      </c>
      <c r="E9" s="1" t="n">
        <v>46233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7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11</v>
      </c>
      <c r="U9" t="n">
        <v>11</v>
      </c>
      <c r="V9" s="2" t="inlineStr">
        <is>
          <t>Björktrast
Nordfladdermus
Talltita
Grönpyrola
Nattskärra
Spillkråka
Tjäder
Tofsmes</t>
        </is>
      </c>
      <c r="W9">
        <f>HYPERLINK("https://klasma.github.io/Logging_1862/artfynd/A 22868-2026 artfynd.xlsx", "A 22868-2026")</f>
        <v/>
      </c>
      <c r="X9">
        <f>HYPERLINK("https://klasma.github.io/Logging_1862/kartor/A 22868-2026 karta.png", "A 22868-2026")</f>
        <v/>
      </c>
      <c r="Y9">
        <f>HYPERLINK("https://klasma.github.io/Logging_1862/kartor_geotiff/A 22868-2026 georefererad karta.tif", "A 22868-2026")</f>
        <v/>
      </c>
      <c r="AA9">
        <f>HYPERLINK("https://klasma.github.io/Logging_1862/klagomål/A 22868-2026 FSC-klagomål.docx", "A 22868-2026")</f>
        <v/>
      </c>
      <c r="AB9">
        <f>HYPERLINK("https://klasma.github.io/Logging_1862/klagomålsmail/A 22868-2026 FSC-klagomål mail.docx", "A 22868-2026")</f>
        <v/>
      </c>
      <c r="AC9">
        <f>HYPERLINK("https://klasma.github.io/Logging_1862/tillsyn/A 22868-2026 tillsynsbegäran.docx", "A 22868-2026")</f>
        <v/>
      </c>
      <c r="AD9">
        <f>HYPERLINK("https://klasma.github.io/Logging_1862/tillsynsmail/A 22868-2026 tillsynsbegäran mail.docx", "A 22868-2026")</f>
        <v/>
      </c>
      <c r="AE9">
        <f>HYPERLINK("https://klasma.github.io/Logging_1862/fåglar/A 22868-2026 prioriterade fågelarter.docx", "A 22868-2026")</f>
        <v/>
      </c>
    </row>
    <row r="10" ht="15" customHeight="1">
      <c r="A10" t="inlineStr">
        <is>
          <t>A 12721-2024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46233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3.5</v>
      </c>
      <c r="J10" t="n">
        <v>4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Kolflarnlav
Tretåig hackspett
Vaddporing
Flagellkvastmossa
Spillkråka
Tjäder
Fläcknycklar</t>
        </is>
      </c>
      <c r="W10">
        <f>HYPERLINK("https://klasma.github.io/Logging_1862/artfynd/A 12721-2024 artfynd.xlsx", "A 12721-2024")</f>
        <v/>
      </c>
      <c r="X10">
        <f>HYPERLINK("https://klasma.github.io/Logging_1862/kartor/A 12721-2024 karta.png", "A 12721-2024")</f>
        <v/>
      </c>
      <c r="Y10">
        <f>HYPERLINK("https://klasma.github.io/Logging_1862/kartor_geotiff/A 12721-2024 georefererad karta.tif", "A 12721-2024")</f>
        <v/>
      </c>
      <c r="AA10">
        <f>HYPERLINK("https://klasma.github.io/Logging_1862/klagomål/A 12721-2024 FSC-klagomål.docx", "A 12721-2024")</f>
        <v/>
      </c>
      <c r="AB10">
        <f>HYPERLINK("https://klasma.github.io/Logging_1862/klagomålsmail/A 12721-2024 FSC-klagomål mail.docx", "A 12721-2024")</f>
        <v/>
      </c>
      <c r="AC10">
        <f>HYPERLINK("https://klasma.github.io/Logging_1862/tillsyn/A 12721-2024 tillsynsbegäran.docx", "A 12721-2024")</f>
        <v/>
      </c>
      <c r="AD10">
        <f>HYPERLINK("https://klasma.github.io/Logging_1862/tillsynsmail/A 12721-2024 tillsynsbegäran mail.docx", "A 12721-2024")</f>
        <v/>
      </c>
      <c r="AE10">
        <f>HYPERLINK("https://klasma.github.io/Logging_1862/fåglar/A 12721-2024 prioriterade fågelarter.docx", "A 12721-2024")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46233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4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21</v>
      </c>
      <c r="U11" t="n">
        <v>20</v>
      </c>
      <c r="V11" s="2" t="inlineStr">
        <is>
          <t>Jungfrulin
Motaggsvamp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27668-2026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46190</v>
      </c>
      <c r="E12" s="1" t="n">
        <v>46233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2.3</v>
      </c>
      <c r="J12" t="n">
        <v>6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24</v>
      </c>
      <c r="U12" t="n">
        <v>24</v>
      </c>
      <c r="V12" s="2" t="inlineStr">
        <is>
          <t>Tretåig hackspett
Grönpyrola
Mattlummer
Spillkråka
Tjäder
Vanlig snok
Revlummer</t>
        </is>
      </c>
      <c r="W12">
        <f>HYPERLINK("https://klasma.github.io/Logging_1862/artfynd/A 27668-2026 artfynd.xlsx", "A 27668-2026")</f>
        <v/>
      </c>
      <c r="X12">
        <f>HYPERLINK("https://klasma.github.io/Logging_1862/kartor/A 27668-2026 karta.png", "A 27668-2026")</f>
        <v/>
      </c>
      <c r="Y12">
        <f>HYPERLINK("https://klasma.github.io/Logging_1862/kartor_geotiff/A 27668-2026 georefererad karta.tif", "A 27668-2026")</f>
        <v/>
      </c>
      <c r="AA12">
        <f>HYPERLINK("https://klasma.github.io/Logging_1862/klagomål/A 27668-2026 FSC-klagomål.docx", "A 27668-2026")</f>
        <v/>
      </c>
      <c r="AB12">
        <f>HYPERLINK("https://klasma.github.io/Logging_1862/klagomålsmail/A 27668-2026 FSC-klagomål mail.docx", "A 27668-2026")</f>
        <v/>
      </c>
      <c r="AC12">
        <f>HYPERLINK("https://klasma.github.io/Logging_1862/tillsyn/A 27668-2026 tillsynsbegäran.docx", "A 27668-2026")</f>
        <v/>
      </c>
      <c r="AD12">
        <f>HYPERLINK("https://klasma.github.io/Logging_1862/tillsynsmail/A 27668-2026 tillsynsbegäran mail.docx", "A 27668-2026")</f>
        <v/>
      </c>
      <c r="AE12">
        <f>HYPERLINK("https://klasma.github.io/Logging_1862/fåglar/A 27668-2026 prioriterade fågelarter.docx", "A 27668-2026")</f>
        <v/>
      </c>
    </row>
    <row r="13" ht="15" customHeight="1">
      <c r="A13" t="inlineStr">
        <is>
          <t>A 73321-2021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44550</v>
      </c>
      <c r="E13" s="1" t="n">
        <v>46233</v>
      </c>
      <c r="F13" t="inlineStr">
        <is>
          <t>ÖREBRO LÄN</t>
        </is>
      </c>
      <c r="G13" t="inlineStr">
        <is>
          <t>DEGERFORS</t>
        </is>
      </c>
      <c r="I13" t="n">
        <v>17</v>
      </c>
      <c r="J13" t="n">
        <v>3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8</v>
      </c>
      <c r="U13" t="n">
        <v>8</v>
      </c>
      <c r="V13" s="2" t="inlineStr">
        <is>
          <t>Knärot
Grynig filtlav
Gulsparv
Rynkskinn
Vedticka
Spillkråka</t>
        </is>
      </c>
      <c r="W13">
        <f>HYPERLINK("https://klasma.github.io/Logging_1862/artfynd/A 73321-2021 artfynd.xlsx", "A 73321-2021")</f>
        <v/>
      </c>
      <c r="X13">
        <f>HYPERLINK("https://klasma.github.io/Logging_1862/kartor/A 73321-2021 karta.png", "A 73321-2021")</f>
        <v/>
      </c>
      <c r="Y13">
        <f>HYPERLINK("https://klasma.github.io/Logging_1862/kartor_geotiff/A 73321-2021 georefererad karta.tif", "A 73321-2021")</f>
        <v/>
      </c>
      <c r="Z13">
        <f>HYPERLINK("https://klasma.github.io/Logging_1862/knärot/A 73321-2021 karta knärot.png", "A 73321-2021")</f>
        <v/>
      </c>
      <c r="AA13">
        <f>HYPERLINK("https://klasma.github.io/Logging_1862/klagomål/A 73321-2021 FSC-klagomål.docx", "A 73321-2021")</f>
        <v/>
      </c>
      <c r="AB13">
        <f>HYPERLINK("https://klasma.github.io/Logging_1862/klagomålsmail/A 73321-2021 FSC-klagomål mail.docx", "A 73321-2021")</f>
        <v/>
      </c>
      <c r="AC13">
        <f>HYPERLINK("https://klasma.github.io/Logging_1862/tillsyn/A 73321-2021 tillsynsbegäran.docx", "A 73321-2021")</f>
        <v/>
      </c>
      <c r="AD13">
        <f>HYPERLINK("https://klasma.github.io/Logging_1862/tillsynsmail/A 73321-2021 tillsynsbegäran mail.docx", "A 73321-2021")</f>
        <v/>
      </c>
      <c r="AE13">
        <f>HYPERLINK("https://klasma.github.io/Logging_1862/fåglar/A 73321-2021 prioriterade fågelarter.docx", "A 73321-2021")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46233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46233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27663-2026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46233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6.8</v>
      </c>
      <c r="J16" t="n">
        <v>5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15</v>
      </c>
      <c r="U16" t="n">
        <v>15</v>
      </c>
      <c r="V16" s="2" t="inlineStr">
        <is>
          <t>Tretåig hackspett
Thomsons trägnagare
Mattlummer
Spillkråka
Tjäder
Revlummer</t>
        </is>
      </c>
      <c r="W16">
        <f>HYPERLINK("https://klasma.github.io/Logging_1862/artfynd/A 27663-2026 artfynd.xlsx", "A 27663-2026")</f>
        <v/>
      </c>
      <c r="X16">
        <f>HYPERLINK("https://klasma.github.io/Logging_1862/kartor/A 27663-2026 karta.png", "A 27663-2026")</f>
        <v/>
      </c>
      <c r="Y16">
        <f>HYPERLINK("https://klasma.github.io/Logging_1862/kartor_geotiff/A 27663-2026 georefererad karta.tif", "A 27663-2026")</f>
        <v/>
      </c>
      <c r="AA16">
        <f>HYPERLINK("https://klasma.github.io/Logging_1862/klagomål/A 27663-2026 FSC-klagomål.docx", "A 27663-2026")</f>
        <v/>
      </c>
      <c r="AB16">
        <f>HYPERLINK("https://klasma.github.io/Logging_1862/klagomålsmail/A 27663-2026 FSC-klagomål mail.docx", "A 27663-2026")</f>
        <v/>
      </c>
      <c r="AC16">
        <f>HYPERLINK("https://klasma.github.io/Logging_1862/tillsyn/A 27663-2026 tillsynsbegäran.docx", "A 27663-2026")</f>
        <v/>
      </c>
      <c r="AD16">
        <f>HYPERLINK("https://klasma.github.io/Logging_1862/tillsynsmail/A 27663-2026 tillsynsbegäran mail.docx", "A 27663-2026")</f>
        <v/>
      </c>
      <c r="AE16">
        <f>HYPERLINK("https://klasma.github.io/Logging_1862/fåglar/A 27663-2026 prioriterade fågelarter.docx", "A 27663-2026")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46233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46233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46233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46233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46233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46233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46233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46233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46233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46233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46233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46233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46233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46233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46233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46233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46233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46233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46233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46233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46233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46233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38904-2023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46233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38904-2023 artfynd.xlsx", "A 38904-2023")</f>
        <v/>
      </c>
      <c r="X39">
        <f>HYPERLINK("https://klasma.github.io/Logging_1862/kartor/A 38904-2023 karta.png", "A 38904-2023")</f>
        <v/>
      </c>
      <c r="Y39">
        <f>HYPERLINK("https://klasma.github.io/Logging_1862/kartor_geotiff/A 38904-2023 georefererad karta.tif", "A 38904-2023")</f>
        <v/>
      </c>
      <c r="AA39">
        <f>HYPERLINK("https://klasma.github.io/Logging_1862/klagomål/A 38904-2023 FSC-klagomål.docx", "A 38904-2023")</f>
        <v/>
      </c>
      <c r="AB39">
        <f>HYPERLINK("https://klasma.github.io/Logging_1862/klagomålsmail/A 38904-2023 FSC-klagomål mail.docx", "A 38904-2023")</f>
        <v/>
      </c>
      <c r="AC39">
        <f>HYPERLINK("https://klasma.github.io/Logging_1862/tillsyn/A 38904-2023 tillsynsbegäran.docx", "A 38904-2023")</f>
        <v/>
      </c>
      <c r="AD39">
        <f>HYPERLINK("https://klasma.github.io/Logging_1862/tillsynsmail/A 38904-2023 tillsynsbegäran mail.docx", "A 38904-2023")</f>
        <v/>
      </c>
      <c r="AE39">
        <f>HYPERLINK("https://klasma.github.io/Logging_1862/fåglar/A 38904-2023 prioriterade fågelarter.docx", "A 38904-2023")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46233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48285-2023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45205</v>
      </c>
      <c r="E41" s="1" t="n">
        <v>46233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48285-2023 artfynd.xlsx", "A 48285-2023")</f>
        <v/>
      </c>
      <c r="X41">
        <f>HYPERLINK("https://klasma.github.io/Logging_1862/kartor/A 48285-2023 karta.png", "A 48285-2023")</f>
        <v/>
      </c>
      <c r="Y41">
        <f>HYPERLINK("https://klasma.github.io/Logging_1862/kartor_geotiff/A 48285-2023 georefererad karta.tif", "A 48285-2023")</f>
        <v/>
      </c>
      <c r="AA41">
        <f>HYPERLINK("https://klasma.github.io/Logging_1862/klagomål/A 48285-2023 FSC-klagomål.docx", "A 48285-2023")</f>
        <v/>
      </c>
      <c r="AB41">
        <f>HYPERLINK("https://klasma.github.io/Logging_1862/klagomålsmail/A 48285-2023 FSC-klagomål mail.docx", "A 48285-2023")</f>
        <v/>
      </c>
      <c r="AC41">
        <f>HYPERLINK("https://klasma.github.io/Logging_1862/tillsyn/A 48285-2023 tillsynsbegäran.docx", "A 48285-2023")</f>
        <v/>
      </c>
      <c r="AD41">
        <f>HYPERLINK("https://klasma.github.io/Logging_1862/tillsynsmail/A 48285-2023 tillsynsbegäran mail.docx", "A 48285-2023")</f>
        <v/>
      </c>
      <c r="AE41">
        <f>HYPERLINK("https://klasma.github.io/Logging_1862/fåglar/A 48285-2023 prioriterade fågelarter.docx", "A 48285-2023")</f>
        <v/>
      </c>
    </row>
    <row r="42" ht="15" customHeight="1">
      <c r="A42" t="inlineStr">
        <is>
          <t>A 14177-2026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46233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HYPERLINK("https://klasma.github.io/Logging_1862/artfynd/A 14177-2026 artfynd.xlsx", "A 14177-2026")</f>
        <v/>
      </c>
      <c r="X42">
        <f>HYPERLINK("https://klasma.github.io/Logging_1862/kartor/A 14177-2026 karta.png", "A 14177-2026")</f>
        <v/>
      </c>
      <c r="Y42">
        <f>HYPERLINK("https://klasma.github.io/Logging_1862/kartor_geotiff/A 14177-2026 georefererad karta.tif", "A 14177-2026")</f>
        <v/>
      </c>
      <c r="AA42">
        <f>HYPERLINK("https://klasma.github.io/Logging_1862/klagomål/A 14177-2026 FSC-klagomål.docx", "A 14177-2026")</f>
        <v/>
      </c>
      <c r="AB42">
        <f>HYPERLINK("https://klasma.github.io/Logging_1862/klagomålsmail/A 14177-2026 FSC-klagomål mail.docx", "A 14177-2026")</f>
        <v/>
      </c>
      <c r="AC42">
        <f>HYPERLINK("https://klasma.github.io/Logging_1862/tillsyn/A 14177-2026 tillsynsbegäran.docx", "A 14177-2026")</f>
        <v/>
      </c>
      <c r="AD42">
        <f>HYPERLINK("https://klasma.github.io/Logging_1862/tillsynsmail/A 14177-2026 tillsynsbegäran mail.docx", "A 14177-2026")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46233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38907-2023 artfynd.xlsx", "A 38907-2023")</f>
        <v/>
      </c>
      <c r="X43">
        <f>HYPERLINK("https://klasma.github.io/Logging_1862/kartor/A 38907-2023 karta.png", "A 38907-2023")</f>
        <v/>
      </c>
      <c r="Y43">
        <f>HYPERLINK("https://klasma.github.io/Logging_1862/kartor_geotiff/A 38907-2023 georefererad karta.tif", "A 38907-2023")</f>
        <v/>
      </c>
      <c r="AA43">
        <f>HYPERLINK("https://klasma.github.io/Logging_1862/klagomål/A 38907-2023 FSC-klagomål.docx", "A 38907-2023")</f>
        <v/>
      </c>
      <c r="AB43">
        <f>HYPERLINK("https://klasma.github.io/Logging_1862/klagomålsmail/A 38907-2023 FSC-klagomål mail.docx", "A 38907-2023")</f>
        <v/>
      </c>
      <c r="AC43">
        <f>HYPERLINK("https://klasma.github.io/Logging_1862/tillsyn/A 38907-2023 tillsynsbegäran.docx", "A 38907-2023")</f>
        <v/>
      </c>
      <c r="AD43">
        <f>HYPERLINK("https://klasma.github.io/Logging_1862/tillsynsmail/A 38907-2023 tillsynsbegäran mail.docx", "A 38907-2023")</f>
        <v/>
      </c>
      <c r="AE43">
        <f>HYPERLINK("https://klasma.github.io/Logging_1862/fåglar/A 38907-2023 prioriterade fågelarter.docx", "A 38907-2023")</f>
        <v/>
      </c>
    </row>
    <row r="44" ht="15" customHeight="1">
      <c r="A44" t="inlineStr">
        <is>
          <t>A 27093-2023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46233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5.9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27093-2023 artfynd.xlsx", "A 27093-2023")</f>
        <v/>
      </c>
      <c r="X44">
        <f>HYPERLINK("https://klasma.github.io/Logging_1862/kartor/A 27093-2023 karta.png", "A 27093-2023")</f>
        <v/>
      </c>
      <c r="Y44">
        <f>HYPERLINK("https://klasma.github.io/Logging_1862/kartor_geotiff/A 27093-2023 georefererad karta.tif", "A 27093-2023")</f>
        <v/>
      </c>
      <c r="AA44">
        <f>HYPERLINK("https://klasma.github.io/Logging_1862/klagomål/A 27093-2023 FSC-klagomål.docx", "A 27093-2023")</f>
        <v/>
      </c>
      <c r="AB44">
        <f>HYPERLINK("https://klasma.github.io/Logging_1862/klagomålsmail/A 27093-2023 FSC-klagomål mail.docx", "A 27093-2023")</f>
        <v/>
      </c>
      <c r="AC44">
        <f>HYPERLINK("https://klasma.github.io/Logging_1862/tillsyn/A 27093-2023 tillsynsbegäran.docx", "A 27093-2023")</f>
        <v/>
      </c>
      <c r="AD44">
        <f>HYPERLINK("https://klasma.github.io/Logging_1862/tillsynsmail/A 27093-2023 tillsynsbegäran mail.docx", "A 27093-2023")</f>
        <v/>
      </c>
      <c r="AE44">
        <f>HYPERLINK("https://klasma.github.io/Logging_1862/fåglar/A 27093-2023 prioriterade fågelarter.docx", "A 27093-2023")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46233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33297-2023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45116</v>
      </c>
      <c r="E46" s="1" t="n">
        <v>46233</v>
      </c>
      <c r="F46" t="inlineStr">
        <is>
          <t>ÖREBRO LÄN</t>
        </is>
      </c>
      <c r="G46" t="inlineStr">
        <is>
          <t>DEGERFORS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HYPERLINK("https://klasma.github.io/Logging_1862/artfynd/A 33297-2023 artfynd.xlsx", "A 33297-2023")</f>
        <v/>
      </c>
      <c r="X46">
        <f>HYPERLINK("https://klasma.github.io/Logging_1862/kartor/A 33297-2023 karta.png", "A 33297-2023")</f>
        <v/>
      </c>
      <c r="Y46">
        <f>HYPERLINK("https://klasma.github.io/Logging_1862/kartor_geotiff/A 33297-2023 georefererad karta.tif", "A 33297-2023")</f>
        <v/>
      </c>
      <c r="AA46">
        <f>HYPERLINK("https://klasma.github.io/Logging_1862/klagomål/A 33297-2023 FSC-klagomål.docx", "A 33297-2023")</f>
        <v/>
      </c>
      <c r="AB46">
        <f>HYPERLINK("https://klasma.github.io/Logging_1862/klagomålsmail/A 33297-2023 FSC-klagomål mail.docx", "A 33297-2023")</f>
        <v/>
      </c>
      <c r="AC46">
        <f>HYPERLINK("https://klasma.github.io/Logging_1862/tillsyn/A 33297-2023 tillsynsbegäran.docx", "A 33297-2023")</f>
        <v/>
      </c>
      <c r="AD46">
        <f>HYPERLINK("https://klasma.github.io/Logging_1862/tillsynsmail/A 33297-2023 tillsynsbegäran mail.docx", "A 33297-2023")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46233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46233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26971-2026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46233</v>
      </c>
      <c r="F49" t="inlineStr">
        <is>
          <t>ÖREBRO LÄN</t>
        </is>
      </c>
      <c r="G49" t="inlineStr">
        <is>
          <t>DEGERFORS</t>
        </is>
      </c>
      <c r="I49" t="n">
        <v>2.1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HYPERLINK("https://klasma.github.io/Logging_1862/artfynd/A 26971-2026 artfynd.xlsx", "A 26971-2026")</f>
        <v/>
      </c>
      <c r="X49">
        <f>HYPERLINK("https://klasma.github.io/Logging_1862/kartor/A 26971-2026 karta.png", "A 26971-2026")</f>
        <v/>
      </c>
      <c r="Y49">
        <f>HYPERLINK("https://klasma.github.io/Logging_1862/kartor_geotiff/A 26971-2026 georefererad karta.tif", "A 26971-2026")</f>
        <v/>
      </c>
      <c r="AA49">
        <f>HYPERLINK("https://klasma.github.io/Logging_1862/klagomål/A 26971-2026 FSC-klagomål.docx", "A 26971-2026")</f>
        <v/>
      </c>
      <c r="AB49">
        <f>HYPERLINK("https://klasma.github.io/Logging_1862/klagomålsmail/A 26971-2026 FSC-klagomål mail.docx", "A 26971-2026")</f>
        <v/>
      </c>
      <c r="AC49">
        <f>HYPERLINK("https://klasma.github.io/Logging_1862/tillsyn/A 26971-2026 tillsynsbegäran.docx", "A 26971-2026")</f>
        <v/>
      </c>
      <c r="AD49">
        <f>HYPERLINK("https://klasma.github.io/Logging_1862/tillsynsmail/A 26971-2026 tillsynsbegäran mail.docx", "A 26971-2026")</f>
        <v/>
      </c>
    </row>
    <row r="50" ht="15" customHeight="1">
      <c r="A50" t="inlineStr">
        <is>
          <t>A 27072-2026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46186</v>
      </c>
      <c r="E50" s="1" t="n">
        <v>46233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7.6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27072-2026 artfynd.xlsx", "A 27072-2026")</f>
        <v/>
      </c>
      <c r="X50">
        <f>HYPERLINK("https://klasma.github.io/Logging_1862/kartor/A 27072-2026 karta.png", "A 27072-2026")</f>
        <v/>
      </c>
      <c r="Y50">
        <f>HYPERLINK("https://klasma.github.io/Logging_1862/kartor_geotiff/A 27072-2026 georefererad karta.tif", "A 27072-2026")</f>
        <v/>
      </c>
      <c r="AA50">
        <f>HYPERLINK("https://klasma.github.io/Logging_1862/klagomål/A 27072-2026 FSC-klagomål.docx", "A 27072-2026")</f>
        <v/>
      </c>
      <c r="AB50">
        <f>HYPERLINK("https://klasma.github.io/Logging_1862/klagomålsmail/A 27072-2026 FSC-klagomål mail.docx", "A 27072-2026")</f>
        <v/>
      </c>
      <c r="AC50">
        <f>HYPERLINK("https://klasma.github.io/Logging_1862/tillsyn/A 27072-2026 tillsynsbegäran.docx", "A 27072-2026")</f>
        <v/>
      </c>
      <c r="AD50">
        <f>HYPERLINK("https://klasma.github.io/Logging_1862/tillsynsmail/A 27072-2026 tillsynsbegäran mail.docx", "A 27072-2026")</f>
        <v/>
      </c>
      <c r="AE50">
        <f>HYPERLINK("https://klasma.github.io/Logging_1862/fåglar/A 27072-2026 prioriterade fågelarter.docx", "A 27072-2026")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46233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46233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46233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46233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46233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46233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46233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46233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46233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46233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46233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46233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46233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46233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46233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46233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46233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46233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46233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46233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6394-2024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45338</v>
      </c>
      <c r="E71" s="1" t="n">
        <v>46233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45861-2023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45195</v>
      </c>
      <c r="E72" s="1" t="n">
        <v>46233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46233</v>
      </c>
      <c r="F73" t="inlineStr">
        <is>
          <t>ÖREBRO LÄN</t>
        </is>
      </c>
      <c r="G73" t="inlineStr">
        <is>
          <t>DEGERFORS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46233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45387</v>
      </c>
      <c r="E75" s="1" t="n">
        <v>46233</v>
      </c>
      <c r="F75" t="inlineStr">
        <is>
          <t>ÖREBRO LÄN</t>
        </is>
      </c>
      <c r="G75" t="inlineStr">
        <is>
          <t>DEGERFORS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46233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46233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46233</v>
      </c>
      <c r="F78" t="inlineStr">
        <is>
          <t>ÖREBRO LÄN</t>
        </is>
      </c>
      <c r="G78" t="inlineStr">
        <is>
          <t>DEGERFORS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50378-2024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45601</v>
      </c>
      <c r="E79" s="1" t="n">
        <v>46233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57234-2024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46233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46233</v>
      </c>
      <c r="F81" t="inlineStr">
        <is>
          <t>ÖREBRO LÄN</t>
        </is>
      </c>
      <c r="G81" t="inlineStr">
        <is>
          <t>DEGERFORS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45810</v>
      </c>
      <c r="E82" s="1" t="n">
        <v>46233</v>
      </c>
      <c r="F82" t="inlineStr">
        <is>
          <t>ÖREBRO LÄN</t>
        </is>
      </c>
      <c r="G82" t="inlineStr">
        <is>
          <t>DEGERFORS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6387-2024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45338</v>
      </c>
      <c r="E83" s="1" t="n">
        <v>46233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46233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38875-2025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46233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59158-2022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44904</v>
      </c>
      <c r="E86" s="1" t="n">
        <v>46233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46233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28368-2025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46233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46233</v>
      </c>
      <c r="F89" t="inlineStr">
        <is>
          <t>ÖREBRO LÄN</t>
        </is>
      </c>
      <c r="G89" t="inlineStr">
        <is>
          <t>DEGERFORS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45330</v>
      </c>
      <c r="E90" s="1" t="n">
        <v>46233</v>
      </c>
      <c r="F90" t="inlineStr">
        <is>
          <t>ÖREBRO LÄN</t>
        </is>
      </c>
      <c r="G90" t="inlineStr">
        <is>
          <t>DEGERFORS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46233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45902</v>
      </c>
      <c r="E92" s="1" t="n">
        <v>46233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45569</v>
      </c>
      <c r="E93" s="1" t="n">
        <v>46233</v>
      </c>
      <c r="F93" t="inlineStr">
        <is>
          <t>ÖREBRO LÄN</t>
        </is>
      </c>
      <c r="G93" t="inlineStr">
        <is>
          <t>DEGERFORS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46233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46233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46233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46233</v>
      </c>
      <c r="F97" t="inlineStr">
        <is>
          <t>ÖREBRO LÄN</t>
        </is>
      </c>
      <c r="G97" t="inlineStr">
        <is>
          <t>DEGERFORS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46233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21952-2024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45443</v>
      </c>
      <c r="E99" s="1" t="n">
        <v>46233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59863-2024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45639</v>
      </c>
      <c r="E100" s="1" t="n">
        <v>46233</v>
      </c>
      <c r="F100" t="inlineStr">
        <is>
          <t>ÖREBRO LÄN</t>
        </is>
      </c>
      <c r="G100" t="inlineStr">
        <is>
          <t>DEGERFORS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46233</v>
      </c>
      <c r="F101" t="inlineStr">
        <is>
          <t>ÖREBRO LÄN</t>
        </is>
      </c>
      <c r="G101" t="inlineStr">
        <is>
          <t>DEGERFORS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46233</v>
      </c>
      <c r="F102" t="inlineStr">
        <is>
          <t>ÖREBRO LÄN</t>
        </is>
      </c>
      <c r="G102" t="inlineStr">
        <is>
          <t>DEGERFORS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50377-2024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45601</v>
      </c>
      <c r="E103" s="1" t="n">
        <v>46233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37333-2025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45876</v>
      </c>
      <c r="E104" s="1" t="n">
        <v>46233</v>
      </c>
      <c r="F104" t="inlineStr">
        <is>
          <t>ÖREBRO LÄN</t>
        </is>
      </c>
      <c r="G104" t="inlineStr">
        <is>
          <t>DEGERFORS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48625-2025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45936</v>
      </c>
      <c r="E105" s="1" t="n">
        <v>46233</v>
      </c>
      <c r="F105" t="inlineStr">
        <is>
          <t>ÖREBRO LÄN</t>
        </is>
      </c>
      <c r="G105" t="inlineStr">
        <is>
          <t>DEGERFORS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37265-2025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45876</v>
      </c>
      <c r="E106" s="1" t="n">
        <v>46233</v>
      </c>
      <c r="F106" t="inlineStr">
        <is>
          <t>ÖREBRO LÄN</t>
        </is>
      </c>
      <c r="G106" t="inlineStr">
        <is>
          <t>DEGERFORS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46233</v>
      </c>
      <c r="F107" t="inlineStr">
        <is>
          <t>ÖREBRO LÄN</t>
        </is>
      </c>
      <c r="G107" t="inlineStr">
        <is>
          <t>DEGERFORS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51040-2025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46233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46233</v>
      </c>
      <c r="F109" t="inlineStr">
        <is>
          <t>ÖREBRO LÄN</t>
        </is>
      </c>
      <c r="G109" t="inlineStr">
        <is>
          <t>DEGERFORS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52099-2025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46233</v>
      </c>
      <c r="F110" t="inlineStr">
        <is>
          <t>ÖREBRO LÄN</t>
        </is>
      </c>
      <c r="G110" t="inlineStr">
        <is>
          <t>DEGERFORS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46233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45163</v>
      </c>
      <c r="E112" s="1" t="n">
        <v>46233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46233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63905-2021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46233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57086-2025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45979</v>
      </c>
      <c r="E115" s="1" t="n">
        <v>46233</v>
      </c>
      <c r="F115" t="inlineStr">
        <is>
          <t>ÖREBRO LÄN</t>
        </is>
      </c>
      <c r="G115" t="inlineStr">
        <is>
          <t>DEGERFORS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46233</v>
      </c>
      <c r="F116" t="inlineStr">
        <is>
          <t>ÖREBRO LÄN</t>
        </is>
      </c>
      <c r="G116" t="inlineStr">
        <is>
          <t>DEGERFORS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12148-2025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45729</v>
      </c>
      <c r="E117" s="1" t="n">
        <v>46233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12159-2026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46086</v>
      </c>
      <c r="E118" s="1" t="n">
        <v>46233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12160-2026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46086</v>
      </c>
      <c r="E119" s="1" t="n">
        <v>46233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20577-2023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45057</v>
      </c>
      <c r="E120" s="1" t="n">
        <v>46233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10797-2023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44989</v>
      </c>
      <c r="E121" s="1" t="n">
        <v>46233</v>
      </c>
      <c r="F121" t="inlineStr">
        <is>
          <t>ÖREBRO LÄN</t>
        </is>
      </c>
      <c r="G121" t="inlineStr">
        <is>
          <t>DEGERFORS</t>
        </is>
      </c>
      <c r="I121" t="n">
        <v>9.5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13039-2026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46233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46233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46092</v>
      </c>
      <c r="E124" s="1" t="n">
        <v>46233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44839</v>
      </c>
      <c r="E125" s="1" t="n">
        <v>46233</v>
      </c>
      <c r="F125" t="inlineStr">
        <is>
          <t>ÖREBRO LÄN</t>
        </is>
      </c>
      <c r="G125" t="inlineStr">
        <is>
          <t>DEGERFORS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46094</v>
      </c>
      <c r="E126" s="1" t="n">
        <v>46233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45995</v>
      </c>
      <c r="E127" s="1" t="n">
        <v>46233</v>
      </c>
      <c r="F127" t="inlineStr">
        <is>
          <t>ÖREBRO LÄN</t>
        </is>
      </c>
      <c r="G127" t="inlineStr">
        <is>
          <t>DEGERFORS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46233</v>
      </c>
      <c r="F128" t="inlineStr">
        <is>
          <t>ÖREBRO LÄN</t>
        </is>
      </c>
      <c r="G128" t="inlineStr">
        <is>
          <t>DEGERFORS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45106</v>
      </c>
      <c r="E129" s="1" t="n">
        <v>46233</v>
      </c>
      <c r="F129" t="inlineStr">
        <is>
          <t>ÖREBRO LÄN</t>
        </is>
      </c>
      <c r="G129" t="inlineStr">
        <is>
          <t>DEGERFORS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60736-2025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45996</v>
      </c>
      <c r="E130" s="1" t="n">
        <v>46233</v>
      </c>
      <c r="F130" t="inlineStr">
        <is>
          <t>ÖREBRO LÄN</t>
        </is>
      </c>
      <c r="G130" t="inlineStr">
        <is>
          <t>DEGERFORS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46233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46233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45735</v>
      </c>
      <c r="E133" s="1" t="n">
        <v>46233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46027</v>
      </c>
      <c r="E134" s="1" t="n">
        <v>46233</v>
      </c>
      <c r="F134" t="inlineStr">
        <is>
          <t>ÖREBRO LÄN</t>
        </is>
      </c>
      <c r="G134" t="inlineStr">
        <is>
          <t>DEGERFORS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44986</v>
      </c>
      <c r="E135" s="1" t="n">
        <v>46233</v>
      </c>
      <c r="F135" t="inlineStr">
        <is>
          <t>ÖREBRO LÄN</t>
        </is>
      </c>
      <c r="G135" t="inlineStr">
        <is>
          <t>DEGERFORS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46233</v>
      </c>
      <c r="F136" t="inlineStr">
        <is>
          <t>ÖREBRO LÄN</t>
        </is>
      </c>
      <c r="G136" t="inlineStr">
        <is>
          <t>DEGERFORS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45645</v>
      </c>
      <c r="E137" s="1" t="n">
        <v>46233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61750-2021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44501</v>
      </c>
      <c r="E138" s="1" t="n">
        <v>46233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46233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45337</v>
      </c>
      <c r="E140" s="1" t="n">
        <v>46233</v>
      </c>
      <c r="F140" t="inlineStr">
        <is>
          <t>ÖREBRO LÄN</t>
        </is>
      </c>
      <c r="G140" t="inlineStr">
        <is>
          <t>DEGERFORS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18506-2026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46127</v>
      </c>
      <c r="E141" s="1" t="n">
        <v>46233</v>
      </c>
      <c r="F141" t="inlineStr">
        <is>
          <t>ÖREBRO LÄN</t>
        </is>
      </c>
      <c r="G141" t="inlineStr">
        <is>
          <t>DEGERFORS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46132</v>
      </c>
      <c r="E142" s="1" t="n">
        <v>46233</v>
      </c>
      <c r="F142" t="inlineStr">
        <is>
          <t>ÖREBRO LÄN</t>
        </is>
      </c>
      <c r="G142" t="inlineStr">
        <is>
          <t>DEGERFORS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18913-2026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46129</v>
      </c>
      <c r="E143" s="1" t="n">
        <v>46233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33658-2024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45520</v>
      </c>
      <c r="E144" s="1" t="n">
        <v>46233</v>
      </c>
      <c r="F144" t="inlineStr">
        <is>
          <t>ÖREBRO LÄN</t>
        </is>
      </c>
      <c r="G144" t="inlineStr">
        <is>
          <t>DEGERFORS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38233-2023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45160</v>
      </c>
      <c r="E145" s="1" t="n">
        <v>46233</v>
      </c>
      <c r="F145" t="inlineStr">
        <is>
          <t>ÖREBRO LÄN</t>
        </is>
      </c>
      <c r="G145" t="inlineStr">
        <is>
          <t>DEGERFORS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45602</v>
      </c>
      <c r="E146" s="1" t="n">
        <v>46233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46233</v>
      </c>
      <c r="F147" t="inlineStr">
        <is>
          <t>ÖREBRO LÄN</t>
        </is>
      </c>
      <c r="G147" t="inlineStr">
        <is>
          <t>DEGERFORS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20476-2026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46233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46233</v>
      </c>
      <c r="F149" t="inlineStr">
        <is>
          <t>ÖREBRO LÄN</t>
        </is>
      </c>
      <c r="G149" t="inlineStr">
        <is>
          <t>DEGERFORS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46233</v>
      </c>
      <c r="F150" t="inlineStr">
        <is>
          <t>ÖREBRO LÄN</t>
        </is>
      </c>
      <c r="G150" t="inlineStr">
        <is>
          <t>DEGERFORS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45616</v>
      </c>
      <c r="E151" s="1" t="n">
        <v>46233</v>
      </c>
      <c r="F151" t="inlineStr">
        <is>
          <t>ÖREBRO LÄN</t>
        </is>
      </c>
      <c r="G151" t="inlineStr">
        <is>
          <t>DEGERFORS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46140</v>
      </c>
      <c r="E152" s="1" t="n">
        <v>46233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46233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46233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12143-2025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45729</v>
      </c>
      <c r="E155" s="1" t="n">
        <v>46233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45609</v>
      </c>
      <c r="E156" s="1" t="n">
        <v>46233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46233</v>
      </c>
      <c r="F157" t="inlineStr">
        <is>
          <t>ÖREBRO LÄN</t>
        </is>
      </c>
      <c r="G157" t="inlineStr">
        <is>
          <t>DEGERFORS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45645</v>
      </c>
      <c r="E158" s="1" t="n">
        <v>46233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45645</v>
      </c>
      <c r="E159" s="1" t="n">
        <v>46233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46233</v>
      </c>
      <c r="F160" t="inlineStr">
        <is>
          <t>ÖREBRO LÄN</t>
        </is>
      </c>
      <c r="G160" t="inlineStr">
        <is>
          <t>DEGERFORS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46148</v>
      </c>
      <c r="E161" s="1" t="n">
        <v>46233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46233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45190</v>
      </c>
      <c r="E163" s="1" t="n">
        <v>46233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21401-2026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46233</v>
      </c>
      <c r="F164" t="inlineStr">
        <is>
          <t>ÖREBRO LÄN</t>
        </is>
      </c>
      <c r="G164" t="inlineStr">
        <is>
          <t>DEGERFORS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45222</v>
      </c>
      <c r="E165" s="1" t="n">
        <v>46233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46191</v>
      </c>
      <c r="E166" s="1" t="n">
        <v>46233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46191</v>
      </c>
      <c r="E167" s="1" t="n">
        <v>46233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46233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21663-2026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46233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46233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45116</v>
      </c>
      <c r="E171" s="1" t="n">
        <v>46233</v>
      </c>
      <c r="F171" t="inlineStr">
        <is>
          <t>ÖREBRO LÄN</t>
        </is>
      </c>
      <c r="G171" t="inlineStr">
        <is>
          <t>DEGERFORS</t>
        </is>
      </c>
      <c r="I171" t="n">
        <v>17.2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46233</v>
      </c>
      <c r="F172" t="inlineStr">
        <is>
          <t>ÖREBRO LÄN</t>
        </is>
      </c>
      <c r="G172" t="inlineStr">
        <is>
          <t>DEGERFORS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46233</v>
      </c>
      <c r="F173" t="inlineStr">
        <is>
          <t>ÖREBRO LÄN</t>
        </is>
      </c>
      <c r="G173" t="inlineStr">
        <is>
          <t>DEGERFORS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28695-2026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46233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45190</v>
      </c>
      <c r="E175" s="1" t="n">
        <v>46233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46233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46233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45581</v>
      </c>
      <c r="E178" s="1" t="n">
        <v>46233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46233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29132-2026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46202</v>
      </c>
      <c r="E180" s="1" t="n">
        <v>46233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46233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45351</v>
      </c>
      <c r="E182" s="1" t="n">
        <v>46233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45351</v>
      </c>
      <c r="E183" s="1" t="n">
        <v>46233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60907-2023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45261</v>
      </c>
      <c r="E184" s="1" t="n">
        <v>46233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46199</v>
      </c>
      <c r="E185" s="1" t="n">
        <v>46233</v>
      </c>
      <c r="F185" t="inlineStr">
        <is>
          <t>ÖREBRO LÄN</t>
        </is>
      </c>
      <c r="G185" t="inlineStr">
        <is>
          <t>DEGERFORS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14678-2025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45742</v>
      </c>
      <c r="E186" s="1" t="n">
        <v>46233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32211-2022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44781</v>
      </c>
      <c r="E187" s="1" t="n">
        <v>46233</v>
      </c>
      <c r="F187" t="inlineStr">
        <is>
          <t>ÖREBRO LÄN</t>
        </is>
      </c>
      <c r="G187" t="inlineStr">
        <is>
          <t>DEGERFORS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46233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46233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46204</v>
      </c>
      <c r="E190" s="1" t="n">
        <v>46233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73693-2021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44552</v>
      </c>
      <c r="E191" s="1" t="n">
        <v>46233</v>
      </c>
      <c r="F191" t="inlineStr">
        <is>
          <t>ÖREBRO LÄN</t>
        </is>
      </c>
      <c r="G191" t="inlineStr">
        <is>
          <t>DEGERFORS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36437-2024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45535</v>
      </c>
      <c r="E192" s="1" t="n">
        <v>46233</v>
      </c>
      <c r="F192" t="inlineStr">
        <is>
          <t>ÖREBRO LÄN</t>
        </is>
      </c>
      <c r="G192" t="inlineStr">
        <is>
          <t>DEGERFORS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46167</v>
      </c>
      <c r="E193" s="1" t="n">
        <v>46233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20.9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45192</v>
      </c>
      <c r="E194" s="1" t="n">
        <v>46233</v>
      </c>
      <c r="F194" t="inlineStr">
        <is>
          <t>ÖREBRO LÄN</t>
        </is>
      </c>
      <c r="G194" t="inlineStr">
        <is>
          <t>DEGERFORS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52131-2021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44463</v>
      </c>
      <c r="E195" s="1" t="n">
        <v>46233</v>
      </c>
      <c r="F195" t="inlineStr">
        <is>
          <t>ÖREBRO LÄN</t>
        </is>
      </c>
      <c r="G195" t="inlineStr">
        <is>
          <t>DEGERFORS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37672-2024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45541</v>
      </c>
      <c r="E196" s="1" t="n">
        <v>46233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44735-2021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44438</v>
      </c>
      <c r="E197" s="1" t="n">
        <v>46233</v>
      </c>
      <c r="F197" t="inlineStr">
        <is>
          <t>ÖREBRO LÄN</t>
        </is>
      </c>
      <c r="G197" t="inlineStr">
        <is>
          <t>DEGERFORS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46170</v>
      </c>
      <c r="E198" s="1" t="n">
        <v>46233</v>
      </c>
      <c r="F198" t="inlineStr">
        <is>
          <t>ÖREBRO LÄN</t>
        </is>
      </c>
      <c r="G198" t="inlineStr">
        <is>
          <t>DEGERFORS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46171</v>
      </c>
      <c r="E199" s="1" t="n">
        <v>46233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24460-2026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46170</v>
      </c>
      <c r="E200" s="1" t="n">
        <v>46233</v>
      </c>
      <c r="F200" t="inlineStr">
        <is>
          <t>ÖREBRO LÄN</t>
        </is>
      </c>
      <c r="G200" t="inlineStr">
        <is>
          <t>DEGERFORS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44579</v>
      </c>
      <c r="E201" s="1" t="n">
        <v>46233</v>
      </c>
      <c r="F201" t="inlineStr">
        <is>
          <t>ÖREBRO LÄN</t>
        </is>
      </c>
      <c r="G201" t="inlineStr">
        <is>
          <t>DEGERFORS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10674-2024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45369</v>
      </c>
      <c r="E202" s="1" t="n">
        <v>46233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45763</v>
      </c>
      <c r="E203" s="1" t="n">
        <v>46233</v>
      </c>
      <c r="F203" t="inlineStr">
        <is>
          <t>ÖREBRO LÄN</t>
        </is>
      </c>
      <c r="G203" t="inlineStr">
        <is>
          <t>DEGERFORS</t>
        </is>
      </c>
      <c r="I203" t="n">
        <v>13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46233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46233</v>
      </c>
      <c r="F205" t="inlineStr">
        <is>
          <t>ÖREBRO LÄN</t>
        </is>
      </c>
      <c r="G205" t="inlineStr">
        <is>
          <t>DEGERFORS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46233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26857-2026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46185</v>
      </c>
      <c r="E207" s="1" t="n">
        <v>46233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26947-2026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46185</v>
      </c>
      <c r="E208" s="1" t="n">
        <v>46233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46185</v>
      </c>
      <c r="E209" s="1" t="n">
        <v>46233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46230</v>
      </c>
      <c r="E210" s="1" t="n">
        <v>46233</v>
      </c>
      <c r="F210" t="inlineStr">
        <is>
          <t>ÖREBRO LÄN</t>
        </is>
      </c>
      <c r="G210" t="inlineStr">
        <is>
          <t>DEGERFORS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46233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46231</v>
      </c>
      <c r="E212" s="1" t="n">
        <v>46233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46189</v>
      </c>
      <c r="E213" s="1" t="n">
        <v>46233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8059-2024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45351</v>
      </c>
      <c r="E214" s="1" t="n">
        <v>46233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46231</v>
      </c>
      <c r="E215" s="1" t="n">
        <v>46233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45233</v>
      </c>
      <c r="E216" s="1" t="n">
        <v>46233</v>
      </c>
      <c r="F216" t="inlineStr">
        <is>
          <t>ÖREBRO LÄN</t>
        </is>
      </c>
      <c r="G216" t="inlineStr">
        <is>
          <t>DEGERFORS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44816</v>
      </c>
      <c r="E217" s="1" t="n">
        <v>46233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45384</v>
      </c>
      <c r="E218" s="1" t="n">
        <v>46233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44986</v>
      </c>
      <c r="E219" s="1" t="n">
        <v>46233</v>
      </c>
      <c r="F219" t="inlineStr">
        <is>
          <t>ÖREBRO LÄN</t>
        </is>
      </c>
      <c r="G219" t="inlineStr">
        <is>
          <t>DEGERFORS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45705</v>
      </c>
      <c r="E220" s="1" t="n">
        <v>46233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45707</v>
      </c>
      <c r="E221" s="1" t="n">
        <v>46233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18831-2025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45764</v>
      </c>
      <c r="E222" s="1" t="n">
        <v>46233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45635</v>
      </c>
      <c r="E223" s="1" t="n">
        <v>46233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46233</v>
      </c>
      <c r="F224" t="inlineStr">
        <is>
          <t>ÖREBRO LÄN</t>
        </is>
      </c>
      <c r="G224" t="inlineStr">
        <is>
          <t>DEGERFORS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46233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45223</v>
      </c>
      <c r="E226" s="1" t="n">
        <v>46233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46233</v>
      </c>
      <c r="F227" t="inlineStr">
        <is>
          <t>ÖREBRO LÄN</t>
        </is>
      </c>
      <c r="G227" t="inlineStr">
        <is>
          <t>DEGERFORS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46233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45443</v>
      </c>
      <c r="E229" s="1" t="n">
        <v>46233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45453</v>
      </c>
      <c r="E230" s="1" t="n">
        <v>46233</v>
      </c>
      <c r="F230" t="inlineStr">
        <is>
          <t>ÖREBRO LÄN</t>
        </is>
      </c>
      <c r="G230" t="inlineStr">
        <is>
          <t>DEGERFORS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45330</v>
      </c>
      <c r="E231" s="1" t="n">
        <v>46233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45798</v>
      </c>
      <c r="E232" s="1" t="n">
        <v>46233</v>
      </c>
      <c r="F232" t="inlineStr">
        <is>
          <t>ÖREBRO LÄN</t>
        </is>
      </c>
      <c r="G232" t="inlineStr">
        <is>
          <t>DEGERFORS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479-2022</t>
        </is>
      </c>
      <c r="B233" t="inlineStr">
        <is>
          <t>samrådsanmälan</t>
        </is>
      </c>
      <c r="C233" t="inlineStr">
        <is>
          <t>Skogsbilväg</t>
        </is>
      </c>
      <c r="D233" s="1" t="n">
        <v>44587</v>
      </c>
      <c r="E233" s="1" t="n">
        <v>46233</v>
      </c>
      <c r="F233" t="inlineStr">
        <is>
          <t>ÖREBRO LÄN</t>
        </is>
      </c>
      <c r="G233" t="inlineStr">
        <is>
          <t>DEGERFORS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1697-2025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46233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46233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46233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46233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46233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46233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2595-2025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45916</v>
      </c>
      <c r="E240" s="1" t="n">
        <v>46233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2026-07-30T01:51:27Z</dcterms:created>
  <dcterms:modified xmlns:dcterms="http://purl.org/dc/terms/" xmlns:xsi="http://www.w3.org/2001/XMLSchema-instance" xsi:type="dcterms:W3CDTF">2026-07-30T01:51:27Z</dcterms:modified>
</cp:coreProperties>
</file>