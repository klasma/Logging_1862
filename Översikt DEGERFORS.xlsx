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45912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45912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45912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45912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45912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45912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45912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45912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45912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45912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45912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45912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12720-2024</t>
        </is>
      </c>
      <c r="B14" s="1" t="n">
        <v>45384</v>
      </c>
      <c r="C14" s="1" t="n">
        <v>45912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12720-2024 artfynd.xlsx", "A 12720-2024")</f>
        <v/>
      </c>
      <c r="T14">
        <f>HYPERLINK("https://klasma.github.io/Logging_1862/kartor/A 12720-2024 karta.png", "A 12720-2024")</f>
        <v/>
      </c>
      <c r="V14">
        <f>HYPERLINK("https://klasma.github.io/Logging_1862/klagomål/A 12720-2024 FSC-klagomål.docx", "A 12720-2024")</f>
        <v/>
      </c>
      <c r="W14">
        <f>HYPERLINK("https://klasma.github.io/Logging_1862/klagomålsmail/A 12720-2024 FSC-klagomål mail.docx", "A 12720-2024")</f>
        <v/>
      </c>
      <c r="X14">
        <f>HYPERLINK("https://klasma.github.io/Logging_1862/tillsyn/A 12720-2024 tillsynsbegäran.docx", "A 12720-2024")</f>
        <v/>
      </c>
      <c r="Y14">
        <f>HYPERLINK("https://klasma.github.io/Logging_1862/tillsynsmail/A 12720-2024 tillsynsbegäran mail.docx", "A 12720-2024")</f>
        <v/>
      </c>
      <c r="Z14">
        <f>HYPERLINK("https://klasma.github.io/Logging_1862/fåglar/A 12720-2024 prioriterade fågelarter.docx", "A 12720-2024")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45912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45912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47915-2024</t>
        </is>
      </c>
      <c r="B17" s="1" t="n">
        <v>45589.34315972222</v>
      </c>
      <c r="C17" s="1" t="n">
        <v>45912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HYPERLINK("https://klasma.github.io/Logging_1862/artfynd/A 47915-2024 artfynd.xlsx", "A 47915-2024")</f>
        <v/>
      </c>
      <c r="T17">
        <f>HYPERLINK("https://klasma.github.io/Logging_1862/kartor/A 47915-2024 karta.png", "A 47915-2024")</f>
        <v/>
      </c>
      <c r="V17">
        <f>HYPERLINK("https://klasma.github.io/Logging_1862/klagomål/A 47915-2024 FSC-klagomål.docx", "A 47915-2024")</f>
        <v/>
      </c>
      <c r="W17">
        <f>HYPERLINK("https://klasma.github.io/Logging_1862/klagomålsmail/A 47915-2024 FSC-klagomål mail.docx", "A 47915-2024")</f>
        <v/>
      </c>
      <c r="X17">
        <f>HYPERLINK("https://klasma.github.io/Logging_1862/tillsyn/A 47915-2024 tillsynsbegäran.docx", "A 47915-2024")</f>
        <v/>
      </c>
      <c r="Y17">
        <f>HYPERLINK("https://klasma.github.io/Logging_1862/tillsynsmail/A 47915-2024 tillsynsbegäran mail.docx", "A 47915-2024")</f>
        <v/>
      </c>
    </row>
    <row r="18" ht="15" customHeight="1">
      <c r="A18" t="inlineStr">
        <is>
          <t>A 38914-2023</t>
        </is>
      </c>
      <c r="B18" s="1" t="n">
        <v>45163</v>
      </c>
      <c r="C18" s="1" t="n">
        <v>45912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38914-2023 artfynd.xlsx", "A 38914-2023")</f>
        <v/>
      </c>
      <c r="T18">
        <f>HYPERLINK("https://klasma.github.io/Logging_1862/kartor/A 38914-2023 karta.png", "A 38914-2023")</f>
        <v/>
      </c>
      <c r="V18">
        <f>HYPERLINK("https://klasma.github.io/Logging_1862/klagomål/A 38914-2023 FSC-klagomål.docx", "A 38914-2023")</f>
        <v/>
      </c>
      <c r="W18">
        <f>HYPERLINK("https://klasma.github.io/Logging_1862/klagomålsmail/A 38914-2023 FSC-klagomål mail.docx", "A 38914-2023")</f>
        <v/>
      </c>
      <c r="X18">
        <f>HYPERLINK("https://klasma.github.io/Logging_1862/tillsyn/A 38914-2023 tillsynsbegäran.docx", "A 38914-2023")</f>
        <v/>
      </c>
      <c r="Y18">
        <f>HYPERLINK("https://klasma.github.io/Logging_1862/tillsynsmail/A 38914-2023 tillsynsbegäran mail.docx", "A 38914-2023")</f>
        <v/>
      </c>
      <c r="Z18">
        <f>HYPERLINK("https://klasma.github.io/Logging_1862/fåglar/A 38914-2023 prioriterade fågelarter.docx", "A 38914-2023")</f>
        <v/>
      </c>
    </row>
    <row r="19" ht="15" customHeight="1">
      <c r="A19" t="inlineStr">
        <is>
          <t>A 38912-2023</t>
        </is>
      </c>
      <c r="B19" s="1" t="n">
        <v>45163</v>
      </c>
      <c r="C19" s="1" t="n">
        <v>45912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38912-2023 artfynd.xlsx", "A 38912-2023")</f>
        <v/>
      </c>
      <c r="T19">
        <f>HYPERLINK("https://klasma.github.io/Logging_1862/kartor/A 38912-2023 karta.png", "A 38912-2023")</f>
        <v/>
      </c>
      <c r="V19">
        <f>HYPERLINK("https://klasma.github.io/Logging_1862/klagomål/A 38912-2023 FSC-klagomål.docx", "A 38912-2023")</f>
        <v/>
      </c>
      <c r="W19">
        <f>HYPERLINK("https://klasma.github.io/Logging_1862/klagomålsmail/A 38912-2023 FSC-klagomål mail.docx", "A 38912-2023")</f>
        <v/>
      </c>
      <c r="X19">
        <f>HYPERLINK("https://klasma.github.io/Logging_1862/tillsyn/A 38912-2023 tillsynsbegäran.docx", "A 38912-2023")</f>
        <v/>
      </c>
      <c r="Y19">
        <f>HYPERLINK("https://klasma.github.io/Logging_1862/tillsynsmail/A 38912-2023 tillsynsbegäran mail.docx", "A 38912-2023")</f>
        <v/>
      </c>
      <c r="Z19">
        <f>HYPERLINK("https://klasma.github.io/Logging_1862/fåglar/A 38912-2023 prioriterade fågelarter.docx", "A 38912-2023")</f>
        <v/>
      </c>
    </row>
    <row r="20" ht="15" customHeight="1">
      <c r="A20" t="inlineStr">
        <is>
          <t>A 36798-2022</t>
        </is>
      </c>
      <c r="B20" s="1" t="n">
        <v>44805</v>
      </c>
      <c r="C20" s="1" t="n">
        <v>45912</v>
      </c>
      <c r="D20" t="inlineStr">
        <is>
          <t>ÖREBRO LÄN</t>
        </is>
      </c>
      <c r="E20" t="inlineStr">
        <is>
          <t>DEGERFORS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5735-2021</t>
        </is>
      </c>
      <c r="B21" s="1" t="n">
        <v>44230</v>
      </c>
      <c r="C21" s="1" t="n">
        <v>45912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51130-2020</t>
        </is>
      </c>
      <c r="B22" s="1" t="n">
        <v>44112.48685185185</v>
      </c>
      <c r="C22" s="1" t="n">
        <v>45912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36784-2022</t>
        </is>
      </c>
      <c r="B23" s="1" t="n">
        <v>44805</v>
      </c>
      <c r="C23" s="1" t="n">
        <v>45912</v>
      </c>
      <c r="D23" t="inlineStr">
        <is>
          <t>ÖREBRO LÄN</t>
        </is>
      </c>
      <c r="E23" t="inlineStr">
        <is>
          <t>DEGERFORS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37122-2021</t>
        </is>
      </c>
      <c r="B24" s="1" t="n">
        <v>44396.35755787037</v>
      </c>
      <c r="C24" s="1" t="n">
        <v>45912</v>
      </c>
      <c r="D24" t="inlineStr">
        <is>
          <t>ÖREBRO LÄN</t>
        </is>
      </c>
      <c r="E24" t="inlineStr">
        <is>
          <t>DEGERFORS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50599-2022</t>
        </is>
      </c>
      <c r="B25" s="1" t="n">
        <v>44861</v>
      </c>
      <c r="C25" s="1" t="n">
        <v>45912</v>
      </c>
      <c r="D25" t="inlineStr">
        <is>
          <t>ÖREBRO LÄN</t>
        </is>
      </c>
      <c r="E25" t="inlineStr">
        <is>
          <t>DEGERFORS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50600-2022</t>
        </is>
      </c>
      <c r="B26" s="1" t="n">
        <v>44861</v>
      </c>
      <c r="C26" s="1" t="n">
        <v>45912</v>
      </c>
      <c r="D26" t="inlineStr">
        <is>
          <t>ÖREBRO LÄN</t>
        </is>
      </c>
      <c r="E26" t="inlineStr">
        <is>
          <t>DEGERFORS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7510-2022</t>
        </is>
      </c>
      <c r="B27" s="1" t="n">
        <v>44607.48398148148</v>
      </c>
      <c r="C27" s="1" t="n">
        <v>45912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37302-2021</t>
        </is>
      </c>
      <c r="B28" s="1" t="n">
        <v>44397</v>
      </c>
      <c r="C28" s="1" t="n">
        <v>45912</v>
      </c>
      <c r="D28" t="inlineStr">
        <is>
          <t>ÖREBRO LÄN</t>
        </is>
      </c>
      <c r="E28" t="inlineStr">
        <is>
          <t>DEGERFORS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14121-2022</t>
        </is>
      </c>
      <c r="B29" s="1" t="n">
        <v>44651</v>
      </c>
      <c r="C29" s="1" t="n">
        <v>45912</v>
      </c>
      <c r="D29" t="inlineStr">
        <is>
          <t>ÖREBRO LÄN</t>
        </is>
      </c>
      <c r="E29" t="inlineStr">
        <is>
          <t>DEGERFORS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19371-2022</t>
        </is>
      </c>
      <c r="B30" s="1" t="n">
        <v>44692</v>
      </c>
      <c r="C30" s="1" t="n">
        <v>45912</v>
      </c>
      <c r="D30" t="inlineStr">
        <is>
          <t>ÖREBRO LÄN</t>
        </is>
      </c>
      <c r="E30" t="inlineStr">
        <is>
          <t>DEGERFORS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54137-2021</t>
        </is>
      </c>
      <c r="B31" s="1" t="n">
        <v>44470</v>
      </c>
      <c r="C31" s="1" t="n">
        <v>45912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8186-2022</t>
        </is>
      </c>
      <c r="B32" s="1" t="n">
        <v>44609</v>
      </c>
      <c r="C32" s="1" t="n">
        <v>45912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19084-2021</t>
        </is>
      </c>
      <c r="B33" s="1" t="n">
        <v>44308</v>
      </c>
      <c r="C33" s="1" t="n">
        <v>45912</v>
      </c>
      <c r="D33" t="inlineStr">
        <is>
          <t>ÖREBRO LÄN</t>
        </is>
      </c>
      <c r="E33" t="inlineStr">
        <is>
          <t>DEGERFORS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54130-2021</t>
        </is>
      </c>
      <c r="B34" s="1" t="n">
        <v>44470</v>
      </c>
      <c r="C34" s="1" t="n">
        <v>45912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50358-2020</t>
        </is>
      </c>
      <c r="B35" s="1" t="n">
        <v>44110</v>
      </c>
      <c r="C35" s="1" t="n">
        <v>45912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60889-2021</t>
        </is>
      </c>
      <c r="B36" s="1" t="n">
        <v>44497.42795138889</v>
      </c>
      <c r="C36" s="1" t="n">
        <v>45912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32729-2021</t>
        </is>
      </c>
      <c r="B37" s="1" t="n">
        <v>44375</v>
      </c>
      <c r="C37" s="1" t="n">
        <v>45912</v>
      </c>
      <c r="D37" t="inlineStr">
        <is>
          <t>ÖREBRO LÄN</t>
        </is>
      </c>
      <c r="E37" t="inlineStr">
        <is>
          <t>DEGERFORS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68578-2021</t>
        </is>
      </c>
      <c r="B38" s="1" t="n">
        <v>44529.52201388889</v>
      </c>
      <c r="C38" s="1" t="n">
        <v>45912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65456-2021</t>
        </is>
      </c>
      <c r="B39" s="1" t="n">
        <v>44515</v>
      </c>
      <c r="C39" s="1" t="n">
        <v>45912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67998-2021</t>
        </is>
      </c>
      <c r="B40" s="1" t="n">
        <v>44525.76128472222</v>
      </c>
      <c r="C40" s="1" t="n">
        <v>45912</v>
      </c>
      <c r="D40" t="inlineStr">
        <is>
          <t>ÖREBRO LÄN</t>
        </is>
      </c>
      <c r="E40" t="inlineStr">
        <is>
          <t>DEGERFORS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63906-2021</t>
        </is>
      </c>
      <c r="B41" s="1" t="n">
        <v>44509.65762731482</v>
      </c>
      <c r="C41" s="1" t="n">
        <v>45912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52457-2021</t>
        </is>
      </c>
      <c r="B42" s="1" t="n">
        <v>44466.38188657408</v>
      </c>
      <c r="C42" s="1" t="n">
        <v>45912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5319-2022</t>
        </is>
      </c>
      <c r="B43" s="1" t="n">
        <v>44594</v>
      </c>
      <c r="C43" s="1" t="n">
        <v>45912</v>
      </c>
      <c r="D43" t="inlineStr">
        <is>
          <t>ÖREBRO LÄN</t>
        </is>
      </c>
      <c r="E43" t="inlineStr">
        <is>
          <t>DEGERFORS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12977-2022</t>
        </is>
      </c>
      <c r="B44" s="1" t="n">
        <v>44643</v>
      </c>
      <c r="C44" s="1" t="n">
        <v>45912</v>
      </c>
      <c r="D44" t="inlineStr">
        <is>
          <t>ÖREBRO LÄN</t>
        </is>
      </c>
      <c r="E44" t="inlineStr">
        <is>
          <t>DEGERFORS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63008-2021</t>
        </is>
      </c>
      <c r="B45" s="1" t="n">
        <v>44505.41567129629</v>
      </c>
      <c r="C45" s="1" t="n">
        <v>45912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54139-2021</t>
        </is>
      </c>
      <c r="B46" s="1" t="n">
        <v>44470</v>
      </c>
      <c r="C46" s="1" t="n">
        <v>45912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15594-2025</t>
        </is>
      </c>
      <c r="B47" s="1" t="n">
        <v>45747.88466435186</v>
      </c>
      <c r="C47" s="1" t="n">
        <v>45912</v>
      </c>
      <c r="D47" t="inlineStr">
        <is>
          <t>ÖREBRO LÄN</t>
        </is>
      </c>
      <c r="E47" t="inlineStr">
        <is>
          <t>DEGERFORS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14679-2025</t>
        </is>
      </c>
      <c r="B48" s="1" t="n">
        <v>45742.56643518519</v>
      </c>
      <c r="C48" s="1" t="n">
        <v>45912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6240-2024</t>
        </is>
      </c>
      <c r="B49" s="1" t="n">
        <v>45337</v>
      </c>
      <c r="C49" s="1" t="n">
        <v>45912</v>
      </c>
      <c r="D49" t="inlineStr">
        <is>
          <t>ÖREBRO LÄN</t>
        </is>
      </c>
      <c r="E49" t="inlineStr">
        <is>
          <t>DEGERFORS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13174-2025</t>
        </is>
      </c>
      <c r="B50" s="1" t="n">
        <v>45735.36990740741</v>
      </c>
      <c r="C50" s="1" t="n">
        <v>45912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32154-2023</t>
        </is>
      </c>
      <c r="B51" s="1" t="n">
        <v>45119</v>
      </c>
      <c r="C51" s="1" t="n">
        <v>45912</v>
      </c>
      <c r="D51" t="inlineStr">
        <is>
          <t>ÖREBRO LÄN</t>
        </is>
      </c>
      <c r="E51" t="inlineStr">
        <is>
          <t>DEGERFORS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18675-2025</t>
        </is>
      </c>
      <c r="B52" s="1" t="n">
        <v>45763.59862268518</v>
      </c>
      <c r="C52" s="1" t="n">
        <v>45912</v>
      </c>
      <c r="D52" t="inlineStr">
        <is>
          <t>ÖREBRO LÄN</t>
        </is>
      </c>
      <c r="E52" t="inlineStr">
        <is>
          <t>DEGERFORS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7975-2025</t>
        </is>
      </c>
      <c r="B53" s="1" t="n">
        <v>45707.46203703704</v>
      </c>
      <c r="C53" s="1" t="n">
        <v>45912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6394-2024</t>
        </is>
      </c>
      <c r="B54" s="1" t="n">
        <v>45338.57230324074</v>
      </c>
      <c r="C54" s="1" t="n">
        <v>45912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29607-2022</t>
        </is>
      </c>
      <c r="B55" s="1" t="n">
        <v>44754.50530092593</v>
      </c>
      <c r="C55" s="1" t="n">
        <v>45912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11085-2023</t>
        </is>
      </c>
      <c r="B56" s="1" t="n">
        <v>44986</v>
      </c>
      <c r="C56" s="1" t="n">
        <v>45912</v>
      </c>
      <c r="D56" t="inlineStr">
        <is>
          <t>ÖREBRO LÄN</t>
        </is>
      </c>
      <c r="E56" t="inlineStr">
        <is>
          <t>DEGERFORS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27438-2024</t>
        </is>
      </c>
      <c r="B57" s="1" t="n">
        <v>45474.40971064815</v>
      </c>
      <c r="C57" s="1" t="n">
        <v>45912</v>
      </c>
      <c r="D57" t="inlineStr">
        <is>
          <t>ÖREBRO LÄN</t>
        </is>
      </c>
      <c r="E57" t="inlineStr">
        <is>
          <t>DEGERFORS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37672-2024</t>
        </is>
      </c>
      <c r="B58" s="1" t="n">
        <v>45541.57966435186</v>
      </c>
      <c r="C58" s="1" t="n">
        <v>45912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46288-2024</t>
        </is>
      </c>
      <c r="B59" s="1" t="n">
        <v>45581.65881944444</v>
      </c>
      <c r="C59" s="1" t="n">
        <v>45912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56886-2024</t>
        </is>
      </c>
      <c r="B60" s="1" t="n">
        <v>45628.57332175926</v>
      </c>
      <c r="C60" s="1" t="n">
        <v>45912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51996-2023</t>
        </is>
      </c>
      <c r="B61" s="1" t="n">
        <v>45223</v>
      </c>
      <c r="C61" s="1" t="n">
        <v>45912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58629-2024</t>
        </is>
      </c>
      <c r="B62" s="1" t="n">
        <v>45635.57008101852</v>
      </c>
      <c r="C62" s="1" t="n">
        <v>45912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53838-2024</t>
        </is>
      </c>
      <c r="B63" s="1" t="n">
        <v>45614</v>
      </c>
      <c r="C63" s="1" t="n">
        <v>45912</v>
      </c>
      <c r="D63" t="inlineStr">
        <is>
          <t>ÖREBRO LÄN</t>
        </is>
      </c>
      <c r="E63" t="inlineStr">
        <is>
          <t>DEGERFORS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2357-2022</t>
        </is>
      </c>
      <c r="B64" s="1" t="n">
        <v>44578</v>
      </c>
      <c r="C64" s="1" t="n">
        <v>45912</v>
      </c>
      <c r="D64" t="inlineStr">
        <is>
          <t>ÖREBRO LÄN</t>
        </is>
      </c>
      <c r="E64" t="inlineStr">
        <is>
          <t>DEGERFORS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56478-2024</t>
        </is>
      </c>
      <c r="B65" s="1" t="n">
        <v>45624</v>
      </c>
      <c r="C65" s="1" t="n">
        <v>45912</v>
      </c>
      <c r="D65" t="inlineStr">
        <is>
          <t>ÖREBRO LÄN</t>
        </is>
      </c>
      <c r="E65" t="inlineStr">
        <is>
          <t>DEGERFORS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44806-2023</t>
        </is>
      </c>
      <c r="B66" s="1" t="n">
        <v>45190.49174768518</v>
      </c>
      <c r="C66" s="1" t="n">
        <v>45912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50102-2023</t>
        </is>
      </c>
      <c r="B67" s="1" t="n">
        <v>45215</v>
      </c>
      <c r="C67" s="1" t="n">
        <v>45912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5277-2024</t>
        </is>
      </c>
      <c r="B68" s="1" t="n">
        <v>45330</v>
      </c>
      <c r="C68" s="1" t="n">
        <v>45912</v>
      </c>
      <c r="D68" t="inlineStr">
        <is>
          <t>ÖREBRO LÄN</t>
        </is>
      </c>
      <c r="E68" t="inlineStr">
        <is>
          <t>DEGERFORS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8062-2024</t>
        </is>
      </c>
      <c r="B69" s="1" t="n">
        <v>45351</v>
      </c>
      <c r="C69" s="1" t="n">
        <v>45912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62982-2023</t>
        </is>
      </c>
      <c r="B70" s="1" t="n">
        <v>45272</v>
      </c>
      <c r="C70" s="1" t="n">
        <v>45912</v>
      </c>
      <c r="D70" t="inlineStr">
        <is>
          <t>ÖREBRO LÄN</t>
        </is>
      </c>
      <c r="E70" t="inlineStr">
        <is>
          <t>DEGERFORS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50378-2024</t>
        </is>
      </c>
      <c r="B71" s="1" t="n">
        <v>45601.2984375</v>
      </c>
      <c r="C71" s="1" t="n">
        <v>45912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33293-2023</t>
        </is>
      </c>
      <c r="B72" s="1" t="n">
        <v>45116</v>
      </c>
      <c r="C72" s="1" t="n">
        <v>45912</v>
      </c>
      <c r="D72" t="inlineStr">
        <is>
          <t>ÖREBRO LÄN</t>
        </is>
      </c>
      <c r="E72" t="inlineStr">
        <is>
          <t>DEGERFORS</t>
        </is>
      </c>
      <c r="G72" t="n">
        <v>17.2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47941-2024</t>
        </is>
      </c>
      <c r="B73" s="1" t="n">
        <v>45589.34931712963</v>
      </c>
      <c r="C73" s="1" t="n">
        <v>45912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53406-2024</t>
        </is>
      </c>
      <c r="B74" s="1" t="n">
        <v>45614.49704861111</v>
      </c>
      <c r="C74" s="1" t="n">
        <v>45912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21935-2024</t>
        </is>
      </c>
      <c r="B75" s="1" t="n">
        <v>45443.47237268519</v>
      </c>
      <c r="C75" s="1" t="n">
        <v>45912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33297-2023</t>
        </is>
      </c>
      <c r="B76" s="1" t="n">
        <v>45116</v>
      </c>
      <c r="C76" s="1" t="n">
        <v>45912</v>
      </c>
      <c r="D76" t="inlineStr">
        <is>
          <t>ÖREBRO LÄN</t>
        </is>
      </c>
      <c r="E76" t="inlineStr">
        <is>
          <t>DEGERFORS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44807-2023</t>
        </is>
      </c>
      <c r="B77" s="1" t="n">
        <v>45190.49269675926</v>
      </c>
      <c r="C77" s="1" t="n">
        <v>45912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23683-2025</t>
        </is>
      </c>
      <c r="B78" s="1" t="n">
        <v>45793.34197916667</v>
      </c>
      <c r="C78" s="1" t="n">
        <v>45912</v>
      </c>
      <c r="D78" t="inlineStr">
        <is>
          <t>ÖREBRO LÄN</t>
        </is>
      </c>
      <c r="E78" t="inlineStr">
        <is>
          <t>DEGERFORS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59206-2024</t>
        </is>
      </c>
      <c r="B79" s="1" t="n">
        <v>45636</v>
      </c>
      <c r="C79" s="1" t="n">
        <v>45912</v>
      </c>
      <c r="D79" t="inlineStr">
        <is>
          <t>ÖREBRO LÄN</t>
        </is>
      </c>
      <c r="E79" t="inlineStr">
        <is>
          <t>DEGERFORS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23682-2025</t>
        </is>
      </c>
      <c r="B80" s="1" t="n">
        <v>45793</v>
      </c>
      <c r="C80" s="1" t="n">
        <v>45912</v>
      </c>
      <c r="D80" t="inlineStr">
        <is>
          <t>ÖREBRO LÄN</t>
        </is>
      </c>
      <c r="E80" t="inlineStr">
        <is>
          <t>DEGERFORS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51652-2023</t>
        </is>
      </c>
      <c r="B81" s="1" t="n">
        <v>45222</v>
      </c>
      <c r="C81" s="1" t="n">
        <v>45912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10321-2023</t>
        </is>
      </c>
      <c r="B82" s="1" t="n">
        <v>44986.99549768519</v>
      </c>
      <c r="C82" s="1" t="n">
        <v>45912</v>
      </c>
      <c r="D82" t="inlineStr">
        <is>
          <t>ÖREBRO LÄN</t>
        </is>
      </c>
      <c r="E82" t="inlineStr">
        <is>
          <t>DEGERFORS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36963-2021</t>
        </is>
      </c>
      <c r="B83" s="1" t="n">
        <v>44393</v>
      </c>
      <c r="C83" s="1" t="n">
        <v>45912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40870-2024</t>
        </is>
      </c>
      <c r="B84" s="1" t="n">
        <v>45558.59421296296</v>
      </c>
      <c r="C84" s="1" t="n">
        <v>45912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46220-2024</t>
        </is>
      </c>
      <c r="B85" s="1" t="n">
        <v>45581.56866898148</v>
      </c>
      <c r="C85" s="1" t="n">
        <v>45912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46222-2024</t>
        </is>
      </c>
      <c r="B86" s="1" t="n">
        <v>45581.56938657408</v>
      </c>
      <c r="C86" s="1" t="n">
        <v>45912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23460-2024</t>
        </is>
      </c>
      <c r="B87" s="1" t="n">
        <v>45453.65363425926</v>
      </c>
      <c r="C87" s="1" t="n">
        <v>45912</v>
      </c>
      <c r="D87" t="inlineStr">
        <is>
          <t>ÖREBRO LÄN</t>
        </is>
      </c>
      <c r="E87" t="inlineStr">
        <is>
          <t>DEGERFORS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36437-2024</t>
        </is>
      </c>
      <c r="B88" s="1" t="n">
        <v>45535</v>
      </c>
      <c r="C88" s="1" t="n">
        <v>45912</v>
      </c>
      <c r="D88" t="inlineStr">
        <is>
          <t>ÖREBRO LÄN</t>
        </is>
      </c>
      <c r="E88" t="inlineStr">
        <is>
          <t>DEGERFORS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44457-2022</t>
        </is>
      </c>
      <c r="B89" s="1" t="n">
        <v>44839</v>
      </c>
      <c r="C89" s="1" t="n">
        <v>45912</v>
      </c>
      <c r="D89" t="inlineStr">
        <is>
          <t>ÖREBRO LÄN</t>
        </is>
      </c>
      <c r="E89" t="inlineStr">
        <is>
          <t>DEGERFORS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38904-2023</t>
        </is>
      </c>
      <c r="B90" s="1" t="n">
        <v>45163</v>
      </c>
      <c r="C90" s="1" t="n">
        <v>45912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38921-2023</t>
        </is>
      </c>
      <c r="B91" s="1" t="n">
        <v>45163</v>
      </c>
      <c r="C91" s="1" t="n">
        <v>45912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24707-2025</t>
        </is>
      </c>
      <c r="B92" s="1" t="n">
        <v>45798.81579861111</v>
      </c>
      <c r="C92" s="1" t="n">
        <v>45912</v>
      </c>
      <c r="D92" t="inlineStr">
        <is>
          <t>ÖREBRO LÄN</t>
        </is>
      </c>
      <c r="E92" t="inlineStr">
        <is>
          <t>DEGERFORS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32211-2022</t>
        </is>
      </c>
      <c r="B93" s="1" t="n">
        <v>44781.43078703704</v>
      </c>
      <c r="C93" s="1" t="n">
        <v>45912</v>
      </c>
      <c r="D93" t="inlineStr">
        <is>
          <t>ÖREBRO LÄN</t>
        </is>
      </c>
      <c r="E93" t="inlineStr">
        <is>
          <t>DEGERFORS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13405-2024</t>
        </is>
      </c>
      <c r="B94" s="1" t="n">
        <v>45387.44760416666</v>
      </c>
      <c r="C94" s="1" t="n">
        <v>45912</v>
      </c>
      <c r="D94" t="inlineStr">
        <is>
          <t>ÖREBRO LÄN</t>
        </is>
      </c>
      <c r="E94" t="inlineStr">
        <is>
          <t>DEGERFORS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5218-2024</t>
        </is>
      </c>
      <c r="B95" s="1" t="n">
        <v>45330.64273148148</v>
      </c>
      <c r="C95" s="1" t="n">
        <v>45912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12729-2024</t>
        </is>
      </c>
      <c r="B96" s="1" t="n">
        <v>45384.49421296296</v>
      </c>
      <c r="C96" s="1" t="n">
        <v>45912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25744-2025</t>
        </is>
      </c>
      <c r="B97" s="1" t="n">
        <v>45804.18709490741</v>
      </c>
      <c r="C97" s="1" t="n">
        <v>45912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26301-2025</t>
        </is>
      </c>
      <c r="B98" s="1" t="n">
        <v>45805.63861111111</v>
      </c>
      <c r="C98" s="1" t="n">
        <v>45912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21562-2024</t>
        </is>
      </c>
      <c r="B99" s="1" t="n">
        <v>45441.65392361111</v>
      </c>
      <c r="C99" s="1" t="n">
        <v>45912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16480-2025</t>
        </is>
      </c>
      <c r="B100" s="1" t="n">
        <v>45751.57702546296</v>
      </c>
      <c r="C100" s="1" t="n">
        <v>45912</v>
      </c>
      <c r="D100" t="inlineStr">
        <is>
          <t>ÖREBRO LÄN</t>
        </is>
      </c>
      <c r="E100" t="inlineStr">
        <is>
          <t>DEGERFORS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26147-2025</t>
        </is>
      </c>
      <c r="B101" s="1" t="n">
        <v>45805.4308912037</v>
      </c>
      <c r="C101" s="1" t="n">
        <v>45912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26170-2025</t>
        </is>
      </c>
      <c r="B102" s="1" t="n">
        <v>45805.46351851852</v>
      </c>
      <c r="C102" s="1" t="n">
        <v>45912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10672-2024</t>
        </is>
      </c>
      <c r="B103" s="1" t="n">
        <v>45369.35207175926</v>
      </c>
      <c r="C103" s="1" t="n">
        <v>45912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26153-2025</t>
        </is>
      </c>
      <c r="B104" s="1" t="n">
        <v>45805.43332175926</v>
      </c>
      <c r="C104" s="1" t="n">
        <v>45912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25923-2025</t>
        </is>
      </c>
      <c r="B105" s="1" t="n">
        <v>45804</v>
      </c>
      <c r="C105" s="1" t="n">
        <v>45912</v>
      </c>
      <c r="D105" t="inlineStr">
        <is>
          <t>ÖREBRO LÄN</t>
        </is>
      </c>
      <c r="E105" t="inlineStr">
        <is>
          <t>DEGERFORS</t>
        </is>
      </c>
      <c r="F105" t="inlineStr">
        <is>
          <t>Kommuner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2565-2022</t>
        </is>
      </c>
      <c r="B106" s="1" t="n">
        <v>44579</v>
      </c>
      <c r="C106" s="1" t="n">
        <v>45912</v>
      </c>
      <c r="D106" t="inlineStr">
        <is>
          <t>ÖREBRO LÄN</t>
        </is>
      </c>
      <c r="E106" t="inlineStr">
        <is>
          <t>DEGERFORS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26185-2024</t>
        </is>
      </c>
      <c r="B107" s="1" t="n">
        <v>45468.56267361111</v>
      </c>
      <c r="C107" s="1" t="n">
        <v>45912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21649-2024</t>
        </is>
      </c>
      <c r="B108" s="1" t="n">
        <v>45442.3671412037</v>
      </c>
      <c r="C108" s="1" t="n">
        <v>45912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26820-2025</t>
        </is>
      </c>
      <c r="B109" s="1" t="n">
        <v>45810.63664351852</v>
      </c>
      <c r="C109" s="1" t="n">
        <v>45912</v>
      </c>
      <c r="D109" t="inlineStr">
        <is>
          <t>ÖREBRO LÄN</t>
        </is>
      </c>
      <c r="E109" t="inlineStr">
        <is>
          <t>DEGERFORS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26783-2025</t>
        </is>
      </c>
      <c r="B110" s="1" t="n">
        <v>45810.5834375</v>
      </c>
      <c r="C110" s="1" t="n">
        <v>45912</v>
      </c>
      <c r="D110" t="inlineStr">
        <is>
          <t>ÖREBRO LÄN</t>
        </is>
      </c>
      <c r="E110" t="inlineStr">
        <is>
          <t>DEGERFORS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17798-2025</t>
        </is>
      </c>
      <c r="B111" s="1" t="n">
        <v>45758.54523148148</v>
      </c>
      <c r="C111" s="1" t="n">
        <v>45912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58479-2024</t>
        </is>
      </c>
      <c r="B112" s="1" t="n">
        <v>45635.38675925926</v>
      </c>
      <c r="C112" s="1" t="n">
        <v>45912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28367-2025</t>
        </is>
      </c>
      <c r="B113" s="1" t="n">
        <v>45819</v>
      </c>
      <c r="C113" s="1" t="n">
        <v>45912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28368-2025</t>
        </is>
      </c>
      <c r="B114" s="1" t="n">
        <v>45819.21581018518</v>
      </c>
      <c r="C114" s="1" t="n">
        <v>45912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28370-2025</t>
        </is>
      </c>
      <c r="B115" s="1" t="n">
        <v>45819.22013888889</v>
      </c>
      <c r="C115" s="1" t="n">
        <v>45912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60907-2023</t>
        </is>
      </c>
      <c r="B116" s="1" t="n">
        <v>45261</v>
      </c>
      <c r="C116" s="1" t="n">
        <v>45912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28369-2025</t>
        </is>
      </c>
      <c r="B117" s="1" t="n">
        <v>45819.21905092592</v>
      </c>
      <c r="C117" s="1" t="n">
        <v>45912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25175-2024</t>
        </is>
      </c>
      <c r="B118" s="1" t="n">
        <v>45462.545625</v>
      </c>
      <c r="C118" s="1" t="n">
        <v>45912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26176-2024</t>
        </is>
      </c>
      <c r="B119" s="1" t="n">
        <v>45468.55660879629</v>
      </c>
      <c r="C119" s="1" t="n">
        <v>45912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3177-2022</t>
        </is>
      </c>
      <c r="B120" s="1" t="n">
        <v>44582.61244212963</v>
      </c>
      <c r="C120" s="1" t="n">
        <v>45912</v>
      </c>
      <c r="D120" t="inlineStr">
        <is>
          <t>ÖREBRO LÄN</t>
        </is>
      </c>
      <c r="E120" t="inlineStr">
        <is>
          <t>DEGERFORS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50766-2024</t>
        </is>
      </c>
      <c r="B121" s="1" t="n">
        <v>45602.43986111111</v>
      </c>
      <c r="C121" s="1" t="n">
        <v>45912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23066-2022</t>
        </is>
      </c>
      <c r="B122" s="1" t="n">
        <v>44719.45199074074</v>
      </c>
      <c r="C122" s="1" t="n">
        <v>45912</v>
      </c>
      <c r="D122" t="inlineStr">
        <is>
          <t>ÖREBRO LÄN</t>
        </is>
      </c>
      <c r="E122" t="inlineStr">
        <is>
          <t>DEGERFORS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8184-2022</t>
        </is>
      </c>
      <c r="B123" s="1" t="n">
        <v>44609</v>
      </c>
      <c r="C123" s="1" t="n">
        <v>45912</v>
      </c>
      <c r="D123" t="inlineStr">
        <is>
          <t>ÖREBRO LÄN</t>
        </is>
      </c>
      <c r="E123" t="inlineStr">
        <is>
          <t>DEGERFORS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46290-2024</t>
        </is>
      </c>
      <c r="B124" s="1" t="n">
        <v>45581.66018518519</v>
      </c>
      <c r="C124" s="1" t="n">
        <v>45912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36768-2025</t>
        </is>
      </c>
      <c r="B125" s="1" t="n">
        <v>45873.58413194444</v>
      </c>
      <c r="C125" s="1" t="n">
        <v>45912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36769-2025</t>
        </is>
      </c>
      <c r="B126" s="1" t="n">
        <v>45873.58680555555</v>
      </c>
      <c r="C126" s="1" t="n">
        <v>45912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63905-2021</t>
        </is>
      </c>
      <c r="B127" s="1" t="n">
        <v>44509.65712962963</v>
      </c>
      <c r="C127" s="1" t="n">
        <v>45912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52506-2024</t>
        </is>
      </c>
      <c r="B128" s="1" t="n">
        <v>45609</v>
      </c>
      <c r="C128" s="1" t="n">
        <v>45912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52523-2024</t>
        </is>
      </c>
      <c r="B129" s="1" t="n">
        <v>45609</v>
      </c>
      <c r="C129" s="1" t="n">
        <v>45912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38743-2022</t>
        </is>
      </c>
      <c r="B130" s="1" t="n">
        <v>44816.34265046296</v>
      </c>
      <c r="C130" s="1" t="n">
        <v>45912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13415-2025</t>
        </is>
      </c>
      <c r="B131" s="1" t="n">
        <v>45736.28094907408</v>
      </c>
      <c r="C131" s="1" t="n">
        <v>45912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47935-2024</t>
        </is>
      </c>
      <c r="B132" s="1" t="n">
        <v>45589.34674768519</v>
      </c>
      <c r="C132" s="1" t="n">
        <v>45912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52508-2024</t>
        </is>
      </c>
      <c r="B133" s="1" t="n">
        <v>45609</v>
      </c>
      <c r="C133" s="1" t="n">
        <v>45912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46219-2024</t>
        </is>
      </c>
      <c r="B134" s="1" t="n">
        <v>45581.56686342593</v>
      </c>
      <c r="C134" s="1" t="n">
        <v>45912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31603-2025</t>
        </is>
      </c>
      <c r="B135" s="1" t="n">
        <v>45833.73876157407</v>
      </c>
      <c r="C135" s="1" t="n">
        <v>45912</v>
      </c>
      <c r="D135" t="inlineStr">
        <is>
          <t>ÖREBRO LÄN</t>
        </is>
      </c>
      <c r="E135" t="inlineStr">
        <is>
          <t>DEGERFORS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37333-2025</t>
        </is>
      </c>
      <c r="B136" s="1" t="n">
        <v>45876.66482638889</v>
      </c>
      <c r="C136" s="1" t="n">
        <v>45912</v>
      </c>
      <c r="D136" t="inlineStr">
        <is>
          <t>ÖREBRO LÄN</t>
        </is>
      </c>
      <c r="E136" t="inlineStr">
        <is>
          <t>DEGERFORS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32300-2025</t>
        </is>
      </c>
      <c r="B137" s="1" t="n">
        <v>45835.71607638889</v>
      </c>
      <c r="C137" s="1" t="n">
        <v>45912</v>
      </c>
      <c r="D137" t="inlineStr">
        <is>
          <t>ÖREBRO LÄN</t>
        </is>
      </c>
      <c r="E137" t="inlineStr">
        <is>
          <t>DEGERFORS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58197-2024</t>
        </is>
      </c>
      <c r="B138" s="1" t="n">
        <v>45632.48092592593</v>
      </c>
      <c r="C138" s="1" t="n">
        <v>45912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50377-2024</t>
        </is>
      </c>
      <c r="B139" s="1" t="n">
        <v>45601.29576388889</v>
      </c>
      <c r="C139" s="1" t="n">
        <v>45912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8059-2024</t>
        </is>
      </c>
      <c r="B140" s="1" t="n">
        <v>45351</v>
      </c>
      <c r="C140" s="1" t="n">
        <v>45912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37265-2025</t>
        </is>
      </c>
      <c r="B141" s="1" t="n">
        <v>45876.46099537037</v>
      </c>
      <c r="C141" s="1" t="n">
        <v>45912</v>
      </c>
      <c r="D141" t="inlineStr">
        <is>
          <t>ÖREBRO LÄN</t>
        </is>
      </c>
      <c r="E141" t="inlineStr">
        <is>
          <t>DEGERFORS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9525-2025</t>
        </is>
      </c>
      <c r="B142" s="1" t="n">
        <v>45715.56616898148</v>
      </c>
      <c r="C142" s="1" t="n">
        <v>45912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44735-2021</t>
        </is>
      </c>
      <c r="B143" s="1" t="n">
        <v>44438</v>
      </c>
      <c r="C143" s="1" t="n">
        <v>45912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54515-2023</t>
        </is>
      </c>
      <c r="B144" s="1" t="n">
        <v>45233.57033564815</v>
      </c>
      <c r="C144" s="1" t="n">
        <v>45912</v>
      </c>
      <c r="D144" t="inlineStr">
        <is>
          <t>ÖREBRO LÄN</t>
        </is>
      </c>
      <c r="E144" t="inlineStr">
        <is>
          <t>DEGERFORS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29482-2023</t>
        </is>
      </c>
      <c r="B145" s="1" t="n">
        <v>45106.57938657407</v>
      </c>
      <c r="C145" s="1" t="n">
        <v>45912</v>
      </c>
      <c r="D145" t="inlineStr">
        <is>
          <t>ÖREBRO LÄN</t>
        </is>
      </c>
      <c r="E145" t="inlineStr">
        <is>
          <t>DEGERFORS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32717-2025</t>
        </is>
      </c>
      <c r="B146" s="1" t="n">
        <v>45839.37686342592</v>
      </c>
      <c r="C146" s="1" t="n">
        <v>45912</v>
      </c>
      <c r="D146" t="inlineStr">
        <is>
          <t>ÖREBRO LÄN</t>
        </is>
      </c>
      <c r="E146" t="inlineStr">
        <is>
          <t>DEGERFORS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54994-2024</t>
        </is>
      </c>
      <c r="B147" s="1" t="n">
        <v>45621.27174768518</v>
      </c>
      <c r="C147" s="1" t="n">
        <v>45912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59158-2022</t>
        </is>
      </c>
      <c r="B148" s="1" t="n">
        <v>44904</v>
      </c>
      <c r="C148" s="1" t="n">
        <v>45912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8749-2025</t>
        </is>
      </c>
      <c r="B149" s="1" t="n">
        <v>45712.56111111111</v>
      </c>
      <c r="C149" s="1" t="n">
        <v>45912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18773-2025</t>
        </is>
      </c>
      <c r="B150" s="1" t="n">
        <v>45763</v>
      </c>
      <c r="C150" s="1" t="n">
        <v>45912</v>
      </c>
      <c r="D150" t="inlineStr">
        <is>
          <t>ÖREBRO LÄN</t>
        </is>
      </c>
      <c r="E150" t="inlineStr">
        <is>
          <t>DEGERFORS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56464-2024</t>
        </is>
      </c>
      <c r="B151" s="1" t="n">
        <v>45624</v>
      </c>
      <c r="C151" s="1" t="n">
        <v>45912</v>
      </c>
      <c r="D151" t="inlineStr">
        <is>
          <t>ÖREBRO LÄN</t>
        </is>
      </c>
      <c r="E151" t="inlineStr">
        <is>
          <t>DEGERFORS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10320-2023</t>
        </is>
      </c>
      <c r="B152" s="1" t="n">
        <v>44986</v>
      </c>
      <c r="C152" s="1" t="n">
        <v>45912</v>
      </c>
      <c r="D152" t="inlineStr">
        <is>
          <t>ÖREBRO LÄN</t>
        </is>
      </c>
      <c r="E152" t="inlineStr">
        <is>
          <t>DEGERFORS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33404-2025</t>
        </is>
      </c>
      <c r="B153" s="1" t="n">
        <v>45841</v>
      </c>
      <c r="C153" s="1" t="n">
        <v>45912</v>
      </c>
      <c r="D153" t="inlineStr">
        <is>
          <t>ÖREBRO LÄN</t>
        </is>
      </c>
      <c r="E153" t="inlineStr">
        <is>
          <t>DEGERFORS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38915-2023</t>
        </is>
      </c>
      <c r="B154" s="1" t="n">
        <v>45163</v>
      </c>
      <c r="C154" s="1" t="n">
        <v>45912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73321-2021</t>
        </is>
      </c>
      <c r="B155" s="1" t="n">
        <v>44550</v>
      </c>
      <c r="C155" s="1" t="n">
        <v>45912</v>
      </c>
      <c r="D155" t="inlineStr">
        <is>
          <t>ÖREBRO LÄN</t>
        </is>
      </c>
      <c r="E155" t="inlineStr">
        <is>
          <t>DEGERFORS</t>
        </is>
      </c>
      <c r="G155" t="n">
        <v>17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13236-2025</t>
        </is>
      </c>
      <c r="B156" s="1" t="n">
        <v>45735.47133101852</v>
      </c>
      <c r="C156" s="1" t="n">
        <v>45912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25177-2024</t>
        </is>
      </c>
      <c r="B157" s="1" t="n">
        <v>45462.546875</v>
      </c>
      <c r="C157" s="1" t="n">
        <v>45912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38917-2023</t>
        </is>
      </c>
      <c r="B158" s="1" t="n">
        <v>45163</v>
      </c>
      <c r="C158" s="1" t="n">
        <v>45912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13412-2025</t>
        </is>
      </c>
      <c r="B159" s="1" t="n">
        <v>45736.27773148148</v>
      </c>
      <c r="C159" s="1" t="n">
        <v>45912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38872-2025</t>
        </is>
      </c>
      <c r="B160" s="1" t="n">
        <v>45887.5749074074</v>
      </c>
      <c r="C160" s="1" t="n">
        <v>45912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38233-2023</t>
        </is>
      </c>
      <c r="B161" s="1" t="n">
        <v>45160</v>
      </c>
      <c r="C161" s="1" t="n">
        <v>45912</v>
      </c>
      <c r="D161" t="inlineStr">
        <is>
          <t>ÖREBRO LÄN</t>
        </is>
      </c>
      <c r="E161" t="inlineStr">
        <is>
          <t>DEGERFORS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10797-2023</t>
        </is>
      </c>
      <c r="B162" s="1" t="n">
        <v>44989</v>
      </c>
      <c r="C162" s="1" t="n">
        <v>45912</v>
      </c>
      <c r="D162" t="inlineStr">
        <is>
          <t>ÖREBRO LÄN</t>
        </is>
      </c>
      <c r="E162" t="inlineStr">
        <is>
          <t>DEGERFORS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15998-2025</t>
        </is>
      </c>
      <c r="B163" s="1" t="n">
        <v>45749</v>
      </c>
      <c r="C163" s="1" t="n">
        <v>45912</v>
      </c>
      <c r="D163" t="inlineStr">
        <is>
          <t>ÖREBRO LÄN</t>
        </is>
      </c>
      <c r="E163" t="inlineStr">
        <is>
          <t>DEGERFORS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11084-2023</t>
        </is>
      </c>
      <c r="B164" s="1" t="n">
        <v>44986</v>
      </c>
      <c r="C164" s="1" t="n">
        <v>45912</v>
      </c>
      <c r="D164" t="inlineStr">
        <is>
          <t>ÖREBRO LÄN</t>
        </is>
      </c>
      <c r="E164" t="inlineStr">
        <is>
          <t>DEGERFORS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50764-2024</t>
        </is>
      </c>
      <c r="B165" s="1" t="n">
        <v>45602.43876157407</v>
      </c>
      <c r="C165" s="1" t="n">
        <v>45912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33658-2024</t>
        </is>
      </c>
      <c r="B166" s="1" t="n">
        <v>45520.46899305555</v>
      </c>
      <c r="C166" s="1" t="n">
        <v>45912</v>
      </c>
      <c r="D166" t="inlineStr">
        <is>
          <t>ÖREBRO LÄN</t>
        </is>
      </c>
      <c r="E166" t="inlineStr">
        <is>
          <t>DEGERFORS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10674-2024</t>
        </is>
      </c>
      <c r="B167" s="1" t="n">
        <v>45369.35297453704</v>
      </c>
      <c r="C167" s="1" t="n">
        <v>45912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14452-2025</t>
        </is>
      </c>
      <c r="B168" s="1" t="n">
        <v>45741.56143518518</v>
      </c>
      <c r="C168" s="1" t="n">
        <v>45912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60933-2024</t>
        </is>
      </c>
      <c r="B169" s="1" t="n">
        <v>45645.36615740741</v>
      </c>
      <c r="C169" s="1" t="n">
        <v>45912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38874-2025</t>
        </is>
      </c>
      <c r="B170" s="1" t="n">
        <v>45887</v>
      </c>
      <c r="C170" s="1" t="n">
        <v>45912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73693-2021</t>
        </is>
      </c>
      <c r="B171" s="1" t="n">
        <v>44552.48893518518</v>
      </c>
      <c r="C171" s="1" t="n">
        <v>45912</v>
      </c>
      <c r="D171" t="inlineStr">
        <is>
          <t>ÖREBRO LÄN</t>
        </is>
      </c>
      <c r="E171" t="inlineStr">
        <is>
          <t>DEGERFORS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45861-2023</t>
        </is>
      </c>
      <c r="B172" s="1" t="n">
        <v>45195</v>
      </c>
      <c r="C172" s="1" t="n">
        <v>45912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58120-2024</t>
        </is>
      </c>
      <c r="B173" s="1" t="n">
        <v>45632.39280092593</v>
      </c>
      <c r="C173" s="1" t="n">
        <v>45912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58125-2024</t>
        </is>
      </c>
      <c r="B174" s="1" t="n">
        <v>45632.39546296297</v>
      </c>
      <c r="C174" s="1" t="n">
        <v>45912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58164-2024</t>
        </is>
      </c>
      <c r="B175" s="1" t="n">
        <v>45632.45396990741</v>
      </c>
      <c r="C175" s="1" t="n">
        <v>45912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44841-2023</t>
        </is>
      </c>
      <c r="B176" s="1" t="n">
        <v>45190.55920138889</v>
      </c>
      <c r="C176" s="1" t="n">
        <v>45912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13414-2025</t>
        </is>
      </c>
      <c r="B177" s="1" t="n">
        <v>45736.2803125</v>
      </c>
      <c r="C177" s="1" t="n">
        <v>45912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38875-2025</t>
        </is>
      </c>
      <c r="B178" s="1" t="n">
        <v>45887</v>
      </c>
      <c r="C178" s="1" t="n">
        <v>45912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43768-2024</t>
        </is>
      </c>
      <c r="B179" s="1" t="n">
        <v>45569</v>
      </c>
      <c r="C179" s="1" t="n">
        <v>45912</v>
      </c>
      <c r="D179" t="inlineStr">
        <is>
          <t>ÖREBRO LÄN</t>
        </is>
      </c>
      <c r="E179" t="inlineStr">
        <is>
          <t>DEGERFORS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38907-2023</t>
        </is>
      </c>
      <c r="B180" s="1" t="n">
        <v>45163</v>
      </c>
      <c r="C180" s="1" t="n">
        <v>45912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38910-2023</t>
        </is>
      </c>
      <c r="B181" s="1" t="n">
        <v>45163</v>
      </c>
      <c r="C181" s="1" t="n">
        <v>45912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60937-2024</t>
        </is>
      </c>
      <c r="B182" s="1" t="n">
        <v>45645.3683912037</v>
      </c>
      <c r="C182" s="1" t="n">
        <v>45912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60940-2024</t>
        </is>
      </c>
      <c r="B183" s="1" t="n">
        <v>45645.37079861111</v>
      </c>
      <c r="C183" s="1" t="n">
        <v>45912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48118-2023</t>
        </is>
      </c>
      <c r="B184" s="1" t="n">
        <v>45205</v>
      </c>
      <c r="C184" s="1" t="n">
        <v>45912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59863-2024</t>
        </is>
      </c>
      <c r="B185" s="1" t="n">
        <v>45639</v>
      </c>
      <c r="C185" s="1" t="n">
        <v>45912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41568-2024</t>
        </is>
      </c>
      <c r="B186" s="1" t="n">
        <v>45560</v>
      </c>
      <c r="C186" s="1" t="n">
        <v>45912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14678-2025</t>
        </is>
      </c>
      <c r="B187" s="1" t="n">
        <v>45742.56563657407</v>
      </c>
      <c r="C187" s="1" t="n">
        <v>45912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14681-2025</t>
        </is>
      </c>
      <c r="B188" s="1" t="n">
        <v>45742.56857638889</v>
      </c>
      <c r="C188" s="1" t="n">
        <v>45912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9511-2025</t>
        </is>
      </c>
      <c r="B189" s="1" t="n">
        <v>45715.53921296296</v>
      </c>
      <c r="C189" s="1" t="n">
        <v>45912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52566-2023</t>
        </is>
      </c>
      <c r="B190" s="1" t="n">
        <v>45219</v>
      </c>
      <c r="C190" s="1" t="n">
        <v>45912</v>
      </c>
      <c r="D190" t="inlineStr">
        <is>
          <t>ÖREBRO LÄN</t>
        </is>
      </c>
      <c r="E190" t="inlineStr">
        <is>
          <t>DEGERFORS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41369-2025</t>
        </is>
      </c>
      <c r="B191" s="1" t="n">
        <v>45900.56857638889</v>
      </c>
      <c r="C191" s="1" t="n">
        <v>45912</v>
      </c>
      <c r="D191" t="inlineStr">
        <is>
          <t>ÖREBRO LÄN</t>
        </is>
      </c>
      <c r="E191" t="inlineStr">
        <is>
          <t>DEGERFORS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38738-2022</t>
        </is>
      </c>
      <c r="B192" s="1" t="n">
        <v>44816.34217592593</v>
      </c>
      <c r="C192" s="1" t="n">
        <v>45912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41642-2025</t>
        </is>
      </c>
      <c r="B193" s="1" t="n">
        <v>45901</v>
      </c>
      <c r="C193" s="1" t="n">
        <v>45912</v>
      </c>
      <c r="D193" t="inlineStr">
        <is>
          <t>ÖREBRO LÄN</t>
        </is>
      </c>
      <c r="E193" t="inlineStr">
        <is>
          <t>DEGERFORS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57234-2024</t>
        </is>
      </c>
      <c r="B194" s="1" t="n">
        <v>45629.54484953704</v>
      </c>
      <c r="C194" s="1" t="n">
        <v>45912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35706-2025</t>
        </is>
      </c>
      <c r="B195" s="1" t="n">
        <v>45860.37125</v>
      </c>
      <c r="C195" s="1" t="n">
        <v>45912</v>
      </c>
      <c r="D195" t="inlineStr">
        <is>
          <t>ÖREBRO LÄN</t>
        </is>
      </c>
      <c r="E195" t="inlineStr">
        <is>
          <t>DEGERFORS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14677-2025</t>
        </is>
      </c>
      <c r="B196" s="1" t="n">
        <v>45742.56465277778</v>
      </c>
      <c r="C196" s="1" t="n">
        <v>45912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41767-2025</t>
        </is>
      </c>
      <c r="B197" s="1" t="n">
        <v>45902.54892361111</v>
      </c>
      <c r="C197" s="1" t="n">
        <v>45912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48285-2023</t>
        </is>
      </c>
      <c r="B198" s="1" t="n">
        <v>45205.55755787037</v>
      </c>
      <c r="C198" s="1" t="n">
        <v>45912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9510-2025</t>
        </is>
      </c>
      <c r="B199" s="1" t="n">
        <v>45715.53829861111</v>
      </c>
      <c r="C199" s="1" t="n">
        <v>45912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41766-2025</t>
        </is>
      </c>
      <c r="B200" s="1" t="n">
        <v>45902.54806712963</v>
      </c>
      <c r="C200" s="1" t="n">
        <v>45912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14680-2025</t>
        </is>
      </c>
      <c r="B201" s="1" t="n">
        <v>45742.56774305556</v>
      </c>
      <c r="C201" s="1" t="n">
        <v>45912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52131-2021</t>
        </is>
      </c>
      <c r="B202" s="1" t="n">
        <v>44463</v>
      </c>
      <c r="C202" s="1" t="n">
        <v>45912</v>
      </c>
      <c r="D202" t="inlineStr">
        <is>
          <t>ÖREBRO LÄN</t>
        </is>
      </c>
      <c r="E202" t="inlineStr">
        <is>
          <t>DEGERFORS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38782-2025</t>
        </is>
      </c>
      <c r="B203" s="1" t="n">
        <v>45887</v>
      </c>
      <c r="C203" s="1" t="n">
        <v>45912</v>
      </c>
      <c r="D203" t="inlineStr">
        <is>
          <t>ÖREBRO LÄN</t>
        </is>
      </c>
      <c r="E203" t="inlineStr">
        <is>
          <t>DEGERFORS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52490-2024</t>
        </is>
      </c>
      <c r="B204" s="1" t="n">
        <v>45609.55875</v>
      </c>
      <c r="C204" s="1" t="n">
        <v>45912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58477-2024</t>
        </is>
      </c>
      <c r="B205" s="1" t="n">
        <v>45635.38418981482</v>
      </c>
      <c r="C205" s="1" t="n">
        <v>45912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26182-2024</t>
        </is>
      </c>
      <c r="B206" s="1" t="n">
        <v>45468</v>
      </c>
      <c r="C206" s="1" t="n">
        <v>45912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12148-2025</t>
        </is>
      </c>
      <c r="B207" s="1" t="n">
        <v>45729</v>
      </c>
      <c r="C207" s="1" t="n">
        <v>45912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13413-2025</t>
        </is>
      </c>
      <c r="B208" s="1" t="n">
        <v>45736.27847222222</v>
      </c>
      <c r="C208" s="1" t="n">
        <v>45912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61750-2021</t>
        </is>
      </c>
      <c r="B209" s="1" t="n">
        <v>44501.64055555555</v>
      </c>
      <c r="C209" s="1" t="n">
        <v>45912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17794-2025</t>
        </is>
      </c>
      <c r="B210" s="1" t="n">
        <v>45758</v>
      </c>
      <c r="C210" s="1" t="n">
        <v>45912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8074-2024</t>
        </is>
      </c>
      <c r="B211" s="1" t="n">
        <v>45351.42106481481</v>
      </c>
      <c r="C211" s="1" t="n">
        <v>45912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7472-2025</t>
        </is>
      </c>
      <c r="B212" s="1" t="n">
        <v>45705.46409722222</v>
      </c>
      <c r="C212" s="1" t="n">
        <v>45912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21952-2024</t>
        </is>
      </c>
      <c r="B213" s="1" t="n">
        <v>45443.48370370371</v>
      </c>
      <c r="C213" s="1" t="n">
        <v>45912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17355-2025</t>
        </is>
      </c>
      <c r="B214" s="1" t="n">
        <v>45756.6997337963</v>
      </c>
      <c r="C214" s="1" t="n">
        <v>45912</v>
      </c>
      <c r="D214" t="inlineStr">
        <is>
          <t>ÖREBRO LÄN</t>
        </is>
      </c>
      <c r="E214" t="inlineStr">
        <is>
          <t>DEGERFORS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62972-2023</t>
        </is>
      </c>
      <c r="B215" s="1" t="n">
        <v>45272</v>
      </c>
      <c r="C215" s="1" t="n">
        <v>45912</v>
      </c>
      <c r="D215" t="inlineStr">
        <is>
          <t>ÖREBRO LÄN</t>
        </is>
      </c>
      <c r="E215" t="inlineStr">
        <is>
          <t>DEGERFORS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52528-2024</t>
        </is>
      </c>
      <c r="B216" s="1" t="n">
        <v>45609</v>
      </c>
      <c r="C216" s="1" t="n">
        <v>45912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14633-2025</t>
        </is>
      </c>
      <c r="B217" s="1" t="n">
        <v>45742</v>
      </c>
      <c r="C217" s="1" t="n">
        <v>45912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12143-2025</t>
        </is>
      </c>
      <c r="B218" s="1" t="n">
        <v>45729</v>
      </c>
      <c r="C218" s="1" t="n">
        <v>45912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50207-2024</t>
        </is>
      </c>
      <c r="B219" s="1" t="n">
        <v>45600.49782407407</v>
      </c>
      <c r="C219" s="1" t="n">
        <v>45912</v>
      </c>
      <c r="D219" t="inlineStr">
        <is>
          <t>ÖREBRO LÄN</t>
        </is>
      </c>
      <c r="E219" t="inlineStr">
        <is>
          <t>DEGERFORS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50208-2024</t>
        </is>
      </c>
      <c r="B220" s="1" t="n">
        <v>45600.49924768518</v>
      </c>
      <c r="C220" s="1" t="n">
        <v>45912</v>
      </c>
      <c r="D220" t="inlineStr">
        <is>
          <t>ÖREBRO LÄN</t>
        </is>
      </c>
      <c r="E220" t="inlineStr">
        <is>
          <t>DEGERFORS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14634-2025</t>
        </is>
      </c>
      <c r="B221" s="1" t="n">
        <v>45742</v>
      </c>
      <c r="C221" s="1" t="n">
        <v>45912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51653-2023</t>
        </is>
      </c>
      <c r="B222" s="1" t="n">
        <v>45222</v>
      </c>
      <c r="C222" s="1" t="n">
        <v>45912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22659-2024</t>
        </is>
      </c>
      <c r="B223" s="1" t="n">
        <v>45447</v>
      </c>
      <c r="C223" s="1" t="n">
        <v>45912</v>
      </c>
      <c r="D223" t="inlineStr">
        <is>
          <t>ÖREBRO LÄN</t>
        </is>
      </c>
      <c r="E223" t="inlineStr">
        <is>
          <t>DEGERFORS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12678-2025</t>
        </is>
      </c>
      <c r="B224" s="1" t="n">
        <v>45733.44137731481</v>
      </c>
      <c r="C224" s="1" t="n">
        <v>45912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20577-2023</t>
        </is>
      </c>
      <c r="B225" s="1" t="n">
        <v>45057</v>
      </c>
      <c r="C225" s="1" t="n">
        <v>45912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12108-2024</t>
        </is>
      </c>
      <c r="B226" s="1" t="n">
        <v>45376</v>
      </c>
      <c r="C226" s="1" t="n">
        <v>45912</v>
      </c>
      <c r="D226" t="inlineStr">
        <is>
          <t>ÖREBRO LÄN</t>
        </is>
      </c>
      <c r="E226" t="inlineStr">
        <is>
          <t>DEGERFORS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15596-2025</t>
        </is>
      </c>
      <c r="B227" s="1" t="n">
        <v>45747.8864699074</v>
      </c>
      <c r="C227" s="1" t="n">
        <v>45912</v>
      </c>
      <c r="D227" t="inlineStr">
        <is>
          <t>ÖREBRO LÄN</t>
        </is>
      </c>
      <c r="E227" t="inlineStr">
        <is>
          <t>DEGERFORS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45365-2023</t>
        </is>
      </c>
      <c r="B228" s="1" t="n">
        <v>45192.69640046296</v>
      </c>
      <c r="C228" s="1" t="n">
        <v>45912</v>
      </c>
      <c r="D228" t="inlineStr">
        <is>
          <t>ÖREBRO LÄN</t>
        </is>
      </c>
      <c r="E228" t="inlineStr">
        <is>
          <t>DEGERFORS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6387-2024</t>
        </is>
      </c>
      <c r="B229" s="1" t="n">
        <v>45338.56366898148</v>
      </c>
      <c r="C229" s="1" t="n">
        <v>45912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18831-2025</t>
        </is>
      </c>
      <c r="B230" s="1" t="n">
        <v>45764.39109953704</v>
      </c>
      <c r="C230" s="1" t="n">
        <v>45912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46147-2024</t>
        </is>
      </c>
      <c r="B231" s="1" t="n">
        <v>45581.45158564814</v>
      </c>
      <c r="C231" s="1" t="n">
        <v>45912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54082-2024</t>
        </is>
      </c>
      <c r="B232" s="1" t="n">
        <v>45616.4956712963</v>
      </c>
      <c r="C232" s="1" t="n">
        <v>45912</v>
      </c>
      <c r="D232" t="inlineStr">
        <is>
          <t>ÖREBRO LÄN</t>
        </is>
      </c>
      <c r="E232" t="inlineStr">
        <is>
          <t>DEGERFORS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2025-09-12T08:56:10Z</dcterms:created>
  <dcterms:modified xmlns:dcterms="http://purl.org/dc/terms/" xmlns:xsi="http://www.w3.org/2001/XMLSchema-instance" xsi:type="dcterms:W3CDTF">2025-09-12T08:56:10Z</dcterms:modified>
</cp:coreProperties>
</file>