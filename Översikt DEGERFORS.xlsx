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46218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46218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46218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46218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46218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46218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46218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46218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46218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s="2" t="inlineStr">
        <is>
          <t>Tretåig hackspett
Grönpyrola
Thomsons trägnagare
Vågbandad barkbock
Spillkråka
Tjäder</t>
        </is>
      </c>
      <c r="V10">
        <f>HYPERLINK("https://klasma.github.io/Logging_1862/artfynd/A 38916-2023 artfynd.xlsx", "A 38916-2023")</f>
        <v/>
      </c>
      <c r="W10">
        <f>HYPERLINK("https://klasma.github.io/Logging_1862/kartor/A 38916-2023 karta.png", "A 38916-2023")</f>
        <v/>
      </c>
      <c r="Y10">
        <f>HYPERLINK("https://klasma.github.io/Logging_1862/klagomål/A 38916-2023 FSC-klagomål.docx", "A 38916-2023")</f>
        <v/>
      </c>
      <c r="Z10">
        <f>HYPERLINK("https://klasma.github.io/Logging_1862/klagomålsmail/A 38916-2023 FSC-klagomål mail.docx", "A 38916-2023")</f>
        <v/>
      </c>
      <c r="AA10">
        <f>HYPERLINK("https://klasma.github.io/Logging_1862/tillsyn/A 38916-2023 tillsynsbegäran.docx", "A 38916-2023")</f>
        <v/>
      </c>
      <c r="AB10">
        <f>HYPERLINK("https://klasma.github.io/Logging_1862/tillsynsmail/A 38916-2023 tillsynsbegäran mail.docx", "A 38916-2023")</f>
        <v/>
      </c>
      <c r="AC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44550</v>
      </c>
      <c r="E11" s="1" t="n">
        <v>46218</v>
      </c>
      <c r="F11" t="inlineStr">
        <is>
          <t>ÖREBRO LÄN</t>
        </is>
      </c>
      <c r="G11" t="inlineStr">
        <is>
          <t>DEGERFORS</t>
        </is>
      </c>
      <c r="I11" t="n">
        <v>17</v>
      </c>
      <c r="J11" t="n">
        <v>3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8</v>
      </c>
      <c r="U11" s="2" t="inlineStr">
        <is>
          <t>Knärot
Grynig filtlav
Gulsparv
Rynkskinn
Vedticka
Spillkråka</t>
        </is>
      </c>
      <c r="V11">
        <f>HYPERLINK("https://klasma.github.io/Logging_1862/artfynd/A 73321-2021 artfynd.xlsx", "A 73321-2021")</f>
        <v/>
      </c>
      <c r="W11">
        <f>HYPERLINK("https://klasma.github.io/Logging_1862/kartor/A 73321-2021 karta.png", "A 73321-2021")</f>
        <v/>
      </c>
      <c r="X11">
        <f>HYPERLINK("https://klasma.github.io/Logging_1862/knärot/A 73321-2021 karta knärot.png", "A 73321-2021")</f>
        <v/>
      </c>
      <c r="Y11">
        <f>HYPERLINK("https://klasma.github.io/Logging_1862/klagomål/A 73321-2021 FSC-klagomål.docx", "A 73321-2021")</f>
        <v/>
      </c>
      <c r="Z11">
        <f>HYPERLINK("https://klasma.github.io/Logging_1862/klagomålsmail/A 73321-2021 FSC-klagomål mail.docx", "A 73321-2021")</f>
        <v/>
      </c>
      <c r="AA11">
        <f>HYPERLINK("https://klasma.github.io/Logging_1862/tillsyn/A 73321-2021 tillsynsbegäran.docx", "A 73321-2021")</f>
        <v/>
      </c>
      <c r="AB11">
        <f>HYPERLINK("https://klasma.github.io/Logging_1862/tillsynsmail/A 73321-2021 tillsynsbegäran mail.docx", "A 73321-2021")</f>
        <v/>
      </c>
      <c r="AC11">
        <f>HYPERLINK("https://klasma.github.io/Logging_1862/fåglar/A 73321-2021 prioriterade fågelarter.docx", "A 73321-2021")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46218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46218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46218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47975-2025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45932</v>
      </c>
      <c r="E15" s="1" t="n">
        <v>46218</v>
      </c>
      <c r="F15" t="inlineStr">
        <is>
          <t>ÖREBRO LÄN</t>
        </is>
      </c>
      <c r="G15" t="inlineStr">
        <is>
          <t>DEGERFORS</t>
        </is>
      </c>
      <c r="I15" t="n">
        <v>11.8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10</v>
      </c>
      <c r="U15" s="2" t="inlineStr">
        <is>
          <t>Tretåig hackspett
Spillkråka
Kråka
Kungsfågel</t>
        </is>
      </c>
      <c r="V15">
        <f>HYPERLINK("https://klasma.github.io/Logging_1862/artfynd/A 47975-2025 artfynd.xlsx", "A 47975-2025")</f>
        <v/>
      </c>
      <c r="W15">
        <f>HYPERLINK("https://klasma.github.io/Logging_1862/kartor/A 47975-2025 karta.png", "A 47975-2025")</f>
        <v/>
      </c>
      <c r="Y15">
        <f>HYPERLINK("https://klasma.github.io/Logging_1862/klagomål/A 47975-2025 FSC-klagomål.docx", "A 47975-2025")</f>
        <v/>
      </c>
      <c r="Z15">
        <f>HYPERLINK("https://klasma.github.io/Logging_1862/klagomålsmail/A 47975-2025 FSC-klagomål mail.docx", "A 47975-2025")</f>
        <v/>
      </c>
      <c r="AA15">
        <f>HYPERLINK("https://klasma.github.io/Logging_1862/tillsyn/A 47975-2025 tillsynsbegäran.docx", "A 47975-2025")</f>
        <v/>
      </c>
      <c r="AB15">
        <f>HYPERLINK("https://klasma.github.io/Logging_1862/tillsynsmail/A 47975-2025 tillsynsbegäran mail.docx", "A 47975-2025")</f>
        <v/>
      </c>
      <c r="AC15">
        <f>HYPERLINK("https://klasma.github.io/Logging_1862/fåglar/A 47975-2025 prioriterade fågelarter.docx", "A 47975-2025")</f>
        <v/>
      </c>
    </row>
    <row r="16" ht="15" customHeight="1">
      <c r="A16" t="inlineStr">
        <is>
          <t>A 36081-2025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45866</v>
      </c>
      <c r="E16" s="1" t="n">
        <v>46218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Jungfrulin
Skogsklocka
Svinrot
Springkorn</t>
        </is>
      </c>
      <c r="V16">
        <f>HYPERLINK("https://klasma.github.io/Logging_1862/artfynd/A 36081-2025 artfynd.xlsx", "A 36081-2025")</f>
        <v/>
      </c>
      <c r="W16">
        <f>HYPERLINK("https://klasma.github.io/Logging_1862/kartor/A 36081-2025 karta.png", "A 36081-2025")</f>
        <v/>
      </c>
      <c r="Y16">
        <f>HYPERLINK("https://klasma.github.io/Logging_1862/klagomål/A 36081-2025 FSC-klagomål.docx", "A 36081-2025")</f>
        <v/>
      </c>
      <c r="Z16">
        <f>HYPERLINK("https://klasma.github.io/Logging_1862/klagomålsmail/A 36081-2025 FSC-klagomål mail.docx", "A 36081-2025")</f>
        <v/>
      </c>
      <c r="AA16">
        <f>HYPERLINK("https://klasma.github.io/Logging_1862/tillsyn/A 36081-2025 tillsynsbegäran.docx", "A 36081-2025")</f>
        <v/>
      </c>
      <c r="AB16">
        <f>HYPERLINK("https://klasma.github.io/Logging_1862/tillsynsmail/A 36081-2025 tillsynsbegäran mail.docx", "A 36081-2025")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46218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Y17">
        <f>HYPERLINK("https://klasma.github.io/Logging_1862/klagomål/A 38915-2023 FSC-klagomål.docx", "A 38915-2023")</f>
        <v/>
      </c>
      <c r="Z17">
        <f>HYPERLINK("https://klasma.github.io/Logging_1862/klagomålsmail/A 38915-2023 FSC-klagomål mail.docx", "A 38915-2023")</f>
        <v/>
      </c>
      <c r="AA17">
        <f>HYPERLINK("https://klasma.github.io/Logging_1862/tillsyn/A 38915-2023 tillsynsbegäran.docx", "A 38915-2023")</f>
        <v/>
      </c>
      <c r="AB17">
        <f>HYPERLINK("https://klasma.github.io/Logging_1862/tillsynsmail/A 38915-2023 tillsynsbegäran mail.docx", "A 38915-2023")</f>
        <v/>
      </c>
      <c r="AC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46218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Y18">
        <f>HYPERLINK("https://klasma.github.io/Logging_1862/klagomål/A 48284-2023 FSC-klagomål.docx", "A 48284-2023")</f>
        <v/>
      </c>
      <c r="Z18">
        <f>HYPERLINK("https://klasma.github.io/Logging_1862/klagomålsmail/A 48284-2023 FSC-klagomål mail.docx", "A 48284-2023")</f>
        <v/>
      </c>
      <c r="AA18">
        <f>HYPERLINK("https://klasma.github.io/Logging_1862/tillsyn/A 48284-2023 tillsynsbegäran.docx", "A 48284-2023")</f>
        <v/>
      </c>
      <c r="AB18">
        <f>HYPERLINK("https://klasma.github.io/Logging_1862/tillsynsmail/A 48284-2023 tillsynsbegäran mail.docx", "A 48284-2023")</f>
        <v/>
      </c>
      <c r="AC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46218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Y19">
        <f>HYPERLINK("https://klasma.github.io/Logging_1862/klagomål/A 8063-2024 FSC-klagomål.docx", "A 8063-2024")</f>
        <v/>
      </c>
      <c r="Z19">
        <f>HYPERLINK("https://klasma.github.io/Logging_1862/klagomålsmail/A 8063-2024 FSC-klagomål mail.docx", "A 8063-2024")</f>
        <v/>
      </c>
      <c r="AA19">
        <f>HYPERLINK("https://klasma.github.io/Logging_1862/tillsyn/A 8063-2024 tillsynsbegäran.docx", "A 8063-2024")</f>
        <v/>
      </c>
      <c r="AB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46218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46218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46218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46218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38914-2023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46218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5.4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Tretåig hackspett
Tjäder</t>
        </is>
      </c>
      <c r="V24">
        <f>HYPERLINK("https://klasma.github.io/Logging_1862/artfynd/A 38914-2023 artfynd.xlsx", "A 38914-2023")</f>
        <v/>
      </c>
      <c r="W24">
        <f>HYPERLINK("https://klasma.github.io/Logging_1862/kartor/A 38914-2023 karta.png", "A 38914-2023")</f>
        <v/>
      </c>
      <c r="Y24">
        <f>HYPERLINK("https://klasma.github.io/Logging_1862/klagomål/A 38914-2023 FSC-klagomål.docx", "A 38914-2023")</f>
        <v/>
      </c>
      <c r="Z24">
        <f>HYPERLINK("https://klasma.github.io/Logging_1862/klagomålsmail/A 38914-2023 FSC-klagomål mail.docx", "A 38914-2023")</f>
        <v/>
      </c>
      <c r="AA24">
        <f>HYPERLINK("https://klasma.github.io/Logging_1862/tillsyn/A 38914-2023 tillsynsbegäran.docx", "A 38914-2023")</f>
        <v/>
      </c>
      <c r="AB24">
        <f>HYPERLINK("https://klasma.github.io/Logging_1862/tillsynsmail/A 38914-2023 tillsynsbegäran mail.docx", "A 38914-2023")</f>
        <v/>
      </c>
      <c r="AC24">
        <f>HYPERLINK("https://klasma.github.io/Logging_1862/fåglar/A 38914-2023 prioriterade fågelarter.docx", "A 38914-2023")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46218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Kungsfågel</t>
        </is>
      </c>
      <c r="V25">
        <f>HYPERLINK("https://klasma.github.io/Logging_1862/artfynd/A 47785-2025 artfynd.xlsx", "A 47785-2025")</f>
        <v/>
      </c>
      <c r="W25">
        <f>HYPERLINK("https://klasma.github.io/Logging_1862/kartor/A 47785-2025 karta.png", "A 47785-2025")</f>
        <v/>
      </c>
      <c r="Y25">
        <f>HYPERLINK("https://klasma.github.io/Logging_1862/klagomål/A 47785-2025 FSC-klagomål.docx", "A 47785-2025")</f>
        <v/>
      </c>
      <c r="Z25">
        <f>HYPERLINK("https://klasma.github.io/Logging_1862/klagomålsmail/A 47785-2025 FSC-klagomål mail.docx", "A 47785-2025")</f>
        <v/>
      </c>
      <c r="AA25">
        <f>HYPERLINK("https://klasma.github.io/Logging_1862/tillsyn/A 47785-2025 tillsynsbegäran.docx", "A 47785-2025")</f>
        <v/>
      </c>
      <c r="AB25">
        <f>HYPERLINK("https://klasma.github.io/Logging_1862/tillsynsmail/A 47785-2025 tillsynsbegäran mail.docx", "A 47785-2025")</f>
        <v/>
      </c>
      <c r="AC25">
        <f>HYPERLINK("https://klasma.github.io/Logging_1862/fåglar/A 47785-2025 prioriterade fågelarter.docx", "A 47785-2025")</f>
        <v/>
      </c>
    </row>
    <row r="26" ht="15" customHeight="1">
      <c r="A26" t="inlineStr">
        <is>
          <t>A 40870-2024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46218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1.9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Tretåig hackspett
Spillkråka</t>
        </is>
      </c>
      <c r="V26">
        <f>HYPERLINK("https://klasma.github.io/Logging_1862/artfynd/A 40870-2024 artfynd.xlsx", "A 40870-2024")</f>
        <v/>
      </c>
      <c r="W26">
        <f>HYPERLINK("https://klasma.github.io/Logging_1862/kartor/A 40870-2024 karta.png", "A 40870-2024")</f>
        <v/>
      </c>
      <c r="Y26">
        <f>HYPERLINK("https://klasma.github.io/Logging_1862/klagomål/A 40870-2024 FSC-klagomål.docx", "A 40870-2024")</f>
        <v/>
      </c>
      <c r="Z26">
        <f>HYPERLINK("https://klasma.github.io/Logging_1862/klagomålsmail/A 40870-2024 FSC-klagomål mail.docx", "A 40870-2024")</f>
        <v/>
      </c>
      <c r="AA26">
        <f>HYPERLINK("https://klasma.github.io/Logging_1862/tillsyn/A 40870-2024 tillsynsbegäran.docx", "A 40870-2024")</f>
        <v/>
      </c>
      <c r="AB26">
        <f>HYPERLINK("https://klasma.github.io/Logging_1862/tillsynsmail/A 40870-2024 tillsynsbegäran mail.docx", "A 40870-2024")</f>
        <v/>
      </c>
      <c r="AC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46218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Tjäder
Fläcknycklar</t>
        </is>
      </c>
      <c r="V27">
        <f>HYPERLINK("https://klasma.github.io/Logging_1862/artfynd/A 38910-2023 artfynd.xlsx", "A 38910-2023")</f>
        <v/>
      </c>
      <c r="W27">
        <f>HYPERLINK("https://klasma.github.io/Logging_1862/kartor/A 38910-2023 karta.png", "A 38910-2023")</f>
        <v/>
      </c>
      <c r="Y27">
        <f>HYPERLINK("https://klasma.github.io/Logging_1862/klagomål/A 38910-2023 FSC-klagomål.docx", "A 38910-2023")</f>
        <v/>
      </c>
      <c r="Z27">
        <f>HYPERLINK("https://klasma.github.io/Logging_1862/klagomålsmail/A 38910-2023 FSC-klagomål mail.docx", "A 38910-2023")</f>
        <v/>
      </c>
      <c r="AA27">
        <f>HYPERLINK("https://klasma.github.io/Logging_1862/tillsyn/A 38910-2023 tillsynsbegäran.docx", "A 38910-2023")</f>
        <v/>
      </c>
      <c r="AB27">
        <f>HYPERLINK("https://klasma.github.io/Logging_1862/tillsynsmail/A 38910-2023 tillsynsbegäran mail.docx", "A 38910-2023")</f>
        <v/>
      </c>
      <c r="AC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46218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Tretåig hackspett
Tjäder</t>
        </is>
      </c>
      <c r="V28">
        <f>HYPERLINK("https://klasma.github.io/Logging_1862/artfynd/A 38912-2023 artfynd.xlsx", "A 38912-2023")</f>
        <v/>
      </c>
      <c r="W28">
        <f>HYPERLINK("https://klasma.github.io/Logging_1862/kartor/A 38912-2023 karta.png", "A 38912-2023")</f>
        <v/>
      </c>
      <c r="Y28">
        <f>HYPERLINK("https://klasma.github.io/Logging_1862/klagomål/A 38912-2023 FSC-klagomål.docx", "A 38912-2023")</f>
        <v/>
      </c>
      <c r="Z28">
        <f>HYPERLINK("https://klasma.github.io/Logging_1862/klagomålsmail/A 38912-2023 FSC-klagomål mail.docx", "A 38912-2023")</f>
        <v/>
      </c>
      <c r="AA28">
        <f>HYPERLINK("https://klasma.github.io/Logging_1862/tillsyn/A 38912-2023 tillsynsbegäran.docx", "A 38912-2023")</f>
        <v/>
      </c>
      <c r="AB28">
        <f>HYPERLINK("https://klasma.github.io/Logging_1862/tillsynsmail/A 38912-2023 tillsynsbegäran mail.docx", "A 38912-2023")</f>
        <v/>
      </c>
      <c r="AC28">
        <f>HYPERLINK("https://klasma.github.io/Logging_1862/fåglar/A 38912-2023 prioriterade fågelarter.docx", "A 38912-2023")</f>
        <v/>
      </c>
    </row>
    <row r="29" ht="15" customHeight="1">
      <c r="A29" t="inlineStr">
        <is>
          <t>A 4256-2026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46218</v>
      </c>
      <c r="F29" t="inlineStr">
        <is>
          <t>ÖREBRO LÄN</t>
        </is>
      </c>
      <c r="G29" t="inlineStr">
        <is>
          <t>DEGERFORS</t>
        </is>
      </c>
      <c r="I29" t="n">
        <v>2.9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Skogsklocka
Slåtterfibbla</t>
        </is>
      </c>
      <c r="V29">
        <f>HYPERLINK("https://klasma.github.io/Logging_1862/artfynd/A 4256-2026 artfynd.xlsx", "A 4256-2026")</f>
        <v/>
      </c>
      <c r="W29">
        <f>HYPERLINK("https://klasma.github.io/Logging_1862/kartor/A 4256-2026 karta.png", "A 4256-2026")</f>
        <v/>
      </c>
      <c r="Y29">
        <f>HYPERLINK("https://klasma.github.io/Logging_1862/klagomål/A 4256-2026 FSC-klagomål.docx", "A 4256-2026")</f>
        <v/>
      </c>
      <c r="Z29">
        <f>HYPERLINK("https://klasma.github.io/Logging_1862/klagomålsmail/A 4256-2026 FSC-klagomål mail.docx", "A 4256-2026")</f>
        <v/>
      </c>
      <c r="AA29">
        <f>HYPERLINK("https://klasma.github.io/Logging_1862/tillsyn/A 4256-2026 tillsynsbegäran.docx", "A 4256-2026")</f>
        <v/>
      </c>
      <c r="AB29">
        <f>HYPERLINK("https://klasma.github.io/Logging_1862/tillsynsmail/A 4256-2026 tillsynsbegäran mail.docx", "A 4256-2026")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46218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46218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46218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48285-2023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45205</v>
      </c>
      <c r="E33" s="1" t="n">
        <v>46218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Tjäder</t>
        </is>
      </c>
      <c r="V33">
        <f>HYPERLINK("https://klasma.github.io/Logging_1862/artfynd/A 48285-2023 artfynd.xlsx", "A 48285-2023")</f>
        <v/>
      </c>
      <c r="W33">
        <f>HYPERLINK("https://klasma.github.io/Logging_1862/kartor/A 48285-2023 karta.png", "A 48285-2023")</f>
        <v/>
      </c>
      <c r="Y33">
        <f>HYPERLINK("https://klasma.github.io/Logging_1862/klagomål/A 48285-2023 FSC-klagomål.docx", "A 48285-2023")</f>
        <v/>
      </c>
      <c r="Z33">
        <f>HYPERLINK("https://klasma.github.io/Logging_1862/klagomålsmail/A 48285-2023 FSC-klagomål mail.docx", "A 48285-2023")</f>
        <v/>
      </c>
      <c r="AA33">
        <f>HYPERLINK("https://klasma.github.io/Logging_1862/tillsyn/A 48285-2023 tillsynsbegäran.docx", "A 48285-2023")</f>
        <v/>
      </c>
      <c r="AB33">
        <f>HYPERLINK("https://klasma.github.io/Logging_1862/tillsynsmail/A 48285-2023 tillsynsbegäran mail.docx", "A 48285-2023")</f>
        <v/>
      </c>
      <c r="AC33">
        <f>HYPERLINK("https://klasma.github.io/Logging_1862/fåglar/A 48285-2023 prioriterade fågelarter.docx", "A 48285-2023")</f>
        <v/>
      </c>
    </row>
    <row r="34" ht="15" customHeight="1">
      <c r="A34" t="inlineStr">
        <is>
          <t>A 33297-2023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45116</v>
      </c>
      <c r="E34" s="1" t="n">
        <v>46218</v>
      </c>
      <c r="F34" t="inlineStr">
        <is>
          <t>ÖREBRO LÄN</t>
        </is>
      </c>
      <c r="G34" t="inlineStr">
        <is>
          <t>DEGERFORS</t>
        </is>
      </c>
      <c r="I34" t="n">
        <v>7.2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Igelkott</t>
        </is>
      </c>
      <c r="V34">
        <f>HYPERLINK("https://klasma.github.io/Logging_1862/artfynd/A 33297-2023 artfynd.xlsx", "A 33297-2023")</f>
        <v/>
      </c>
      <c r="W34">
        <f>HYPERLINK("https://klasma.github.io/Logging_1862/kartor/A 33297-2023 karta.png", "A 33297-2023")</f>
        <v/>
      </c>
      <c r="Y34">
        <f>HYPERLINK("https://klasma.github.io/Logging_1862/klagomål/A 33297-2023 FSC-klagomål.docx", "A 33297-2023")</f>
        <v/>
      </c>
      <c r="Z34">
        <f>HYPERLINK("https://klasma.github.io/Logging_1862/klagomålsmail/A 33297-2023 FSC-klagomål mail.docx", "A 33297-2023")</f>
        <v/>
      </c>
      <c r="AA34">
        <f>HYPERLINK("https://klasma.github.io/Logging_1862/tillsyn/A 33297-2023 tillsynsbegäran.docx", "A 33297-2023")</f>
        <v/>
      </c>
      <c r="AB34">
        <f>HYPERLINK("https://klasma.github.io/Logging_1862/tillsynsmail/A 33297-2023 tillsynsbegäran mail.docx", "A 33297-2023")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46218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38904-2023 artfynd.xlsx", "A 38904-2023")</f>
        <v/>
      </c>
      <c r="W35">
        <f>HYPERLINK("https://klasma.github.io/Logging_1862/kartor/A 38904-2023 karta.png", "A 38904-2023")</f>
        <v/>
      </c>
      <c r="Y35">
        <f>HYPERLINK("https://klasma.github.io/Logging_1862/klagomål/A 38904-2023 FSC-klagomål.docx", "A 38904-2023")</f>
        <v/>
      </c>
      <c r="Z35">
        <f>HYPERLINK("https://klasma.github.io/Logging_1862/klagomålsmail/A 38904-2023 FSC-klagomål mail.docx", "A 38904-2023")</f>
        <v/>
      </c>
      <c r="AA35">
        <f>HYPERLINK("https://klasma.github.io/Logging_1862/tillsyn/A 38904-2023 tillsynsbegäran.docx", "A 38904-2023")</f>
        <v/>
      </c>
      <c r="AB35">
        <f>HYPERLINK("https://klasma.github.io/Logging_1862/tillsynsmail/A 38904-2023 tillsynsbegäran mail.docx", "A 38904-2023")</f>
        <v/>
      </c>
      <c r="AC35">
        <f>HYPERLINK("https://klasma.github.io/Logging_1862/fåglar/A 38904-2023 prioriterade fågelarter.docx", "A 38904-2023")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46218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Svart trolldruva</t>
        </is>
      </c>
      <c r="V36">
        <f>HYPERLINK("https://klasma.github.io/Logging_1862/artfynd/A 49306-2025 artfynd.xlsx", "A 49306-2025")</f>
        <v/>
      </c>
      <c r="W36">
        <f>HYPERLINK("https://klasma.github.io/Logging_1862/kartor/A 49306-2025 karta.png", "A 49306-2025")</f>
        <v/>
      </c>
      <c r="Y36">
        <f>HYPERLINK("https://klasma.github.io/Logging_1862/klagomål/A 49306-2025 FSC-klagomål.docx", "A 49306-2025")</f>
        <v/>
      </c>
      <c r="Z36">
        <f>HYPERLINK("https://klasma.github.io/Logging_1862/klagomålsmail/A 49306-2025 FSC-klagomål mail.docx", "A 49306-2025")</f>
        <v/>
      </c>
      <c r="AA36">
        <f>HYPERLINK("https://klasma.github.io/Logging_1862/tillsyn/A 49306-2025 tillsynsbegäran.docx", "A 49306-2025")</f>
        <v/>
      </c>
      <c r="AB36">
        <f>HYPERLINK("https://klasma.github.io/Logging_1862/tillsynsmail/A 49306-2025 tillsynsbegäran mail.docx", "A 49306-2025")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46218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HYPERLINK("https://klasma.github.io/Logging_1862/artfynd/A 27093-2023 artfynd.xlsx", "A 27093-2023")</f>
        <v/>
      </c>
      <c r="W37">
        <f>HYPERLINK("https://klasma.github.io/Logging_1862/kartor/A 27093-2023 karta.png", "A 27093-2023")</f>
        <v/>
      </c>
      <c r="Y37">
        <f>HYPERLINK("https://klasma.github.io/Logging_1862/klagomål/A 27093-2023 FSC-klagomål.docx", "A 27093-2023")</f>
        <v/>
      </c>
      <c r="Z37">
        <f>HYPERLINK("https://klasma.github.io/Logging_1862/klagomålsmail/A 27093-2023 FSC-klagomål mail.docx", "A 27093-2023")</f>
        <v/>
      </c>
      <c r="AA37">
        <f>HYPERLINK("https://klasma.github.io/Logging_1862/tillsyn/A 27093-2023 tillsynsbegäran.docx", "A 27093-2023")</f>
        <v/>
      </c>
      <c r="AB37">
        <f>HYPERLINK("https://klasma.github.io/Logging_1862/tillsynsmail/A 27093-2023 tillsynsbegäran mail.docx", "A 27093-2023")</f>
        <v/>
      </c>
      <c r="AC37">
        <f>HYPERLINK("https://klasma.github.io/Logging_1862/fåglar/A 27093-2023 prioriterade fågelarter.docx", "A 27093-2023")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46218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Spillkråka</t>
        </is>
      </c>
      <c r="V38">
        <f>HYPERLINK("https://klasma.github.io/Logging_1862/artfynd/A 53838-2024 artfynd.xlsx", "A 53838-2024")</f>
        <v/>
      </c>
      <c r="W38">
        <f>HYPERLINK("https://klasma.github.io/Logging_1862/kartor/A 53838-2024 karta.png", "A 53838-2024")</f>
        <v/>
      </c>
      <c r="Y38">
        <f>HYPERLINK("https://klasma.github.io/Logging_1862/klagomål/A 53838-2024 FSC-klagomål.docx", "A 53838-2024")</f>
        <v/>
      </c>
      <c r="Z38">
        <f>HYPERLINK("https://klasma.github.io/Logging_1862/klagomålsmail/A 53838-2024 FSC-klagomål mail.docx", "A 53838-2024")</f>
        <v/>
      </c>
      <c r="AA38">
        <f>HYPERLINK("https://klasma.github.io/Logging_1862/tillsyn/A 53838-2024 tillsynsbegäran.docx", "A 53838-2024")</f>
        <v/>
      </c>
      <c r="AB38">
        <f>HYPERLINK("https://klasma.github.io/Logging_1862/tillsynsmail/A 53838-2024 tillsynsbegäran mail.docx", "A 53838-2024")</f>
        <v/>
      </c>
      <c r="AC38">
        <f>HYPERLINK("https://klasma.github.io/Logging_1862/fåglar/A 53838-2024 prioriterade fågelarter.docx", "A 53838-2024")</f>
        <v/>
      </c>
    </row>
    <row r="39" ht="15" customHeight="1">
      <c r="A39" t="inlineStr">
        <is>
          <t>A 2357-2022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46218</v>
      </c>
      <c r="F39" t="inlineStr">
        <is>
          <t>ÖREBRO LÄN</t>
        </is>
      </c>
      <c r="G39" t="inlineStr">
        <is>
          <t>DEGERFORS</t>
        </is>
      </c>
      <c r="I39" t="n">
        <v>4.5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Spillkråka</t>
        </is>
      </c>
      <c r="V39">
        <f>HYPERLINK("https://klasma.github.io/Logging_1862/artfynd/A 2357-2022 artfynd.xlsx", "A 2357-2022")</f>
        <v/>
      </c>
      <c r="W39">
        <f>HYPERLINK("https://klasma.github.io/Logging_1862/kartor/A 2357-2022 karta.png", "A 2357-2022")</f>
        <v/>
      </c>
      <c r="Y39">
        <f>HYPERLINK("https://klasma.github.io/Logging_1862/klagomål/A 2357-2022 FSC-klagomål.docx", "A 2357-2022")</f>
        <v/>
      </c>
      <c r="Z39">
        <f>HYPERLINK("https://klasma.github.io/Logging_1862/klagomålsmail/A 2357-2022 FSC-klagomål mail.docx", "A 2357-2022")</f>
        <v/>
      </c>
      <c r="AA39">
        <f>HYPERLINK("https://klasma.github.io/Logging_1862/tillsyn/A 2357-2022 tillsynsbegäran.docx", "A 2357-2022")</f>
        <v/>
      </c>
      <c r="AB39">
        <f>HYPERLINK("https://klasma.github.io/Logging_1862/tillsynsmail/A 2357-2022 tillsynsbegäran mail.docx", "A 2357-2022")</f>
        <v/>
      </c>
      <c r="AC39">
        <f>HYPERLINK("https://klasma.github.io/Logging_1862/fåglar/A 2357-2022 prioriterade fågelarter.docx", "A 2357-2022")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46218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s="2" t="inlineStr">
        <is>
          <t>Tretåig hackspett</t>
        </is>
      </c>
      <c r="V40">
        <f>HYPERLINK("https://klasma.github.io/Logging_1862/artfynd/A 47787-2025 artfynd.xlsx", "A 47787-2025")</f>
        <v/>
      </c>
      <c r="W40">
        <f>HYPERLINK("https://klasma.github.io/Logging_1862/kartor/A 47787-2025 karta.png", "A 47787-2025")</f>
        <v/>
      </c>
      <c r="Y40">
        <f>HYPERLINK("https://klasma.github.io/Logging_1862/klagomål/A 47787-2025 FSC-klagomål.docx", "A 47787-2025")</f>
        <v/>
      </c>
      <c r="Z40">
        <f>HYPERLINK("https://klasma.github.io/Logging_1862/klagomålsmail/A 47787-2025 FSC-klagomål mail.docx", "A 47787-2025")</f>
        <v/>
      </c>
      <c r="AA40">
        <f>HYPERLINK("https://klasma.github.io/Logging_1862/tillsyn/A 47787-2025 tillsynsbegäran.docx", "A 47787-2025")</f>
        <v/>
      </c>
      <c r="AB40">
        <f>HYPERLINK("https://klasma.github.io/Logging_1862/tillsynsmail/A 47787-2025 tillsynsbegäran mail.docx", "A 47787-2025")</f>
        <v/>
      </c>
      <c r="AC40">
        <f>HYPERLINK("https://klasma.github.io/Logging_1862/fåglar/A 47787-2025 prioriterade fågelarter.docx", "A 47787-2025")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46218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Y41">
        <f>HYPERLINK("https://klasma.github.io/Logging_1862/klagomål/A 47941-2024 FSC-klagomål.docx", "A 47941-2024")</f>
        <v/>
      </c>
      <c r="Z41">
        <f>HYPERLINK("https://klasma.github.io/Logging_1862/klagomålsmail/A 47941-2024 FSC-klagomål mail.docx", "A 47941-2024")</f>
        <v/>
      </c>
      <c r="AA41">
        <f>HYPERLINK("https://klasma.github.io/Logging_1862/tillsyn/A 47941-2024 tillsynsbegäran.docx", "A 47941-2024")</f>
        <v/>
      </c>
      <c r="AB41">
        <f>HYPERLINK("https://klasma.github.io/Logging_1862/tillsynsmail/A 47941-2024 tillsynsbegäran mail.docx", "A 47941-2024")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46218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HYPERLINK("https://klasma.github.io/Logging_1862/artfynd/A 38907-2023 artfynd.xlsx", "A 38907-2023")</f>
        <v/>
      </c>
      <c r="W42">
        <f>HYPERLINK("https://klasma.github.io/Logging_1862/kartor/A 38907-2023 karta.png", "A 38907-2023")</f>
        <v/>
      </c>
      <c r="Y42">
        <f>HYPERLINK("https://klasma.github.io/Logging_1862/klagomål/A 38907-2023 FSC-klagomål.docx", "A 38907-2023")</f>
        <v/>
      </c>
      <c r="Z42">
        <f>HYPERLINK("https://klasma.github.io/Logging_1862/klagomålsmail/A 38907-2023 FSC-klagomål mail.docx", "A 38907-2023")</f>
        <v/>
      </c>
      <c r="AA42">
        <f>HYPERLINK("https://klasma.github.io/Logging_1862/tillsyn/A 38907-2023 tillsynsbegäran.docx", "A 38907-2023")</f>
        <v/>
      </c>
      <c r="AB42">
        <f>HYPERLINK("https://klasma.github.io/Logging_1862/tillsynsmail/A 38907-2023 tillsynsbegäran mail.docx", "A 38907-2023")</f>
        <v/>
      </c>
      <c r="AC42">
        <f>HYPERLINK("https://klasma.github.io/Logging_1862/fåglar/A 38907-2023 prioriterade fågelarter.docx", "A 38907-2023")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46218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Stuplav</t>
        </is>
      </c>
      <c r="V43">
        <f>HYPERLINK("https://klasma.github.io/Logging_1862/artfynd/A 26971-2026 artfynd.xlsx", "A 26971-2026")</f>
        <v/>
      </c>
      <c r="W43">
        <f>HYPERLINK("https://klasma.github.io/Logging_1862/kartor/A 26971-2026 karta.png", "A 26971-2026")</f>
        <v/>
      </c>
      <c r="Y43">
        <f>HYPERLINK("https://klasma.github.io/Logging_1862/klagomål/A 26971-2026 FSC-klagomål.docx", "A 26971-2026")</f>
        <v/>
      </c>
      <c r="Z43">
        <f>HYPERLINK("https://klasma.github.io/Logging_1862/klagomålsmail/A 26971-2026 FSC-klagomål mail.docx", "A 26971-2026")</f>
        <v/>
      </c>
      <c r="AA43">
        <f>HYPERLINK("https://klasma.github.io/Logging_1862/tillsyn/A 26971-2026 tillsynsbegäran.docx", "A 26971-2026")</f>
        <v/>
      </c>
      <c r="AB43">
        <f>HYPERLINK("https://klasma.github.io/Logging_1862/tillsynsmail/A 26971-2026 tillsynsbegäran mail.docx", "A 26971-2026")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46218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HYPERLINK("https://klasma.github.io/Logging_1862/artfynd/A 27071-2026 artfynd.xlsx", "A 27071-2026")</f>
        <v/>
      </c>
      <c r="W44">
        <f>HYPERLINK("https://klasma.github.io/Logging_1862/kartor/A 27071-2026 karta.png", "A 27071-2026")</f>
        <v/>
      </c>
      <c r="Y44">
        <f>HYPERLINK("https://klasma.github.io/Logging_1862/klagomål/A 27071-2026 FSC-klagomål.docx", "A 27071-2026")</f>
        <v/>
      </c>
      <c r="Z44">
        <f>HYPERLINK("https://klasma.github.io/Logging_1862/klagomålsmail/A 27071-2026 FSC-klagomål mail.docx", "A 27071-2026")</f>
        <v/>
      </c>
      <c r="AA44">
        <f>HYPERLINK("https://klasma.github.io/Logging_1862/tillsyn/A 27071-2026 tillsynsbegäran.docx", "A 27071-2026")</f>
        <v/>
      </c>
      <c r="AB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46218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HYPERLINK("https://klasma.github.io/Logging_1862/artfynd/A 27072-2026 artfynd.xlsx", "A 27072-2026")</f>
        <v/>
      </c>
      <c r="W45">
        <f>HYPERLINK("https://klasma.github.io/Logging_1862/kartor/A 27072-2026 karta.png", "A 27072-2026")</f>
        <v/>
      </c>
      <c r="Y45">
        <f>HYPERLINK("https://klasma.github.io/Logging_1862/klagomål/A 27072-2026 FSC-klagomål.docx", "A 27072-2026")</f>
        <v/>
      </c>
      <c r="Z45">
        <f>HYPERLINK("https://klasma.github.io/Logging_1862/klagomålsmail/A 27072-2026 FSC-klagomål mail.docx", "A 27072-2026")</f>
        <v/>
      </c>
      <c r="AA45">
        <f>HYPERLINK("https://klasma.github.io/Logging_1862/tillsyn/A 27072-2026 tillsynsbegäran.docx", "A 27072-2026")</f>
        <v/>
      </c>
      <c r="AB45">
        <f>HYPERLINK("https://klasma.github.io/Logging_1862/tillsynsmail/A 27072-2026 tillsynsbegäran mail.docx", "A 27072-2026")</f>
        <v/>
      </c>
      <c r="AC45">
        <f>HYPERLINK("https://klasma.github.io/Logging_1862/fåglar/A 27072-2026 prioriterade fågelarter.docx", "A 27072-2026")</f>
        <v/>
      </c>
    </row>
    <row r="46" ht="15" customHeight="1">
      <c r="A46" t="inlineStr">
        <is>
          <t>A 47915-2024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46218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Mattlummer</t>
        </is>
      </c>
      <c r="V46">
        <f>HYPERLINK("https://klasma.github.io/Logging_1862/artfynd/A 47915-2024 artfynd.xlsx", "A 47915-2024")</f>
        <v/>
      </c>
      <c r="W46">
        <f>HYPERLINK("https://klasma.github.io/Logging_1862/kartor/A 47915-2024 karta.png", "A 47915-2024")</f>
        <v/>
      </c>
      <c r="Y46">
        <f>HYPERLINK("https://klasma.github.io/Logging_1862/klagomål/A 47915-2024 FSC-klagomål.docx", "A 47915-2024")</f>
        <v/>
      </c>
      <c r="Z46">
        <f>HYPERLINK("https://klasma.github.io/Logging_1862/klagomålsmail/A 47915-2024 FSC-klagomål mail.docx", "A 47915-2024")</f>
        <v/>
      </c>
      <c r="AA46">
        <f>HYPERLINK("https://klasma.github.io/Logging_1862/tillsyn/A 47915-2024 tillsynsbegäran.docx", "A 47915-2024")</f>
        <v/>
      </c>
      <c r="AB46">
        <f>HYPERLINK("https://klasma.github.io/Logging_1862/tillsynsmail/A 47915-2024 tillsynsbegäran mail.docx", "A 47915-2024")</f>
        <v/>
      </c>
    </row>
    <row r="47" ht="15" customHeight="1">
      <c r="A47" t="inlineStr">
        <is>
          <t>A 28976-2026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46218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Orange taggsvamp</t>
        </is>
      </c>
      <c r="V47">
        <f>HYPERLINK("https://klasma.github.io/Logging_1862/artfynd/A 28976-2026 artfynd.xlsx", "A 28976-2026")</f>
        <v/>
      </c>
      <c r="W47">
        <f>HYPERLINK("https://klasma.github.io/Logging_1862/kartor/A 28976-2026 karta.png", "A 28976-2026")</f>
        <v/>
      </c>
      <c r="Y47">
        <f>HYPERLINK("https://klasma.github.io/Logging_1862/klagomål/A 28976-2026 FSC-klagomål.docx", "A 28976-2026")</f>
        <v/>
      </c>
      <c r="Z47">
        <f>HYPERLINK("https://klasma.github.io/Logging_1862/klagomålsmail/A 28976-2026 FSC-klagomål mail.docx", "A 28976-2026")</f>
        <v/>
      </c>
      <c r="AA47">
        <f>HYPERLINK("https://klasma.github.io/Logging_1862/tillsyn/A 28976-2026 tillsynsbegäran.docx", "A 28976-2026")</f>
        <v/>
      </c>
      <c r="AB47">
        <f>HYPERLINK("https://klasma.github.io/Logging_1862/tillsynsmail/A 28976-2026 tillsynsbegäran mail.docx", "A 28976-2026")</f>
        <v/>
      </c>
    </row>
    <row r="48" ht="15" customHeight="1">
      <c r="A48" t="inlineStr">
        <is>
          <t>A 14121-2022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44651</v>
      </c>
      <c r="E48" s="1" t="n">
        <v>46218</v>
      </c>
      <c r="F48" t="inlineStr">
        <is>
          <t>ÖREBRO LÄN</t>
        </is>
      </c>
      <c r="G48" t="inlineStr">
        <is>
          <t>DEGERFORS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Hårklomossa</t>
        </is>
      </c>
      <c r="V48">
        <f>HYPERLINK("https://klasma.github.io/Logging_1862/artfynd/A 14121-2022 artfynd.xlsx", "A 14121-2022")</f>
        <v/>
      </c>
      <c r="W48">
        <f>HYPERLINK("https://klasma.github.io/Logging_1862/kartor/A 14121-2022 karta.png", "A 14121-2022")</f>
        <v/>
      </c>
      <c r="Y48">
        <f>HYPERLINK("https://klasma.github.io/Logging_1862/klagomål/A 14121-2022 FSC-klagomål.docx", "A 14121-2022")</f>
        <v/>
      </c>
      <c r="Z48">
        <f>HYPERLINK("https://klasma.github.io/Logging_1862/klagomålsmail/A 14121-2022 FSC-klagomål mail.docx", "A 14121-2022")</f>
        <v/>
      </c>
      <c r="AA48">
        <f>HYPERLINK("https://klasma.github.io/Logging_1862/tillsyn/A 14121-2022 tillsynsbegäran.docx", "A 14121-2022")</f>
        <v/>
      </c>
      <c r="AB48">
        <f>HYPERLINK("https://klasma.github.io/Logging_1862/tillsynsmail/A 14121-2022 tillsynsbegäran mail.docx", "A 14121-2022")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46218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Motaggsvamp</t>
        </is>
      </c>
      <c r="V49">
        <f>HYPERLINK("https://klasma.github.io/Logging_1862/artfynd/A 14177-2026 artfynd.xlsx", "A 14177-2026")</f>
        <v/>
      </c>
      <c r="W49">
        <f>HYPERLINK("https://klasma.github.io/Logging_1862/kartor/A 14177-2026 karta.png", "A 14177-2026")</f>
        <v/>
      </c>
      <c r="Y49">
        <f>HYPERLINK("https://klasma.github.io/Logging_1862/klagomål/A 14177-2026 FSC-klagomål.docx", "A 14177-2026")</f>
        <v/>
      </c>
      <c r="Z49">
        <f>HYPERLINK("https://klasma.github.io/Logging_1862/klagomålsmail/A 14177-2026 FSC-klagomål mail.docx", "A 14177-2026")</f>
        <v/>
      </c>
      <c r="AA49">
        <f>HYPERLINK("https://klasma.github.io/Logging_1862/tillsyn/A 14177-2026 tillsynsbegäran.docx", "A 14177-2026")</f>
        <v/>
      </c>
      <c r="AB49">
        <f>HYPERLINK("https://klasma.github.io/Logging_1862/tillsynsmail/A 14177-2026 tillsynsbegäran mail.docx", "A 14177-2026")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46218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46218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46218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46218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46218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46218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54137-2021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46218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46218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46218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46218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46218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46218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46218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46218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46218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46218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46218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46218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52457-2021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44466</v>
      </c>
      <c r="E68" s="1" t="n">
        <v>46218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47569-2022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46218</v>
      </c>
      <c r="F69" t="inlineStr">
        <is>
          <t>ÖREBRO LÄN</t>
        </is>
      </c>
      <c r="G69" t="inlineStr">
        <is>
          <t>DEGERFORS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45861-2023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45195</v>
      </c>
      <c r="E70" s="1" t="n">
        <v>46218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13236-2025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45735</v>
      </c>
      <c r="E71" s="1" t="n">
        <v>46218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18.5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46218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46218</v>
      </c>
      <c r="F73" t="inlineStr">
        <is>
          <t>ÖREBRO LÄN</t>
        </is>
      </c>
      <c r="G73" t="inlineStr">
        <is>
          <t>DEGERFORS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46218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38233-2023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45160</v>
      </c>
      <c r="E75" s="1" t="n">
        <v>46218</v>
      </c>
      <c r="F75" t="inlineStr">
        <is>
          <t>ÖREBRO LÄN</t>
        </is>
      </c>
      <c r="G75" t="inlineStr">
        <is>
          <t>DEGERFORS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10674-2024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45369</v>
      </c>
      <c r="E76" s="1" t="n">
        <v>46218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60933-2024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46218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38738-2022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44816</v>
      </c>
      <c r="E78" s="1" t="n">
        <v>46218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73693-2021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46218</v>
      </c>
      <c r="F79" t="inlineStr">
        <is>
          <t>ÖREBRO LÄN</t>
        </is>
      </c>
      <c r="G79" t="inlineStr">
        <is>
          <t>DEGERFORS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18675-2025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46218</v>
      </c>
      <c r="F80" t="inlineStr">
        <is>
          <t>ÖREBRO LÄN</t>
        </is>
      </c>
      <c r="G80" t="inlineStr">
        <is>
          <t>DEGERFORS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7975-2025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46218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46218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60937-2024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46218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60940-2024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46218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41767-2025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46218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46218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52566-2023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46218</v>
      </c>
      <c r="F87" t="inlineStr">
        <is>
          <t>ÖREBRO LÄN</t>
        </is>
      </c>
      <c r="G87" t="inlineStr">
        <is>
          <t>DEGERFORS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37672-2024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45541</v>
      </c>
      <c r="E88" s="1" t="n">
        <v>46218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52131-2021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46218</v>
      </c>
      <c r="F89" t="inlineStr">
        <is>
          <t>ÖREBRO LÄN</t>
        </is>
      </c>
      <c r="G89" t="inlineStr">
        <is>
          <t>DEGERFORS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46218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46218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46218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43689-2025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46218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56478-2024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45624</v>
      </c>
      <c r="E94" s="1" t="n">
        <v>46218</v>
      </c>
      <c r="F94" t="inlineStr">
        <is>
          <t>ÖREBRO LÄN</t>
        </is>
      </c>
      <c r="G94" t="inlineStr">
        <is>
          <t>DEGERFORS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8062-2024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46218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61750-2021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46218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12148-2025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45729</v>
      </c>
      <c r="E97" s="1" t="n">
        <v>46218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7472-2025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46218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10321-2023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46218</v>
      </c>
      <c r="F99" t="inlineStr">
        <is>
          <t>ÖREBRO LÄN</t>
        </is>
      </c>
      <c r="G99" t="inlineStr">
        <is>
          <t>DEGERFORS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36437-2024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45535</v>
      </c>
      <c r="E100" s="1" t="n">
        <v>46218</v>
      </c>
      <c r="F100" t="inlineStr">
        <is>
          <t>ÖREBRO LÄN</t>
        </is>
      </c>
      <c r="G100" t="inlineStr">
        <is>
          <t>DEGERFORS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8074-2024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46218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46218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50207-2024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46218</v>
      </c>
      <c r="F103" t="inlineStr">
        <is>
          <t>ÖREBRO LÄN</t>
        </is>
      </c>
      <c r="G103" t="inlineStr">
        <is>
          <t>DEGERFORS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50208-2024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46218</v>
      </c>
      <c r="F104" t="inlineStr">
        <is>
          <t>ÖREBRO LÄN</t>
        </is>
      </c>
      <c r="G104" t="inlineStr">
        <is>
          <t>DEGERFORS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48625-2025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46218</v>
      </c>
      <c r="F105" t="inlineStr">
        <is>
          <t>ÖREBRO LÄN</t>
        </is>
      </c>
      <c r="G105" t="inlineStr">
        <is>
          <t>DEGERFORS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21952-2024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45443</v>
      </c>
      <c r="E106" s="1" t="n">
        <v>46218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12108-2024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46218</v>
      </c>
      <c r="F107" t="inlineStr">
        <is>
          <t>ÖREBRO LÄN</t>
        </is>
      </c>
      <c r="G107" t="inlineStr">
        <is>
          <t>DEGERFORS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45764</v>
      </c>
      <c r="E108" s="1" t="n">
        <v>46218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46218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46218</v>
      </c>
      <c r="F110" t="inlineStr">
        <is>
          <t>ÖREBRO LÄN</t>
        </is>
      </c>
      <c r="G110" t="inlineStr">
        <is>
          <t>DEGERFORS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32154-2023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45119</v>
      </c>
      <c r="E111" s="1" t="n">
        <v>46218</v>
      </c>
      <c r="F111" t="inlineStr">
        <is>
          <t>ÖREBRO LÄN</t>
        </is>
      </c>
      <c r="G111" t="inlineStr">
        <is>
          <t>DEGERFORS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12143-2025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45729</v>
      </c>
      <c r="E112" s="1" t="n">
        <v>46218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46218</v>
      </c>
      <c r="F113" t="inlineStr">
        <is>
          <t>ÖREBRO LÄN</t>
        </is>
      </c>
      <c r="G113" t="inlineStr">
        <is>
          <t>DEGERFORS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51653-2023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46218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52099-2025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46218</v>
      </c>
      <c r="F115" t="inlineStr">
        <is>
          <t>ÖREBRO LÄN</t>
        </is>
      </c>
      <c r="G115" t="inlineStr">
        <is>
          <t>DEGERFORS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27438-2024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46218</v>
      </c>
      <c r="F116" t="inlineStr">
        <is>
          <t>ÖREBRO LÄN</t>
        </is>
      </c>
      <c r="G116" t="inlineStr">
        <is>
          <t>DEGERFORS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46288-2024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46218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20577-2023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45057</v>
      </c>
      <c r="E118" s="1" t="n">
        <v>46218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51996-2023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45223</v>
      </c>
      <c r="E119" s="1" t="n">
        <v>46218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46218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45365-2023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45192</v>
      </c>
      <c r="E121" s="1" t="n">
        <v>46218</v>
      </c>
      <c r="F121" t="inlineStr">
        <is>
          <t>ÖREBRO LÄN</t>
        </is>
      </c>
      <c r="G121" t="inlineStr">
        <is>
          <t>DEGERFORS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6387-2024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45338</v>
      </c>
      <c r="E122" s="1" t="n">
        <v>46218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50102-2023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46218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62982-2023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46218</v>
      </c>
      <c r="F124" t="inlineStr">
        <is>
          <t>ÖREBRO LÄN</t>
        </is>
      </c>
      <c r="G124" t="inlineStr">
        <is>
          <t>DEGERFORS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21935-2024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46218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45337</v>
      </c>
      <c r="E126" s="1" t="n">
        <v>46218</v>
      </c>
      <c r="F126" t="inlineStr">
        <is>
          <t>ÖREBRO LÄN</t>
        </is>
      </c>
      <c r="G126" t="inlineStr">
        <is>
          <t>DEGERFORS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60907-2023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45261</v>
      </c>
      <c r="E127" s="1" t="n">
        <v>46218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23460-2024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46218</v>
      </c>
      <c r="F128" t="inlineStr">
        <is>
          <t>ÖREBRO LÄN</t>
        </is>
      </c>
      <c r="G128" t="inlineStr">
        <is>
          <t>DEGERFORS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6394-2024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45338</v>
      </c>
      <c r="E129" s="1" t="n">
        <v>46218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11085-2023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46218</v>
      </c>
      <c r="F130" t="inlineStr">
        <is>
          <t>ÖREBRO LÄN</t>
        </is>
      </c>
      <c r="G130" t="inlineStr">
        <is>
          <t>DEGERFORS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24707-2025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46218</v>
      </c>
      <c r="F131" t="inlineStr">
        <is>
          <t>ÖREBRO LÄN</t>
        </is>
      </c>
      <c r="G131" t="inlineStr">
        <is>
          <t>DEGERFORS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45330</v>
      </c>
      <c r="E132" s="1" t="n">
        <v>46218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26176-2024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45468</v>
      </c>
      <c r="E133" s="1" t="n">
        <v>46218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46218</v>
      </c>
      <c r="F134" t="inlineStr">
        <is>
          <t>ÖREBRO LÄN</t>
        </is>
      </c>
      <c r="G134" t="inlineStr">
        <is>
          <t>DEGERFORS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50766-2024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46218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8184-2022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46218</v>
      </c>
      <c r="F136" t="inlineStr">
        <is>
          <t>ÖREBRO LÄN</t>
        </is>
      </c>
      <c r="G136" t="inlineStr">
        <is>
          <t>DEGERFORS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52523-2024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46218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26820-2025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46218</v>
      </c>
      <c r="F138" t="inlineStr">
        <is>
          <t>ÖREBRO LÄN</t>
        </is>
      </c>
      <c r="G138" t="inlineStr">
        <is>
          <t>DEGERFORS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26783-2025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46218</v>
      </c>
      <c r="F139" t="inlineStr">
        <is>
          <t>ÖREBRO LÄN</t>
        </is>
      </c>
      <c r="G139" t="inlineStr">
        <is>
          <t>DEGERFORS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55341-2025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46218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46218</v>
      </c>
      <c r="F141" t="inlineStr">
        <is>
          <t>ÖREBRO LÄN</t>
        </is>
      </c>
      <c r="G141" t="inlineStr">
        <is>
          <t>DEGERFORS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50378-2024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45601</v>
      </c>
      <c r="E142" s="1" t="n">
        <v>46218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33293-2023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45116</v>
      </c>
      <c r="E143" s="1" t="n">
        <v>46218</v>
      </c>
      <c r="F143" t="inlineStr">
        <is>
          <t>ÖREBRO LÄN</t>
        </is>
      </c>
      <c r="G143" t="inlineStr">
        <is>
          <t>DEGERFORS</t>
        </is>
      </c>
      <c r="I143" t="n">
        <v>17.2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54515-2023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46218</v>
      </c>
      <c r="F144" t="inlineStr">
        <is>
          <t>ÖREBRO LÄN</t>
        </is>
      </c>
      <c r="G144" t="inlineStr">
        <is>
          <t>DEGERFORS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28367-2025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46218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28368-2025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46218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57086-2025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45979</v>
      </c>
      <c r="E147" s="1" t="n">
        <v>46218</v>
      </c>
      <c r="F147" t="inlineStr">
        <is>
          <t>ÖREBRO LÄN</t>
        </is>
      </c>
      <c r="G147" t="inlineStr">
        <is>
          <t>DEGERFORS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45190</v>
      </c>
      <c r="E148" s="1" t="n">
        <v>46218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54994-2024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45621</v>
      </c>
      <c r="E149" s="1" t="n">
        <v>46218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51652-2023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45222</v>
      </c>
      <c r="E150" s="1" t="n">
        <v>46218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36963-2021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44393</v>
      </c>
      <c r="E151" s="1" t="n">
        <v>46218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23066-2022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44719</v>
      </c>
      <c r="E152" s="1" t="n">
        <v>46218</v>
      </c>
      <c r="F152" t="inlineStr">
        <is>
          <t>ÖREBRO LÄN</t>
        </is>
      </c>
      <c r="G152" t="inlineStr">
        <is>
          <t>DEGERFORS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46218</v>
      </c>
      <c r="F153" t="inlineStr">
        <is>
          <t>ÖREBRO LÄN</t>
        </is>
      </c>
      <c r="G153" t="inlineStr">
        <is>
          <t>DEGERFORS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32211-2022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46218</v>
      </c>
      <c r="F154" t="inlineStr">
        <is>
          <t>ÖREBRO LÄN</t>
        </is>
      </c>
      <c r="G154" t="inlineStr">
        <is>
          <t>DEGERFORS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13405-2024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45387</v>
      </c>
      <c r="E155" s="1" t="n">
        <v>46218</v>
      </c>
      <c r="F155" t="inlineStr">
        <is>
          <t>ÖREBRO LÄN</t>
        </is>
      </c>
      <c r="G155" t="inlineStr">
        <is>
          <t>DEGERFORS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33404-2025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46218</v>
      </c>
      <c r="F156" t="inlineStr">
        <is>
          <t>ÖREBRO LÄN</t>
        </is>
      </c>
      <c r="G156" t="inlineStr">
        <is>
          <t>DEGERFORS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12729-2024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45384</v>
      </c>
      <c r="E157" s="1" t="n">
        <v>46218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54082-2024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45616</v>
      </c>
      <c r="E158" s="1" t="n">
        <v>46218</v>
      </c>
      <c r="F158" t="inlineStr">
        <is>
          <t>ÖREBRO LÄN</t>
        </is>
      </c>
      <c r="G158" t="inlineStr">
        <is>
          <t>DEGERFORS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59863-2024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46218</v>
      </c>
      <c r="F159" t="inlineStr">
        <is>
          <t>ÖREBRO LÄN</t>
        </is>
      </c>
      <c r="G159" t="inlineStr">
        <is>
          <t>DEGERFORS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46218</v>
      </c>
      <c r="F160" t="inlineStr">
        <is>
          <t>ÖREBRO LÄN</t>
        </is>
      </c>
      <c r="G160" t="inlineStr">
        <is>
          <t>DEGERFORS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20567-2026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46140</v>
      </c>
      <c r="E161" s="1" t="n">
        <v>46218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20568-2026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46218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20478-2026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46218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37333-2025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45876</v>
      </c>
      <c r="E164" s="1" t="n">
        <v>46218</v>
      </c>
      <c r="F164" t="inlineStr">
        <is>
          <t>ÖREBRO LÄN</t>
        </is>
      </c>
      <c r="G164" t="inlineStr">
        <is>
          <t>DEGERFORS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37265-2025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45876</v>
      </c>
      <c r="E165" s="1" t="n">
        <v>46218</v>
      </c>
      <c r="F165" t="inlineStr">
        <is>
          <t>ÖREBRO LÄN</t>
        </is>
      </c>
      <c r="G165" t="inlineStr">
        <is>
          <t>DEGERFORS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45995</v>
      </c>
      <c r="E166" s="1" t="n">
        <v>46218</v>
      </c>
      <c r="F166" t="inlineStr">
        <is>
          <t>ÖREBRO LÄN</t>
        </is>
      </c>
      <c r="G166" t="inlineStr">
        <is>
          <t>DEGERFORS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60736-2025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46218</v>
      </c>
      <c r="F167" t="inlineStr">
        <is>
          <t>ÖREBRO LÄN</t>
        </is>
      </c>
      <c r="G167" t="inlineStr">
        <is>
          <t>DEGERFORS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60708-2025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45996</v>
      </c>
      <c r="E168" s="1" t="n">
        <v>46218</v>
      </c>
      <c r="F168" t="inlineStr">
        <is>
          <t>ÖREBRO LÄN</t>
        </is>
      </c>
      <c r="G168" t="inlineStr">
        <is>
          <t>DEGERFORS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15594-2025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46218</v>
      </c>
      <c r="F169" t="inlineStr">
        <is>
          <t>ÖREBRO LÄN</t>
        </is>
      </c>
      <c r="G169" t="inlineStr">
        <is>
          <t>DEGERFORS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20476-2026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46218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26857-2026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46218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38917-2023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46218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26946-2026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46218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26947-2026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46218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46218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27411-2026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46218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21440-2026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46218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27671-2026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46190</v>
      </c>
      <c r="E178" s="1" t="n">
        <v>46218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27745-2026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46218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27746-2026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46218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21402-2026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46148</v>
      </c>
      <c r="E181" s="1" t="n">
        <v>46218</v>
      </c>
      <c r="F181" t="inlineStr">
        <is>
          <t>ÖREBRO LÄN</t>
        </is>
      </c>
      <c r="G181" t="inlineStr">
        <is>
          <t>DEGERFORS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46218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21663-2026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46218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21442-2026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46218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46148</v>
      </c>
      <c r="E185" s="1" t="n">
        <v>46218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27668-2026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46218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21662-2026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46218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27663-2026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46190</v>
      </c>
      <c r="E188" s="1" t="n">
        <v>46218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46218</v>
      </c>
      <c r="F189" t="inlineStr">
        <is>
          <t>ÖREBRO LÄN</t>
        </is>
      </c>
      <c r="G189" t="inlineStr">
        <is>
          <t>DEGERFORS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63905-2021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46218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38743-2022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44816</v>
      </c>
      <c r="E191" s="1" t="n">
        <v>46218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47935-2024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46218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44841-2023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46218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46218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46218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8059-2024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46218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46219-2024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46218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46218</v>
      </c>
      <c r="F198" t="inlineStr">
        <is>
          <t>ÖREBRO LÄN</t>
        </is>
      </c>
      <c r="G198" t="inlineStr">
        <is>
          <t>DEGERFORS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29482-2023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46218</v>
      </c>
      <c r="F199" t="inlineStr">
        <is>
          <t>ÖREBRO LÄN</t>
        </is>
      </c>
      <c r="G199" t="inlineStr">
        <is>
          <t>DEGERFORS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28789-2026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46218</v>
      </c>
      <c r="F200" t="inlineStr">
        <is>
          <t>ÖREBRO LÄN</t>
        </is>
      </c>
      <c r="G200" t="inlineStr">
        <is>
          <t>DEGERFORS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28708-2026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46218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59158-2022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44904</v>
      </c>
      <c r="E202" s="1" t="n">
        <v>46218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28930-2026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46199</v>
      </c>
      <c r="E203" s="1" t="n">
        <v>46218</v>
      </c>
      <c r="F203" t="inlineStr">
        <is>
          <t>ÖREBRO LÄN</t>
        </is>
      </c>
      <c r="G203" t="inlineStr">
        <is>
          <t>DEGERFORS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28695-2026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46218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46218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10320-2023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46218</v>
      </c>
      <c r="F206" t="inlineStr">
        <is>
          <t>ÖREBRO LÄN</t>
        </is>
      </c>
      <c r="G206" t="inlineStr">
        <is>
          <t>DEGERFORS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28696-2026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46218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10797-2023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44989</v>
      </c>
      <c r="E208" s="1" t="n">
        <v>46218</v>
      </c>
      <c r="F208" t="inlineStr">
        <is>
          <t>ÖREBRO LÄN</t>
        </is>
      </c>
      <c r="G208" t="inlineStr">
        <is>
          <t>DEGERFORS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11084-2023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46218</v>
      </c>
      <c r="F209" t="inlineStr">
        <is>
          <t>ÖREBRO LÄN</t>
        </is>
      </c>
      <c r="G209" t="inlineStr">
        <is>
          <t>DEGERFORS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50764-2024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46218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33658-2024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46218</v>
      </c>
      <c r="F211" t="inlineStr">
        <is>
          <t>ÖREBRO LÄN</t>
        </is>
      </c>
      <c r="G211" t="inlineStr">
        <is>
          <t>DEGERFORS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29132-2026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46218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46218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23230-2026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46218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23229-2026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46218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14678-2025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45742</v>
      </c>
      <c r="E216" s="1" t="n">
        <v>46218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29552-2026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46204</v>
      </c>
      <c r="E217" s="1" t="n">
        <v>46218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23854-2026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46218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9273-2026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46218</v>
      </c>
      <c r="F219" t="inlineStr">
        <is>
          <t>ÖREBRO LÄN</t>
        </is>
      </c>
      <c r="G219" t="inlineStr">
        <is>
          <t>DEGERFORS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12159-2026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46218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24460-2026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46170</v>
      </c>
      <c r="E221" s="1" t="n">
        <v>46218</v>
      </c>
      <c r="F221" t="inlineStr">
        <is>
          <t>ÖREBRO LÄN</t>
        </is>
      </c>
      <c r="G221" t="inlineStr">
        <is>
          <t>DEGERFORS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12160-2026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46218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24462-2026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46218</v>
      </c>
      <c r="F223" t="inlineStr">
        <is>
          <t>ÖREBRO LÄN</t>
        </is>
      </c>
      <c r="G223" t="inlineStr">
        <is>
          <t>DEGERFORS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12936-2026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46218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13293-2026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46218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13040-2026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46218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13039-2026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46218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24689-2026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46218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18913-2026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46218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18506-2026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46218</v>
      </c>
      <c r="F230" t="inlineStr">
        <is>
          <t>ÖREBRO LÄN</t>
        </is>
      </c>
      <c r="G230" t="inlineStr">
        <is>
          <t>DEGERFORS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19227-2026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46218</v>
      </c>
      <c r="F231" t="inlineStr">
        <is>
          <t>ÖREBRO LÄN</t>
        </is>
      </c>
      <c r="G231" t="inlineStr">
        <is>
          <t>DEGERFORS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46218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46218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46218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46218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46218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46218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46218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46218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2026-07-15T01:22:37Z</dcterms:created>
  <dcterms:modified xmlns:dcterms="http://purl.org/dc/terms/" xmlns:xsi="http://www.w3.org/2001/XMLSchema-instance" xsi:type="dcterms:W3CDTF">2026-07-15T01:22:37Z</dcterms:modified>
</cp:coreProperties>
</file>