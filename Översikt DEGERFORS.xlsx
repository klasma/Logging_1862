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46223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V2">
        <f>HYPERLINK("https://klasma.github.io/Logging_1862/artfynd/A 5800-2026 artfynd.xlsx", "A 5800-2026")</f>
        <v/>
      </c>
      <c r="W2">
        <f>HYPERLINK("https://klasma.github.io/Logging_1862/kartor/A 5800-2026 karta.png", "A 5800-2026")</f>
        <v/>
      </c>
      <c r="X2">
        <f>HYPERLINK("https://klasma.github.io/Logging_1862/kartor_geotiff/A 5800-2026 georefererad karta.tif", "A 5800-2026")</f>
        <v/>
      </c>
      <c r="Z2">
        <f>HYPERLINK("https://klasma.github.io/Logging_1862/klagomål/A 5800-2026 FSC-klagomål.docx", "A 5800-2026")</f>
        <v/>
      </c>
      <c r="AA2">
        <f>HYPERLINK("https://klasma.github.io/Logging_1862/klagomålsmail/A 5800-2026 FSC-klagomål mail.docx", "A 5800-2026")</f>
        <v/>
      </c>
      <c r="AB2">
        <f>HYPERLINK("https://klasma.github.io/Logging_1862/tillsyn/A 5800-2026 tillsynsbegäran.docx", "A 5800-2026")</f>
        <v/>
      </c>
      <c r="AC2">
        <f>HYPERLINK("https://klasma.github.io/Logging_1862/tillsynsmail/A 5800-2026 tillsynsbegäran mail.docx", "A 5800-2026")</f>
        <v/>
      </c>
      <c r="AD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46223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s="2" t="inlineStr">
        <is>
          <t>Tornseglare
Dropptaggsvamp
Duvhök
Enkelbeckasin
Talltita
Grönpyrola
Nattskärra
Spillkråka
Tjäder
Tofsmes
Havsörn
Sångsvan
Åkergroda</t>
        </is>
      </c>
      <c r="V3">
        <f>HYPERLINK("https://klasma.github.io/Logging_1862/artfynd/A 22870-2026 artfynd.xlsx", "A 22870-2026")</f>
        <v/>
      </c>
      <c r="W3">
        <f>HYPERLINK("https://klasma.github.io/Logging_1862/kartor/A 22870-2026 karta.png", "A 22870-2026")</f>
        <v/>
      </c>
      <c r="X3">
        <f>HYPERLINK("https://klasma.github.io/Logging_1862/kartor_geotiff/A 22870-2026 georefererad karta.tif", "A 22870-2026")</f>
        <v/>
      </c>
      <c r="Z3">
        <f>HYPERLINK("https://klasma.github.io/Logging_1862/klagomål/A 22870-2026 FSC-klagomål.docx", "A 22870-2026")</f>
        <v/>
      </c>
      <c r="AA3">
        <f>HYPERLINK("https://klasma.github.io/Logging_1862/klagomålsmail/A 22870-2026 FSC-klagomål mail.docx", "A 22870-2026")</f>
        <v/>
      </c>
      <c r="AB3">
        <f>HYPERLINK("https://klasma.github.io/Logging_1862/tillsyn/A 22870-2026 tillsynsbegäran.docx", "A 22870-2026")</f>
        <v/>
      </c>
      <c r="AC3">
        <f>HYPERLINK("https://klasma.github.io/Logging_1862/tillsynsmail/A 22870-2026 tillsynsbegäran mail.docx", "A 22870-2026")</f>
        <v/>
      </c>
      <c r="AD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46223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s="2" t="inlineStr">
        <is>
          <t>Tornseglare
Dropptaggsvamp
Duvhök
Järnsparv
Orange taggsvamp
Talltita
Spillkråka
Tofsmes
Revlummer</t>
        </is>
      </c>
      <c r="V4">
        <f>HYPERLINK("https://klasma.github.io/Logging_1862/artfynd/A 15809-2026 artfynd.xlsx", "A 15809-2026")</f>
        <v/>
      </c>
      <c r="W4">
        <f>HYPERLINK("https://klasma.github.io/Logging_1862/kartor/A 15809-2026 karta.png", "A 15809-2026")</f>
        <v/>
      </c>
      <c r="X4">
        <f>HYPERLINK("https://klasma.github.io/Logging_1862/kartor_geotiff/A 15809-2026 georefererad karta.tif", "A 15809-2026")</f>
        <v/>
      </c>
      <c r="Z4">
        <f>HYPERLINK("https://klasma.github.io/Logging_1862/klagomål/A 15809-2026 FSC-klagomål.docx", "A 15809-2026")</f>
        <v/>
      </c>
      <c r="AA4">
        <f>HYPERLINK("https://klasma.github.io/Logging_1862/klagomålsmail/A 15809-2026 FSC-klagomål mail.docx", "A 15809-2026")</f>
        <v/>
      </c>
      <c r="AB4">
        <f>HYPERLINK("https://klasma.github.io/Logging_1862/tillsyn/A 15809-2026 tillsynsbegäran.docx", "A 15809-2026")</f>
        <v/>
      </c>
      <c r="AC4">
        <f>HYPERLINK("https://klasma.github.io/Logging_1862/tillsynsmail/A 15809-2026 tillsynsbegäran mail.docx", "A 15809-2026")</f>
        <v/>
      </c>
      <c r="AD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46223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s="2" t="inlineStr">
        <is>
          <t>Gräddticka
Gransotdyna
Tretåig hackspett
Ullticka
Vedflikmossa
Brandticka
Vedticka
Spillkråka</t>
        </is>
      </c>
      <c r="V5">
        <f>HYPERLINK("https://klasma.github.io/Logging_1862/artfynd/A 25541-2023 artfynd.xlsx", "A 25541-2023")</f>
        <v/>
      </c>
      <c r="W5">
        <f>HYPERLINK("https://klasma.github.io/Logging_1862/kartor/A 25541-2023 karta.png", "A 25541-2023")</f>
        <v/>
      </c>
      <c r="X5">
        <f>HYPERLINK("https://klasma.github.io/Logging_1862/kartor_geotiff/A 25541-2023 georefererad karta.tif", "A 25541-2023")</f>
        <v/>
      </c>
      <c r="Z5">
        <f>HYPERLINK("https://klasma.github.io/Logging_1862/klagomål/A 25541-2023 FSC-klagomål.docx", "A 25541-2023")</f>
        <v/>
      </c>
      <c r="AA5">
        <f>HYPERLINK("https://klasma.github.io/Logging_1862/klagomålsmail/A 25541-2023 FSC-klagomål mail.docx", "A 25541-2023")</f>
        <v/>
      </c>
      <c r="AB5">
        <f>HYPERLINK("https://klasma.github.io/Logging_1862/tillsyn/A 25541-2023 tillsynsbegäran.docx", "A 25541-2023")</f>
        <v/>
      </c>
      <c r="AC5">
        <f>HYPERLINK("https://klasma.github.io/Logging_1862/tillsynsmail/A 25541-2023 tillsynsbegäran mail.docx", "A 25541-2023")</f>
        <v/>
      </c>
      <c r="AD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45175</v>
      </c>
      <c r="E6" s="1" t="n">
        <v>46223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3.3</v>
      </c>
      <c r="J6" t="n">
        <v>6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19</v>
      </c>
      <c r="U6" s="2" t="inlineStr">
        <is>
          <t>Tretåig hackspett
Grönpyrola
Thomsons trägnagare
Spillkråka
Tjäder
Gröngöling
Kungsfågel
Fläcknycklar</t>
        </is>
      </c>
      <c r="V6">
        <f>HYPERLINK("https://klasma.github.io/Logging_1862/artfynd/A 41519-2023 artfynd.xlsx", "A 41519-2023")</f>
        <v/>
      </c>
      <c r="W6">
        <f>HYPERLINK("https://klasma.github.io/Logging_1862/kartor/A 41519-2023 karta.png", "A 41519-2023")</f>
        <v/>
      </c>
      <c r="X6">
        <f>HYPERLINK("https://klasma.github.io/Logging_1862/kartor_geotiff/A 41519-2023 georefererad karta.tif", "A 41519-2023")</f>
        <v/>
      </c>
      <c r="Z6">
        <f>HYPERLINK("https://klasma.github.io/Logging_1862/klagomål/A 41519-2023 FSC-klagomål.docx", "A 41519-2023")</f>
        <v/>
      </c>
      <c r="AA6">
        <f>HYPERLINK("https://klasma.github.io/Logging_1862/klagomålsmail/A 41519-2023 FSC-klagomål mail.docx", "A 41519-2023")</f>
        <v/>
      </c>
      <c r="AB6">
        <f>HYPERLINK("https://klasma.github.io/Logging_1862/tillsyn/A 41519-2023 tillsynsbegäran.docx", "A 41519-2023")</f>
        <v/>
      </c>
      <c r="AC6">
        <f>HYPERLINK("https://klasma.github.io/Logging_1862/tillsynsmail/A 41519-2023 tillsynsbegäran mail.docx", "A 41519-2023")</f>
        <v/>
      </c>
      <c r="AD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46223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s="2" t="inlineStr">
        <is>
          <t>Tornseglare
Duvhök
Talltita
Grönpyrola
Nattskärra
Spillkråka
Tofsmes
Havsörn</t>
        </is>
      </c>
      <c r="V7">
        <f>HYPERLINK("https://klasma.github.io/Logging_1862/artfynd/A 22871-2026 artfynd.xlsx", "A 22871-2026")</f>
        <v/>
      </c>
      <c r="W7">
        <f>HYPERLINK("https://klasma.github.io/Logging_1862/kartor/A 22871-2026 karta.png", "A 22871-2026")</f>
        <v/>
      </c>
      <c r="X7">
        <f>HYPERLINK("https://klasma.github.io/Logging_1862/kartor_geotiff/A 22871-2026 georefererad karta.tif", "A 22871-2026")</f>
        <v/>
      </c>
      <c r="Z7">
        <f>HYPERLINK("https://klasma.github.io/Logging_1862/klagomål/A 22871-2026 FSC-klagomål.docx", "A 22871-2026")</f>
        <v/>
      </c>
      <c r="AA7">
        <f>HYPERLINK("https://klasma.github.io/Logging_1862/klagomålsmail/A 22871-2026 FSC-klagomål mail.docx", "A 22871-2026")</f>
        <v/>
      </c>
      <c r="AB7">
        <f>HYPERLINK("https://klasma.github.io/Logging_1862/tillsyn/A 22871-2026 tillsynsbegäran.docx", "A 22871-2026")</f>
        <v/>
      </c>
      <c r="AC7">
        <f>HYPERLINK("https://klasma.github.io/Logging_1862/tillsynsmail/A 22871-2026 tillsynsbegäran mail.docx", "A 22871-2026")</f>
        <v/>
      </c>
      <c r="AD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46223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s="2" t="inlineStr">
        <is>
          <t>Kolflarnlav
Tretåig hackspett
Vaddporing
Flagellkvastmossa
Spillkråka
Tjäder
Fläcknycklar</t>
        </is>
      </c>
      <c r="V8">
        <f>HYPERLINK("https://klasma.github.io/Logging_1862/artfynd/A 12721-2024 artfynd.xlsx", "A 12721-2024")</f>
        <v/>
      </c>
      <c r="W8">
        <f>HYPERLINK("https://klasma.github.io/Logging_1862/kartor/A 12721-2024 karta.png", "A 12721-2024")</f>
        <v/>
      </c>
      <c r="X8">
        <f>HYPERLINK("https://klasma.github.io/Logging_1862/kartor_geotiff/A 12721-2024 georefererad karta.tif", "A 12721-2024")</f>
        <v/>
      </c>
      <c r="Z8">
        <f>HYPERLINK("https://klasma.github.io/Logging_1862/klagomål/A 12721-2024 FSC-klagomål.docx", "A 12721-2024")</f>
        <v/>
      </c>
      <c r="AA8">
        <f>HYPERLINK("https://klasma.github.io/Logging_1862/klagomålsmail/A 12721-2024 FSC-klagomål mail.docx", "A 12721-2024")</f>
        <v/>
      </c>
      <c r="AB8">
        <f>HYPERLINK("https://klasma.github.io/Logging_1862/tillsyn/A 12721-2024 tillsynsbegäran.docx", "A 12721-2024")</f>
        <v/>
      </c>
      <c r="AC8">
        <f>HYPERLINK("https://klasma.github.io/Logging_1862/tillsynsmail/A 12721-2024 tillsynsbegäran mail.docx", "A 12721-2024")</f>
        <v/>
      </c>
      <c r="AD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46223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s="2" t="inlineStr">
        <is>
          <t>Jungfrulin
Motaggsvamp
Svinrot
Tretåig hackspett
Tjäder
Åkergroda
Fläcknycklar</t>
        </is>
      </c>
      <c r="V9">
        <f>HYPERLINK("https://klasma.github.io/Logging_1862/artfynd/A 12719-2024 artfynd.xlsx", "A 12719-2024")</f>
        <v/>
      </c>
      <c r="W9">
        <f>HYPERLINK("https://klasma.github.io/Logging_1862/kartor/A 12719-2024 karta.png", "A 12719-2024")</f>
        <v/>
      </c>
      <c r="X9">
        <f>HYPERLINK("https://klasma.github.io/Logging_1862/kartor_geotiff/A 12719-2024 georefererad karta.tif", "A 12719-2024")</f>
        <v/>
      </c>
      <c r="Z9">
        <f>HYPERLINK("https://klasma.github.io/Logging_1862/klagomål/A 12719-2024 FSC-klagomål.docx", "A 12719-2024")</f>
        <v/>
      </c>
      <c r="AA9">
        <f>HYPERLINK("https://klasma.github.io/Logging_1862/klagomålsmail/A 12719-2024 FSC-klagomål mail.docx", "A 12719-2024")</f>
        <v/>
      </c>
      <c r="AB9">
        <f>HYPERLINK("https://klasma.github.io/Logging_1862/tillsyn/A 12719-2024 tillsynsbegäran.docx", "A 12719-2024")</f>
        <v/>
      </c>
      <c r="AC9">
        <f>HYPERLINK("https://klasma.github.io/Logging_1862/tillsynsmail/A 12719-2024 tillsynsbegäran mail.docx", "A 12719-2024")</f>
        <v/>
      </c>
      <c r="AD9">
        <f>HYPERLINK("https://klasma.github.io/Logging_1862/fåglar/A 12719-2024 prioriterade fågelarter.docx", "A 12719-2024")</f>
        <v/>
      </c>
    </row>
    <row r="10" ht="15" customHeight="1">
      <c r="A10" t="inlineStr">
        <is>
          <t>A 73321-2021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44550</v>
      </c>
      <c r="E10" s="1" t="n">
        <v>46223</v>
      </c>
      <c r="F10" t="inlineStr">
        <is>
          <t>ÖREBRO LÄN</t>
        </is>
      </c>
      <c r="G10" t="inlineStr">
        <is>
          <t>DEGERFORS</t>
        </is>
      </c>
      <c r="I10" t="n">
        <v>17</v>
      </c>
      <c r="J10" t="n">
        <v>3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8</v>
      </c>
      <c r="U10" s="2" t="inlineStr">
        <is>
          <t>Knärot
Grynig filtlav
Gulsparv
Rynkskinn
Vedticka
Spillkråka</t>
        </is>
      </c>
      <c r="V10">
        <f>HYPERLINK("https://klasma.github.io/Logging_1862/artfynd/A 73321-2021 artfynd.xlsx", "A 73321-2021")</f>
        <v/>
      </c>
      <c r="W10">
        <f>HYPERLINK("https://klasma.github.io/Logging_1862/kartor/A 73321-2021 karta.png", "A 73321-2021")</f>
        <v/>
      </c>
      <c r="X10">
        <f>HYPERLINK("https://klasma.github.io/Logging_1862/kartor_geotiff/A 73321-2021 georefererad karta.tif", "A 73321-2021")</f>
        <v/>
      </c>
      <c r="Y10">
        <f>HYPERLINK("https://klasma.github.io/Logging_1862/knärot/A 73321-2021 karta knärot.png", "A 73321-2021")</f>
        <v/>
      </c>
      <c r="Z10">
        <f>HYPERLINK("https://klasma.github.io/Logging_1862/klagomål/A 73321-2021 FSC-klagomål.docx", "A 73321-2021")</f>
        <v/>
      </c>
      <c r="AA10">
        <f>HYPERLINK("https://klasma.github.io/Logging_1862/klagomålsmail/A 73321-2021 FSC-klagomål mail.docx", "A 73321-2021")</f>
        <v/>
      </c>
      <c r="AB10">
        <f>HYPERLINK("https://klasma.github.io/Logging_1862/tillsyn/A 73321-2021 tillsynsbegäran.docx", "A 73321-2021")</f>
        <v/>
      </c>
      <c r="AC10">
        <f>HYPERLINK("https://klasma.github.io/Logging_1862/tillsynsmail/A 73321-2021 tillsynsbegäran mail.docx", "A 73321-2021")</f>
        <v/>
      </c>
      <c r="AD10">
        <f>HYPERLINK("https://klasma.github.io/Logging_1862/fåglar/A 73321-2021 prioriterade fågelarter.docx", "A 73321-2021")</f>
        <v/>
      </c>
    </row>
    <row r="11" ht="15" customHeight="1">
      <c r="A11" t="inlineStr">
        <is>
          <t>A 38916-2023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46223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4.3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27</v>
      </c>
      <c r="U11" s="2" t="inlineStr">
        <is>
          <t>Tretåig hackspett
Grönpyrola
Thomsons trägnagare
Vågbandad barkbock
Spillkråka
Tjäder</t>
        </is>
      </c>
      <c r="V11">
        <f>HYPERLINK("https://klasma.github.io/Logging_1862/artfynd/A 38916-2023 artfynd.xlsx", "A 38916-2023")</f>
        <v/>
      </c>
      <c r="W11">
        <f>HYPERLINK("https://klasma.github.io/Logging_1862/kartor/A 38916-2023 karta.png", "A 38916-2023")</f>
        <v/>
      </c>
      <c r="X11">
        <f>HYPERLINK("https://klasma.github.io/Logging_1862/kartor_geotiff/A 38916-2023 georefererad karta.tif", "A 38916-2023")</f>
        <v/>
      </c>
      <c r="Z11">
        <f>HYPERLINK("https://klasma.github.io/Logging_1862/klagomål/A 38916-2023 FSC-klagomål.docx", "A 38916-2023")</f>
        <v/>
      </c>
      <c r="AA11">
        <f>HYPERLINK("https://klasma.github.io/Logging_1862/klagomålsmail/A 38916-2023 FSC-klagomål mail.docx", "A 38916-2023")</f>
        <v/>
      </c>
      <c r="AB11">
        <f>HYPERLINK("https://klasma.github.io/Logging_1862/tillsyn/A 38916-2023 tillsynsbegäran.docx", "A 38916-2023")</f>
        <v/>
      </c>
      <c r="AC11">
        <f>HYPERLINK("https://klasma.github.io/Logging_1862/tillsynsmail/A 38916-2023 tillsynsbegäran mail.docx", "A 38916-2023")</f>
        <v/>
      </c>
      <c r="AD11">
        <f>HYPERLINK("https://klasma.github.io/Logging_1862/fåglar/A 38916-2023 prioriterade fågelarter.docx", "A 38916-2023")</f>
        <v/>
      </c>
    </row>
    <row r="12" ht="15" customHeight="1">
      <c r="A12" t="inlineStr">
        <is>
          <t>A 29553-2026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46223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6.5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6</v>
      </c>
      <c r="U12" s="2" t="inlineStr">
        <is>
          <t>Garnlav
Skuggblåslav
Talltita
Ullticka
Vedskivlav
Tofsmes</t>
        </is>
      </c>
      <c r="V12">
        <f>HYPERLINK("https://klasma.github.io/Logging_1862/artfynd/A 29553-2026 artfynd.xlsx", "A 29553-2026")</f>
        <v/>
      </c>
      <c r="W12">
        <f>HYPERLINK("https://klasma.github.io/Logging_1862/kartor/A 29553-2026 karta.png", "A 29553-2026")</f>
        <v/>
      </c>
      <c r="X12">
        <f>HYPERLINK("https://klasma.github.io/Logging_1862/kartor_geotiff/A 29553-2026 georefererad karta.tif", "A 29553-2026")</f>
        <v/>
      </c>
      <c r="Z12">
        <f>HYPERLINK("https://klasma.github.io/Logging_1862/klagomål/A 29553-2026 FSC-klagomål.docx", "A 29553-2026")</f>
        <v/>
      </c>
      <c r="AA12">
        <f>HYPERLINK("https://klasma.github.io/Logging_1862/klagomålsmail/A 29553-2026 FSC-klagomål mail.docx", "A 29553-2026")</f>
        <v/>
      </c>
      <c r="AB12">
        <f>HYPERLINK("https://klasma.github.io/Logging_1862/tillsyn/A 29553-2026 tillsynsbegäran.docx", "A 29553-2026")</f>
        <v/>
      </c>
      <c r="AC12">
        <f>HYPERLINK("https://klasma.github.io/Logging_1862/tillsynsmail/A 29553-2026 tillsynsbegäran mail.docx", "A 29553-2026")</f>
        <v/>
      </c>
      <c r="AD12">
        <f>HYPERLINK("https://klasma.github.io/Logging_1862/fåglar/A 29553-2026 prioriterade fågelarter.docx", "A 29553-2026")</f>
        <v/>
      </c>
    </row>
    <row r="13" ht="15" customHeight="1">
      <c r="A13" t="inlineStr">
        <is>
          <t>A 23008-2026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46161</v>
      </c>
      <c r="E13" s="1" t="n">
        <v>46223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2.4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Duvhök
Talltita
Vedskivlav
Brandticka
Nattskärra
Spillkråka</t>
        </is>
      </c>
      <c r="V13">
        <f>HYPERLINK("https://klasma.github.io/Logging_1862/artfynd/A 23008-2026 artfynd.xlsx", "A 23008-2026")</f>
        <v/>
      </c>
      <c r="W13">
        <f>HYPERLINK("https://klasma.github.io/Logging_1862/kartor/A 23008-2026 karta.png", "A 23008-2026")</f>
        <v/>
      </c>
      <c r="X13">
        <f>HYPERLINK("https://klasma.github.io/Logging_1862/kartor_geotiff/A 23008-2026 georefererad karta.tif", "A 23008-2026")</f>
        <v/>
      </c>
      <c r="Z13">
        <f>HYPERLINK("https://klasma.github.io/Logging_1862/klagomål/A 23008-2026 FSC-klagomål.docx", "A 23008-2026")</f>
        <v/>
      </c>
      <c r="AA13">
        <f>HYPERLINK("https://klasma.github.io/Logging_1862/klagomålsmail/A 23008-2026 FSC-klagomål mail.docx", "A 23008-2026")</f>
        <v/>
      </c>
      <c r="AB13">
        <f>HYPERLINK("https://klasma.github.io/Logging_1862/tillsyn/A 23008-2026 tillsynsbegäran.docx", "A 23008-2026")</f>
        <v/>
      </c>
      <c r="AC13">
        <f>HYPERLINK("https://klasma.github.io/Logging_1862/tillsynsmail/A 23008-2026 tillsynsbegäran mail.docx", "A 23008-2026")</f>
        <v/>
      </c>
      <c r="AD13">
        <f>HYPERLINK("https://klasma.github.io/Logging_1862/fåglar/A 23008-2026 prioriterade fågelarter.docx", "A 23008-2026")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46223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s="2" t="inlineStr">
        <is>
          <t>Tretåig hackspett
Grönpyrola
Mindre märgborre
Spillkråka
Tjäder</t>
        </is>
      </c>
      <c r="V14">
        <f>HYPERLINK("https://klasma.github.io/Logging_1862/artfynd/A 41520-2023 artfynd.xlsx", "A 41520-2023")</f>
        <v/>
      </c>
      <c r="W14">
        <f>HYPERLINK("https://klasma.github.io/Logging_1862/kartor/A 41520-2023 karta.png", "A 41520-2023")</f>
        <v/>
      </c>
      <c r="X14">
        <f>HYPERLINK("https://klasma.github.io/Logging_1862/kartor_geotiff/A 41520-2023 georefererad karta.tif", "A 41520-2023")</f>
        <v/>
      </c>
      <c r="Z14">
        <f>HYPERLINK("https://klasma.github.io/Logging_1862/klagomål/A 41520-2023 FSC-klagomål.docx", "A 41520-2023")</f>
        <v/>
      </c>
      <c r="AA14">
        <f>HYPERLINK("https://klasma.github.io/Logging_1862/klagomålsmail/A 41520-2023 FSC-klagomål mail.docx", "A 41520-2023")</f>
        <v/>
      </c>
      <c r="AB14">
        <f>HYPERLINK("https://klasma.github.io/Logging_1862/tillsyn/A 41520-2023 tillsynsbegäran.docx", "A 41520-2023")</f>
        <v/>
      </c>
      <c r="AC14">
        <f>HYPERLINK("https://klasma.github.io/Logging_1862/tillsynsmail/A 41520-2023 tillsynsbegäran mail.docx", "A 41520-2023")</f>
        <v/>
      </c>
      <c r="AD14">
        <f>HYPERLINK("https://klasma.github.io/Logging_1862/fåglar/A 41520-2023 prioriterade fågelarter.docx", "A 41520-2023")</f>
        <v/>
      </c>
    </row>
    <row r="15" ht="15" customHeight="1">
      <c r="A15" t="inlineStr">
        <is>
          <t>A 36081-2025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45866</v>
      </c>
      <c r="E15" s="1" t="n">
        <v>46223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1.5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s="2" t="inlineStr">
        <is>
          <t>Jungfrulin
Skogsklocka
Svinrot
Springkorn</t>
        </is>
      </c>
      <c r="V15">
        <f>HYPERLINK("https://klasma.github.io/Logging_1862/artfynd/A 36081-2025 artfynd.xlsx", "A 36081-2025")</f>
        <v/>
      </c>
      <c r="W15">
        <f>HYPERLINK("https://klasma.github.io/Logging_1862/kartor/A 36081-2025 karta.png", "A 36081-2025")</f>
        <v/>
      </c>
      <c r="X15">
        <f>HYPERLINK("https://klasma.github.io/Logging_1862/kartor_geotiff/A 36081-2025 georefererad karta.tif", "A 36081-2025")</f>
        <v/>
      </c>
      <c r="Z15">
        <f>HYPERLINK("https://klasma.github.io/Logging_1862/klagomål/A 36081-2025 FSC-klagomål.docx", "A 36081-2025")</f>
        <v/>
      </c>
      <c r="AA15">
        <f>HYPERLINK("https://klasma.github.io/Logging_1862/klagomålsmail/A 36081-2025 FSC-klagomål mail.docx", "A 36081-2025")</f>
        <v/>
      </c>
      <c r="AB15">
        <f>HYPERLINK("https://klasma.github.io/Logging_1862/tillsyn/A 36081-2025 tillsynsbegäran.docx", "A 36081-2025")</f>
        <v/>
      </c>
      <c r="AC15">
        <f>HYPERLINK("https://klasma.github.io/Logging_1862/tillsynsmail/A 36081-2025 tillsynsbegäran mail.docx", "A 36081-2025")</f>
        <v/>
      </c>
    </row>
    <row r="16" ht="15" customHeight="1">
      <c r="A16" t="inlineStr">
        <is>
          <t>A 47975-2025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45932</v>
      </c>
      <c r="E16" s="1" t="n">
        <v>46223</v>
      </c>
      <c r="F16" t="inlineStr">
        <is>
          <t>ÖREBRO LÄN</t>
        </is>
      </c>
      <c r="G16" t="inlineStr">
        <is>
          <t>DEGERFORS</t>
        </is>
      </c>
      <c r="I16" t="n">
        <v>11.8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10</v>
      </c>
      <c r="U16" s="2" t="inlineStr">
        <is>
          <t>Tretåig hackspett
Spillkråka
Kråka
Kungsfågel</t>
        </is>
      </c>
      <c r="V16">
        <f>HYPERLINK("https://klasma.github.io/Logging_1862/artfynd/A 47975-2025 artfynd.xlsx", "A 47975-2025")</f>
        <v/>
      </c>
      <c r="W16">
        <f>HYPERLINK("https://klasma.github.io/Logging_1862/kartor/A 47975-2025 karta.png", "A 47975-2025")</f>
        <v/>
      </c>
      <c r="X16">
        <f>HYPERLINK("https://klasma.github.io/Logging_1862/kartor_geotiff/A 47975-2025 georefererad karta.tif", "A 47975-2025")</f>
        <v/>
      </c>
      <c r="Z16">
        <f>HYPERLINK("https://klasma.github.io/Logging_1862/klagomål/A 47975-2025 FSC-klagomål.docx", "A 47975-2025")</f>
        <v/>
      </c>
      <c r="AA16">
        <f>HYPERLINK("https://klasma.github.io/Logging_1862/klagomålsmail/A 47975-2025 FSC-klagomål mail.docx", "A 47975-2025")</f>
        <v/>
      </c>
      <c r="AB16">
        <f>HYPERLINK("https://klasma.github.io/Logging_1862/tillsyn/A 47975-2025 tillsynsbegäran.docx", "A 47975-2025")</f>
        <v/>
      </c>
      <c r="AC16">
        <f>HYPERLINK("https://klasma.github.io/Logging_1862/tillsynsmail/A 47975-2025 tillsynsbegäran mail.docx", "A 47975-2025")</f>
        <v/>
      </c>
      <c r="AD16">
        <f>HYPERLINK("https://klasma.github.io/Logging_1862/fåglar/A 47975-2025 prioriterade fågelarter.docx", "A 47975-2025")</f>
        <v/>
      </c>
    </row>
    <row r="17" ht="15" customHeight="1">
      <c r="A17" t="inlineStr">
        <is>
          <t>A 38915-2023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46223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4.5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s="2" t="inlineStr">
        <is>
          <t>Tretåig hackspett
Mattlummer
Spillkråka
Sångsvan</t>
        </is>
      </c>
      <c r="V17">
        <f>HYPERLINK("https://klasma.github.io/Logging_1862/artfynd/A 38915-2023 artfynd.xlsx", "A 38915-2023")</f>
        <v/>
      </c>
      <c r="W17">
        <f>HYPERLINK("https://klasma.github.io/Logging_1862/kartor/A 38915-2023 karta.png", "A 38915-2023")</f>
        <v/>
      </c>
      <c r="X17">
        <f>HYPERLINK("https://klasma.github.io/Logging_1862/kartor_geotiff/A 38915-2023 georefererad karta.tif", "A 38915-2023")</f>
        <v/>
      </c>
      <c r="Z17">
        <f>HYPERLINK("https://klasma.github.io/Logging_1862/klagomål/A 38915-2023 FSC-klagomål.docx", "A 38915-2023")</f>
        <v/>
      </c>
      <c r="AA17">
        <f>HYPERLINK("https://klasma.github.io/Logging_1862/klagomålsmail/A 38915-2023 FSC-klagomål mail.docx", "A 38915-2023")</f>
        <v/>
      </c>
      <c r="AB17">
        <f>HYPERLINK("https://klasma.github.io/Logging_1862/tillsyn/A 38915-2023 tillsynsbegäran.docx", "A 38915-2023")</f>
        <v/>
      </c>
      <c r="AC17">
        <f>HYPERLINK("https://klasma.github.io/Logging_1862/tillsynsmail/A 38915-2023 tillsynsbegäran mail.docx", "A 38915-2023")</f>
        <v/>
      </c>
      <c r="AD17">
        <f>HYPERLINK("https://klasma.github.io/Logging_1862/fåglar/A 38915-2023 prioriterade fågelarter.docx", "A 38915-2023")</f>
        <v/>
      </c>
    </row>
    <row r="18" ht="15" customHeight="1">
      <c r="A18" t="inlineStr">
        <is>
          <t>A 48284-2023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45205</v>
      </c>
      <c r="E18" s="1" t="n">
        <v>46223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6.7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s="2" t="inlineStr">
        <is>
          <t>Tretåig hackspett
Spillkråka
Kungsfågel
Revlummer</t>
        </is>
      </c>
      <c r="V18">
        <f>HYPERLINK("https://klasma.github.io/Logging_1862/artfynd/A 48284-2023 artfynd.xlsx", "A 48284-2023")</f>
        <v/>
      </c>
      <c r="W18">
        <f>HYPERLINK("https://klasma.github.io/Logging_1862/kartor/A 48284-2023 karta.png", "A 48284-2023")</f>
        <v/>
      </c>
      <c r="X18">
        <f>HYPERLINK("https://klasma.github.io/Logging_1862/kartor_geotiff/A 48284-2023 georefererad karta.tif", "A 48284-2023")</f>
        <v/>
      </c>
      <c r="Z18">
        <f>HYPERLINK("https://klasma.github.io/Logging_1862/klagomål/A 48284-2023 FSC-klagomål.docx", "A 48284-2023")</f>
        <v/>
      </c>
      <c r="AA18">
        <f>HYPERLINK("https://klasma.github.io/Logging_1862/klagomålsmail/A 48284-2023 FSC-klagomål mail.docx", "A 48284-2023")</f>
        <v/>
      </c>
      <c r="AB18">
        <f>HYPERLINK("https://klasma.github.io/Logging_1862/tillsyn/A 48284-2023 tillsynsbegäran.docx", "A 48284-2023")</f>
        <v/>
      </c>
      <c r="AC18">
        <f>HYPERLINK("https://klasma.github.io/Logging_1862/tillsynsmail/A 48284-2023 tillsynsbegäran mail.docx", "A 48284-2023")</f>
        <v/>
      </c>
      <c r="AD18">
        <f>HYPERLINK("https://klasma.github.io/Logging_1862/fåglar/A 48284-2023 prioriterade fågelarter.docx", "A 48284-2023")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46223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s="2" t="inlineStr">
        <is>
          <t>Jungfrulin
Skogsklocka
Svinrot
Springkorn</t>
        </is>
      </c>
      <c r="V19">
        <f>HYPERLINK("https://klasma.github.io/Logging_1862/artfynd/A 8063-2024 artfynd.xlsx", "A 8063-2024")</f>
        <v/>
      </c>
      <c r="W19">
        <f>HYPERLINK("https://klasma.github.io/Logging_1862/kartor/A 8063-2024 karta.png", "A 8063-2024")</f>
        <v/>
      </c>
      <c r="X19">
        <f>HYPERLINK("https://klasma.github.io/Logging_1862/kartor_geotiff/A 8063-2024 georefererad karta.tif", "A 8063-2024")</f>
        <v/>
      </c>
      <c r="Z19">
        <f>HYPERLINK("https://klasma.github.io/Logging_1862/klagomål/A 8063-2024 FSC-klagomål.docx", "A 8063-2024")</f>
        <v/>
      </c>
      <c r="AA19">
        <f>HYPERLINK("https://klasma.github.io/Logging_1862/klagomålsmail/A 8063-2024 FSC-klagomål mail.docx", "A 8063-2024")</f>
        <v/>
      </c>
      <c r="AB19">
        <f>HYPERLINK("https://klasma.github.io/Logging_1862/tillsyn/A 8063-2024 tillsynsbegäran.docx", "A 8063-2024")</f>
        <v/>
      </c>
      <c r="AC19">
        <f>HYPERLINK("https://klasma.github.io/Logging_1862/tillsynsmail/A 8063-2024 tillsynsbegäran mail.docx", "A 8063-2024")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46223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s="2" t="inlineStr">
        <is>
          <t>Talltita
Vågticka
Spillkråka
Tjäder</t>
        </is>
      </c>
      <c r="V20">
        <f>HYPERLINK("https://klasma.github.io/Logging_1862/artfynd/S 3852-2024 artfynd.xlsx", "S 3852-2024")</f>
        <v/>
      </c>
      <c r="W20">
        <f>HYPERLINK("https://klasma.github.io/Logging_1862/kartor/S 3852-2024 karta.png", "S 3852-2024")</f>
        <v/>
      </c>
      <c r="X20">
        <f>HYPERLINK("https://klasma.github.io/Logging_1862/kartor_geotiff/S 3852-2024 georefererad karta.tif", "S 3852-2024")</f>
        <v/>
      </c>
      <c r="Z20">
        <f>HYPERLINK("https://klasma.github.io/Logging_1862/klagomål/S 3852-2024 FSC-klagomål.docx", "S 3852-2024")</f>
        <v/>
      </c>
      <c r="AA20">
        <f>HYPERLINK("https://klasma.github.io/Logging_1862/klagomålsmail/S 3852-2024 FSC-klagomål mail.docx", "S 3852-2024")</f>
        <v/>
      </c>
      <c r="AB20">
        <f>HYPERLINK("https://klasma.github.io/Logging_1862/tillsyn/S 3852-2024 tillsynsbegäran.docx", "S 3852-2024")</f>
        <v/>
      </c>
      <c r="AC20">
        <f>HYPERLINK("https://klasma.github.io/Logging_1862/tillsynsmail/S 3852-2024 tillsynsbegäran mail.docx", "S 3852-2024")</f>
        <v/>
      </c>
      <c r="AD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46223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s="2" t="inlineStr">
        <is>
          <t>Talltita
Tretåig hackspett
Spillkråka</t>
        </is>
      </c>
      <c r="V21">
        <f>HYPERLINK("https://klasma.github.io/Logging_1862/artfynd/A 47782-2025 artfynd.xlsx", "A 47782-2025")</f>
        <v/>
      </c>
      <c r="W21">
        <f>HYPERLINK("https://klasma.github.io/Logging_1862/kartor/A 47782-2025 karta.png", "A 47782-2025")</f>
        <v/>
      </c>
      <c r="X21">
        <f>HYPERLINK("https://klasma.github.io/Logging_1862/kartor_geotiff/A 47782-2025 georefererad karta.tif", "A 47782-2025")</f>
        <v/>
      </c>
      <c r="Z21">
        <f>HYPERLINK("https://klasma.github.io/Logging_1862/klagomål/A 47782-2025 FSC-klagomål.docx", "A 47782-2025")</f>
        <v/>
      </c>
      <c r="AA21">
        <f>HYPERLINK("https://klasma.github.io/Logging_1862/klagomålsmail/A 47782-2025 FSC-klagomål mail.docx", "A 47782-2025")</f>
        <v/>
      </c>
      <c r="AB21">
        <f>HYPERLINK("https://klasma.github.io/Logging_1862/tillsyn/A 47782-2025 tillsynsbegäran.docx", "A 47782-2025")</f>
        <v/>
      </c>
      <c r="AC21">
        <f>HYPERLINK("https://klasma.github.io/Logging_1862/tillsynsmail/A 47782-2025 tillsynsbegäran mail.docx", "A 47782-2025")</f>
        <v/>
      </c>
      <c r="AD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46223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s="2" t="inlineStr">
        <is>
          <t>Svinrot
Tretåig hackspett
Fläcknycklar</t>
        </is>
      </c>
      <c r="V22">
        <f>HYPERLINK("https://klasma.github.io/Logging_1862/artfynd/A 12720-2024 artfynd.xlsx", "A 12720-2024")</f>
        <v/>
      </c>
      <c r="W22">
        <f>HYPERLINK("https://klasma.github.io/Logging_1862/kartor/A 12720-2024 karta.png", "A 12720-2024")</f>
        <v/>
      </c>
      <c r="X22">
        <f>HYPERLINK("https://klasma.github.io/Logging_1862/kartor_geotiff/A 12720-2024 georefererad karta.tif", "A 12720-2024")</f>
        <v/>
      </c>
      <c r="Z22">
        <f>HYPERLINK("https://klasma.github.io/Logging_1862/klagomål/A 12720-2024 FSC-klagomål.docx", "A 12720-2024")</f>
        <v/>
      </c>
      <c r="AA22">
        <f>HYPERLINK("https://klasma.github.io/Logging_1862/klagomålsmail/A 12720-2024 FSC-klagomål mail.docx", "A 12720-2024")</f>
        <v/>
      </c>
      <c r="AB22">
        <f>HYPERLINK("https://klasma.github.io/Logging_1862/tillsyn/A 12720-2024 tillsynsbegäran.docx", "A 12720-2024")</f>
        <v/>
      </c>
      <c r="AC22">
        <f>HYPERLINK("https://klasma.github.io/Logging_1862/tillsynsmail/A 12720-2024 tillsynsbegäran mail.docx", "A 12720-2024")</f>
        <v/>
      </c>
      <c r="AD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46223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s="2" t="inlineStr">
        <is>
          <t>Talltita
Grönpyrola
Tjäder</t>
        </is>
      </c>
      <c r="V23">
        <f>HYPERLINK("https://klasma.github.io/Logging_1862/artfynd/A 22868-2026 artfynd.xlsx", "A 22868-2026")</f>
        <v/>
      </c>
      <c r="W23">
        <f>HYPERLINK("https://klasma.github.io/Logging_1862/kartor/A 22868-2026 karta.png", "A 22868-2026")</f>
        <v/>
      </c>
      <c r="X23">
        <f>HYPERLINK("https://klasma.github.io/Logging_1862/kartor_geotiff/A 22868-2026 georefererad karta.tif", "A 22868-2026")</f>
        <v/>
      </c>
      <c r="Z23">
        <f>HYPERLINK("https://klasma.github.io/Logging_1862/klagomål/A 22868-2026 FSC-klagomål.docx", "A 22868-2026")</f>
        <v/>
      </c>
      <c r="AA23">
        <f>HYPERLINK("https://klasma.github.io/Logging_1862/klagomålsmail/A 22868-2026 FSC-klagomål mail.docx", "A 22868-2026")</f>
        <v/>
      </c>
      <c r="AB23">
        <f>HYPERLINK("https://klasma.github.io/Logging_1862/tillsyn/A 22868-2026 tillsynsbegäran.docx", "A 22868-2026")</f>
        <v/>
      </c>
      <c r="AC23">
        <f>HYPERLINK("https://klasma.github.io/Logging_1862/tillsynsmail/A 22868-2026 tillsynsbegäran mail.docx", "A 22868-2026")</f>
        <v/>
      </c>
      <c r="AD23">
        <f>HYPERLINK("https://klasma.github.io/Logging_1862/fåglar/A 22868-2026 prioriterade fågelarter.docx", "A 22868-2026")</f>
        <v/>
      </c>
    </row>
    <row r="24" ht="15" customHeight="1">
      <c r="A24" t="inlineStr">
        <is>
          <t>A 4256-2026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46223</v>
      </c>
      <c r="F24" t="inlineStr">
        <is>
          <t>ÖREBRO LÄN</t>
        </is>
      </c>
      <c r="G24" t="inlineStr">
        <is>
          <t>DEGERFORS</t>
        </is>
      </c>
      <c r="I24" t="n">
        <v>2.9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Skogsklocka
Slåtterfibbla</t>
        </is>
      </c>
      <c r="V24">
        <f>HYPERLINK("https://klasma.github.io/Logging_1862/artfynd/A 4256-2026 artfynd.xlsx", "A 4256-2026")</f>
        <v/>
      </c>
      <c r="W24">
        <f>HYPERLINK("https://klasma.github.io/Logging_1862/kartor/A 4256-2026 karta.png", "A 4256-2026")</f>
        <v/>
      </c>
      <c r="X24">
        <f>HYPERLINK("https://klasma.github.io/Logging_1862/kartor_geotiff/A 4256-2026 georefererad karta.tif", "A 4256-2026")</f>
        <v/>
      </c>
      <c r="Z24">
        <f>HYPERLINK("https://klasma.github.io/Logging_1862/klagomål/A 4256-2026 FSC-klagomål.docx", "A 4256-2026")</f>
        <v/>
      </c>
      <c r="AA24">
        <f>HYPERLINK("https://klasma.github.io/Logging_1862/klagomålsmail/A 4256-2026 FSC-klagomål mail.docx", "A 4256-2026")</f>
        <v/>
      </c>
      <c r="AB24">
        <f>HYPERLINK("https://klasma.github.io/Logging_1862/tillsyn/A 4256-2026 tillsynsbegäran.docx", "A 4256-2026")</f>
        <v/>
      </c>
      <c r="AC24">
        <f>HYPERLINK("https://klasma.github.io/Logging_1862/tillsynsmail/A 4256-2026 tillsynsbegäran mail.docx", "A 4256-2026")</f>
        <v/>
      </c>
    </row>
    <row r="25" ht="15" customHeight="1">
      <c r="A25" t="inlineStr">
        <is>
          <t>A 47785-2025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46223</v>
      </c>
      <c r="F25" t="inlineStr">
        <is>
          <t>ÖREBRO LÄN</t>
        </is>
      </c>
      <c r="G25" t="inlineStr">
        <is>
          <t>DEGERFORS</t>
        </is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Spillkråka
Kungsfågel</t>
        </is>
      </c>
      <c r="V25">
        <f>HYPERLINK("https://klasma.github.io/Logging_1862/artfynd/A 47785-2025 artfynd.xlsx", "A 47785-2025")</f>
        <v/>
      </c>
      <c r="W25">
        <f>HYPERLINK("https://klasma.github.io/Logging_1862/kartor/A 47785-2025 karta.png", "A 47785-2025")</f>
        <v/>
      </c>
      <c r="X25">
        <f>HYPERLINK("https://klasma.github.io/Logging_1862/kartor_geotiff/A 47785-2025 georefererad karta.tif", "A 47785-2025")</f>
        <v/>
      </c>
      <c r="Z25">
        <f>HYPERLINK("https://klasma.github.io/Logging_1862/klagomål/A 47785-2025 FSC-klagomål.docx", "A 47785-2025")</f>
        <v/>
      </c>
      <c r="AA25">
        <f>HYPERLINK("https://klasma.github.io/Logging_1862/klagomålsmail/A 47785-2025 FSC-klagomål mail.docx", "A 47785-2025")</f>
        <v/>
      </c>
      <c r="AB25">
        <f>HYPERLINK("https://klasma.github.io/Logging_1862/tillsyn/A 47785-2025 tillsynsbegäran.docx", "A 47785-2025")</f>
        <v/>
      </c>
      <c r="AC25">
        <f>HYPERLINK("https://klasma.github.io/Logging_1862/tillsynsmail/A 47785-2025 tillsynsbegäran mail.docx", "A 47785-2025")</f>
        <v/>
      </c>
      <c r="AD25">
        <f>HYPERLINK("https://klasma.github.io/Logging_1862/fåglar/A 47785-2025 prioriterade fågelarter.docx", "A 47785-2025")</f>
        <v/>
      </c>
    </row>
    <row r="26" ht="15" customHeight="1">
      <c r="A26" t="inlineStr">
        <is>
          <t>A 38910-2023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46223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2.8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Tjäder
Fläcknycklar</t>
        </is>
      </c>
      <c r="V26">
        <f>HYPERLINK("https://klasma.github.io/Logging_1862/artfynd/A 38910-2023 artfynd.xlsx", "A 38910-2023")</f>
        <v/>
      </c>
      <c r="W26">
        <f>HYPERLINK("https://klasma.github.io/Logging_1862/kartor/A 38910-2023 karta.png", "A 38910-2023")</f>
        <v/>
      </c>
      <c r="X26">
        <f>HYPERLINK("https://klasma.github.io/Logging_1862/kartor_geotiff/A 38910-2023 georefererad karta.tif", "A 38910-2023")</f>
        <v/>
      </c>
      <c r="Z26">
        <f>HYPERLINK("https://klasma.github.io/Logging_1862/klagomål/A 38910-2023 FSC-klagomål.docx", "A 38910-2023")</f>
        <v/>
      </c>
      <c r="AA26">
        <f>HYPERLINK("https://klasma.github.io/Logging_1862/klagomålsmail/A 38910-2023 FSC-klagomål mail.docx", "A 38910-2023")</f>
        <v/>
      </c>
      <c r="AB26">
        <f>HYPERLINK("https://klasma.github.io/Logging_1862/tillsyn/A 38910-2023 tillsynsbegäran.docx", "A 38910-2023")</f>
        <v/>
      </c>
      <c r="AC26">
        <f>HYPERLINK("https://klasma.github.io/Logging_1862/tillsynsmail/A 38910-2023 tillsynsbegäran mail.docx", "A 38910-2023")</f>
        <v/>
      </c>
      <c r="AD26">
        <f>HYPERLINK("https://klasma.github.io/Logging_1862/fåglar/A 38910-2023 prioriterade fågelarter.docx", "A 38910-2023")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46223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Tretåig hackspett
Spillkråka</t>
        </is>
      </c>
      <c r="V27">
        <f>HYPERLINK("https://klasma.github.io/Logging_1862/artfynd/A 40870-2024 artfynd.xlsx", "A 40870-2024")</f>
        <v/>
      </c>
      <c r="W27">
        <f>HYPERLINK("https://klasma.github.io/Logging_1862/kartor/A 40870-2024 karta.png", "A 40870-2024")</f>
        <v/>
      </c>
      <c r="X27">
        <f>HYPERLINK("https://klasma.github.io/Logging_1862/kartor_geotiff/A 40870-2024 georefererad karta.tif", "A 40870-2024")</f>
        <v/>
      </c>
      <c r="Z27">
        <f>HYPERLINK("https://klasma.github.io/Logging_1862/klagomål/A 40870-2024 FSC-klagomål.docx", "A 40870-2024")</f>
        <v/>
      </c>
      <c r="AA27">
        <f>HYPERLINK("https://klasma.github.io/Logging_1862/klagomålsmail/A 40870-2024 FSC-klagomål mail.docx", "A 40870-2024")</f>
        <v/>
      </c>
      <c r="AB27">
        <f>HYPERLINK("https://klasma.github.io/Logging_1862/tillsyn/A 40870-2024 tillsynsbegäran.docx", "A 40870-2024")</f>
        <v/>
      </c>
      <c r="AC27">
        <f>HYPERLINK("https://klasma.github.io/Logging_1862/tillsynsmail/A 40870-2024 tillsynsbegäran mail.docx", "A 40870-2024")</f>
        <v/>
      </c>
      <c r="AD27">
        <f>HYPERLINK("https://klasma.github.io/Logging_1862/fåglar/A 40870-2024 prioriterade fågelarter.docx", "A 40870-2024")</f>
        <v/>
      </c>
    </row>
    <row r="28" ht="15" customHeight="1">
      <c r="A28" t="inlineStr">
        <is>
          <t>A 38912-2023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46223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Tretåig hackspett
Tjäder</t>
        </is>
      </c>
      <c r="V28">
        <f>HYPERLINK("https://klasma.github.io/Logging_1862/artfynd/A 38912-2023 artfynd.xlsx", "A 38912-2023")</f>
        <v/>
      </c>
      <c r="W28">
        <f>HYPERLINK("https://klasma.github.io/Logging_1862/kartor/A 38912-2023 karta.png", "A 38912-2023")</f>
        <v/>
      </c>
      <c r="X28">
        <f>HYPERLINK("https://klasma.github.io/Logging_1862/kartor_geotiff/A 38912-2023 georefererad karta.tif", "A 38912-2023")</f>
        <v/>
      </c>
      <c r="Z28">
        <f>HYPERLINK("https://klasma.github.io/Logging_1862/klagomål/A 38912-2023 FSC-klagomål.docx", "A 38912-2023")</f>
        <v/>
      </c>
      <c r="AA28">
        <f>HYPERLINK("https://klasma.github.io/Logging_1862/klagomålsmail/A 38912-2023 FSC-klagomål mail.docx", "A 38912-2023")</f>
        <v/>
      </c>
      <c r="AB28">
        <f>HYPERLINK("https://klasma.github.io/Logging_1862/tillsyn/A 38912-2023 tillsynsbegäran.docx", "A 38912-2023")</f>
        <v/>
      </c>
      <c r="AC28">
        <f>HYPERLINK("https://klasma.github.io/Logging_1862/tillsynsmail/A 38912-2023 tillsynsbegäran mail.docx", "A 38912-2023")</f>
        <v/>
      </c>
      <c r="AD28">
        <f>HYPERLINK("https://klasma.github.io/Logging_1862/fåglar/A 38912-2023 prioriterade fågelarter.docx", "A 38912-2023")</f>
        <v/>
      </c>
    </row>
    <row r="29" ht="15" customHeight="1">
      <c r="A29" t="inlineStr">
        <is>
          <t>A 38914-2023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46223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Tretåig hackspett
Tjäder</t>
        </is>
      </c>
      <c r="V29">
        <f>HYPERLINK("https://klasma.github.io/Logging_1862/artfynd/A 38914-2023 artfynd.xlsx", "A 38914-2023")</f>
        <v/>
      </c>
      <c r="W29">
        <f>HYPERLINK("https://klasma.github.io/Logging_1862/kartor/A 38914-2023 karta.png", "A 38914-2023")</f>
        <v/>
      </c>
      <c r="X29">
        <f>HYPERLINK("https://klasma.github.io/Logging_1862/kartor_geotiff/A 38914-2023 georefererad karta.tif", "A 38914-2023")</f>
        <v/>
      </c>
      <c r="Z29">
        <f>HYPERLINK("https://klasma.github.io/Logging_1862/klagomål/A 38914-2023 FSC-klagomål.docx", "A 38914-2023")</f>
        <v/>
      </c>
      <c r="AA29">
        <f>HYPERLINK("https://klasma.github.io/Logging_1862/klagomålsmail/A 38914-2023 FSC-klagomål mail.docx", "A 38914-2023")</f>
        <v/>
      </c>
      <c r="AB29">
        <f>HYPERLINK("https://klasma.github.io/Logging_1862/tillsyn/A 38914-2023 tillsynsbegäran.docx", "A 38914-2023")</f>
        <v/>
      </c>
      <c r="AC29">
        <f>HYPERLINK("https://klasma.github.io/Logging_1862/tillsynsmail/A 38914-2023 tillsynsbegäran mail.docx", "A 38914-2023")</f>
        <v/>
      </c>
      <c r="AD29">
        <f>HYPERLINK("https://klasma.github.io/Logging_1862/fåglar/A 38914-2023 prioriterade fågelarter.docx", "A 38914-2023")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46223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Vedtrappmossa</t>
        </is>
      </c>
      <c r="V30">
        <f>HYPERLINK("https://klasma.github.io/Logging_1862/artfynd/A 54134-2021 artfynd.xlsx", "A 54134-2021")</f>
        <v/>
      </c>
      <c r="W30">
        <f>HYPERLINK("https://klasma.github.io/Logging_1862/kartor/A 54134-2021 karta.png", "A 54134-2021")</f>
        <v/>
      </c>
      <c r="X30">
        <f>HYPERLINK("https://klasma.github.io/Logging_1862/kartor_geotiff/A 54134-2021 georefererad karta.tif", "A 54134-2021")</f>
        <v/>
      </c>
      <c r="Z30">
        <f>HYPERLINK("https://klasma.github.io/Logging_1862/klagomål/A 54134-2021 FSC-klagomål.docx", "A 54134-2021")</f>
        <v/>
      </c>
      <c r="AA30">
        <f>HYPERLINK("https://klasma.github.io/Logging_1862/klagomålsmail/A 54134-2021 FSC-klagomål mail.docx", "A 54134-2021")</f>
        <v/>
      </c>
      <c r="AB30">
        <f>HYPERLINK("https://klasma.github.io/Logging_1862/tillsyn/A 54134-2021 tillsynsbegäran.docx", "A 54134-2021")</f>
        <v/>
      </c>
      <c r="AC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46223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s="2" t="inlineStr">
        <is>
          <t>Hårklomossa</t>
        </is>
      </c>
      <c r="V31">
        <f>HYPERLINK("https://klasma.github.io/Logging_1862/artfynd/A 58132-2021 artfynd.xlsx", "A 58132-2021")</f>
        <v/>
      </c>
      <c r="W31">
        <f>HYPERLINK("https://klasma.github.io/Logging_1862/kartor/A 58132-2021 karta.png", "A 58132-2021")</f>
        <v/>
      </c>
      <c r="X31">
        <f>HYPERLINK("https://klasma.github.io/Logging_1862/kartor_geotiff/A 58132-2021 georefererad karta.tif", "A 58132-2021")</f>
        <v/>
      </c>
      <c r="Z31">
        <f>HYPERLINK("https://klasma.github.io/Logging_1862/klagomål/A 58132-2021 FSC-klagomål.docx", "A 58132-2021")</f>
        <v/>
      </c>
      <c r="AA31">
        <f>HYPERLINK("https://klasma.github.io/Logging_1862/klagomålsmail/A 58132-2021 FSC-klagomål mail.docx", "A 58132-2021")</f>
        <v/>
      </c>
      <c r="AB31">
        <f>HYPERLINK("https://klasma.github.io/Logging_1862/tillsyn/A 58132-2021 tillsynsbegäran.docx", "A 58132-2021")</f>
        <v/>
      </c>
      <c r="AC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46223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Vedtrappmossa</t>
        </is>
      </c>
      <c r="V32">
        <f>HYPERLINK("https://klasma.github.io/Logging_1862/artfynd/A 54130-2021 artfynd.xlsx", "A 54130-2021")</f>
        <v/>
      </c>
      <c r="W32">
        <f>HYPERLINK("https://klasma.github.io/Logging_1862/kartor/A 54130-2021 karta.png", "A 54130-2021")</f>
        <v/>
      </c>
      <c r="X32">
        <f>HYPERLINK("https://klasma.github.io/Logging_1862/kartor_geotiff/A 54130-2021 georefererad karta.tif", "A 54130-2021")</f>
        <v/>
      </c>
      <c r="Z32">
        <f>HYPERLINK("https://klasma.github.io/Logging_1862/klagomål/A 54130-2021 FSC-klagomål.docx", "A 54130-2021")</f>
        <v/>
      </c>
      <c r="AA32">
        <f>HYPERLINK("https://klasma.github.io/Logging_1862/klagomålsmail/A 54130-2021 FSC-klagomål mail.docx", "A 54130-2021")</f>
        <v/>
      </c>
      <c r="AB32">
        <f>HYPERLINK("https://klasma.github.io/Logging_1862/tillsyn/A 54130-2021 tillsynsbegäran.docx", "A 54130-2021")</f>
        <v/>
      </c>
      <c r="AC32">
        <f>HYPERLINK("https://klasma.github.io/Logging_1862/tillsynsmail/A 54130-2021 tillsynsbegäran mail.docx", "A 54130-2021")</f>
        <v/>
      </c>
    </row>
    <row r="33" ht="15" customHeight="1">
      <c r="A33" t="inlineStr">
        <is>
          <t>A 47915-2024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45589</v>
      </c>
      <c r="E33" s="1" t="n">
        <v>46223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Mattlummer</t>
        </is>
      </c>
      <c r="V33">
        <f>HYPERLINK("https://klasma.github.io/Logging_1862/artfynd/A 47915-2024 artfynd.xlsx", "A 47915-2024")</f>
        <v/>
      </c>
      <c r="W33">
        <f>HYPERLINK("https://klasma.github.io/Logging_1862/kartor/A 47915-2024 karta.png", "A 47915-2024")</f>
        <v/>
      </c>
      <c r="X33">
        <f>HYPERLINK("https://klasma.github.io/Logging_1862/kartor_geotiff/A 47915-2024 georefererad karta.tif", "A 47915-2024")</f>
        <v/>
      </c>
      <c r="Z33">
        <f>HYPERLINK("https://klasma.github.io/Logging_1862/klagomål/A 47915-2024 FSC-klagomål.docx", "A 47915-2024")</f>
        <v/>
      </c>
      <c r="AA33">
        <f>HYPERLINK("https://klasma.github.io/Logging_1862/klagomålsmail/A 47915-2024 FSC-klagomål mail.docx", "A 47915-2024")</f>
        <v/>
      </c>
      <c r="AB33">
        <f>HYPERLINK("https://klasma.github.io/Logging_1862/tillsyn/A 47915-2024 tillsynsbegäran.docx", "A 47915-2024")</f>
        <v/>
      </c>
      <c r="AC33">
        <f>HYPERLINK("https://klasma.github.io/Logging_1862/tillsynsmail/A 47915-2024 tillsynsbegäran mail.docx", "A 47915-2024")</f>
        <v/>
      </c>
    </row>
    <row r="34" ht="15" customHeight="1">
      <c r="A34" t="inlineStr">
        <is>
          <t>A 49306-2025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45938</v>
      </c>
      <c r="E34" s="1" t="n">
        <v>46223</v>
      </c>
      <c r="F34" t="inlineStr">
        <is>
          <t>ÖREBRO LÄN</t>
        </is>
      </c>
      <c r="G34" t="inlineStr">
        <is>
          <t>DEGERFORS</t>
        </is>
      </c>
      <c r="I34" t="n">
        <v>5.8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 trolldruva</t>
        </is>
      </c>
      <c r="V34">
        <f>HYPERLINK("https://klasma.github.io/Logging_1862/artfynd/A 49306-2025 artfynd.xlsx", "A 49306-2025")</f>
        <v/>
      </c>
      <c r="W34">
        <f>HYPERLINK("https://klasma.github.io/Logging_1862/kartor/A 49306-2025 karta.png", "A 49306-2025")</f>
        <v/>
      </c>
      <c r="X34">
        <f>HYPERLINK("https://klasma.github.io/Logging_1862/kartor_geotiff/A 49306-2025 georefererad karta.tif", "A 49306-2025")</f>
        <v/>
      </c>
      <c r="Z34">
        <f>HYPERLINK("https://klasma.github.io/Logging_1862/klagomål/A 49306-2025 FSC-klagomål.docx", "A 49306-2025")</f>
        <v/>
      </c>
      <c r="AA34">
        <f>HYPERLINK("https://klasma.github.io/Logging_1862/klagomålsmail/A 49306-2025 FSC-klagomål mail.docx", "A 49306-2025")</f>
        <v/>
      </c>
      <c r="AB34">
        <f>HYPERLINK("https://klasma.github.io/Logging_1862/tillsyn/A 49306-2025 tillsynsbegäran.docx", "A 49306-2025")</f>
        <v/>
      </c>
      <c r="AC34">
        <f>HYPERLINK("https://klasma.github.io/Logging_1862/tillsynsmail/A 49306-2025 tillsynsbegäran mail.docx", "A 49306-2025")</f>
        <v/>
      </c>
    </row>
    <row r="35" ht="15" customHeight="1">
      <c r="A35" t="inlineStr">
        <is>
          <t>A 38904-2023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46223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HYPERLINK("https://klasma.github.io/Logging_1862/artfynd/A 38904-2023 artfynd.xlsx", "A 38904-2023")</f>
        <v/>
      </c>
      <c r="W35">
        <f>HYPERLINK("https://klasma.github.io/Logging_1862/kartor/A 38904-2023 karta.png", "A 38904-2023")</f>
        <v/>
      </c>
      <c r="X35">
        <f>HYPERLINK("https://klasma.github.io/Logging_1862/kartor_geotiff/A 38904-2023 georefererad karta.tif", "A 38904-2023")</f>
        <v/>
      </c>
      <c r="Z35">
        <f>HYPERLINK("https://klasma.github.io/Logging_1862/klagomål/A 38904-2023 FSC-klagomål.docx", "A 38904-2023")</f>
        <v/>
      </c>
      <c r="AA35">
        <f>HYPERLINK("https://klasma.github.io/Logging_1862/klagomålsmail/A 38904-2023 FSC-klagomål mail.docx", "A 38904-2023")</f>
        <v/>
      </c>
      <c r="AB35">
        <f>HYPERLINK("https://klasma.github.io/Logging_1862/tillsyn/A 38904-2023 tillsynsbegäran.docx", "A 38904-2023")</f>
        <v/>
      </c>
      <c r="AC35">
        <f>HYPERLINK("https://klasma.github.io/Logging_1862/tillsynsmail/A 38904-2023 tillsynsbegäran mail.docx", "A 38904-2023")</f>
        <v/>
      </c>
      <c r="AD35">
        <f>HYPERLINK("https://klasma.github.io/Logging_1862/fåglar/A 38904-2023 prioriterade fågelarter.docx", "A 38904-2023")</f>
        <v/>
      </c>
    </row>
    <row r="36" ht="15" customHeight="1">
      <c r="A36" t="inlineStr">
        <is>
          <t>A 48285-2023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45205</v>
      </c>
      <c r="E36" s="1" t="n">
        <v>46223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Tjäder</t>
        </is>
      </c>
      <c r="V36">
        <f>HYPERLINK("https://klasma.github.io/Logging_1862/artfynd/A 48285-2023 artfynd.xlsx", "A 48285-2023")</f>
        <v/>
      </c>
      <c r="W36">
        <f>HYPERLINK("https://klasma.github.io/Logging_1862/kartor/A 48285-2023 karta.png", "A 48285-2023")</f>
        <v/>
      </c>
      <c r="X36">
        <f>HYPERLINK("https://klasma.github.io/Logging_1862/kartor_geotiff/A 48285-2023 georefererad karta.tif", "A 48285-2023")</f>
        <v/>
      </c>
      <c r="Z36">
        <f>HYPERLINK("https://klasma.github.io/Logging_1862/klagomål/A 48285-2023 FSC-klagomål.docx", "A 48285-2023")</f>
        <v/>
      </c>
      <c r="AA36">
        <f>HYPERLINK("https://klasma.github.io/Logging_1862/klagomålsmail/A 48285-2023 FSC-klagomål mail.docx", "A 48285-2023")</f>
        <v/>
      </c>
      <c r="AB36">
        <f>HYPERLINK("https://klasma.github.io/Logging_1862/tillsyn/A 48285-2023 tillsynsbegäran.docx", "A 48285-2023")</f>
        <v/>
      </c>
      <c r="AC36">
        <f>HYPERLINK("https://klasma.github.io/Logging_1862/tillsynsmail/A 48285-2023 tillsynsbegäran mail.docx", "A 48285-2023")</f>
        <v/>
      </c>
      <c r="AD36">
        <f>HYPERLINK("https://klasma.github.io/Logging_1862/fåglar/A 48285-2023 prioriterade fågelarter.docx", "A 48285-2023")</f>
        <v/>
      </c>
    </row>
    <row r="37" ht="15" customHeight="1">
      <c r="A37" t="inlineStr">
        <is>
          <t>A 47787-2025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46223</v>
      </c>
      <c r="F37" t="inlineStr">
        <is>
          <t>ÖREBRO LÄN</t>
        </is>
      </c>
      <c r="G37" t="inlineStr">
        <is>
          <t>DEGERFORS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s="2" t="inlineStr">
        <is>
          <t>Tretåig hackspett</t>
        </is>
      </c>
      <c r="V37">
        <f>HYPERLINK("https://klasma.github.io/Logging_1862/artfynd/A 47787-2025 artfynd.xlsx", "A 47787-2025")</f>
        <v/>
      </c>
      <c r="W37">
        <f>HYPERLINK("https://klasma.github.io/Logging_1862/kartor/A 47787-2025 karta.png", "A 47787-2025")</f>
        <v/>
      </c>
      <c r="X37">
        <f>HYPERLINK("https://klasma.github.io/Logging_1862/kartor_geotiff/A 47787-2025 georefererad karta.tif", "A 47787-2025")</f>
        <v/>
      </c>
      <c r="Z37">
        <f>HYPERLINK("https://klasma.github.io/Logging_1862/klagomål/A 47787-2025 FSC-klagomål.docx", "A 47787-2025")</f>
        <v/>
      </c>
      <c r="AA37">
        <f>HYPERLINK("https://klasma.github.io/Logging_1862/klagomålsmail/A 47787-2025 FSC-klagomål mail.docx", "A 47787-2025")</f>
        <v/>
      </c>
      <c r="AB37">
        <f>HYPERLINK("https://klasma.github.io/Logging_1862/tillsyn/A 47787-2025 tillsynsbegäran.docx", "A 47787-2025")</f>
        <v/>
      </c>
      <c r="AC37">
        <f>HYPERLINK("https://klasma.github.io/Logging_1862/tillsynsmail/A 47787-2025 tillsynsbegäran mail.docx", "A 47787-2025")</f>
        <v/>
      </c>
      <c r="AD37">
        <f>HYPERLINK("https://klasma.github.io/Logging_1862/fåglar/A 47787-2025 prioriterade fågelarter.docx", "A 47787-2025")</f>
        <v/>
      </c>
    </row>
    <row r="38" ht="15" customHeight="1">
      <c r="A38" t="inlineStr">
        <is>
          <t>A 14177-2026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46223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Motaggsvamp</t>
        </is>
      </c>
      <c r="V38">
        <f>HYPERLINK("https://klasma.github.io/Logging_1862/artfynd/A 14177-2026 artfynd.xlsx", "A 14177-2026")</f>
        <v/>
      </c>
      <c r="W38">
        <f>HYPERLINK("https://klasma.github.io/Logging_1862/kartor/A 14177-2026 karta.png", "A 14177-2026")</f>
        <v/>
      </c>
      <c r="X38">
        <f>HYPERLINK("https://klasma.github.io/Logging_1862/kartor_geotiff/A 14177-2026 georefererad karta.tif", "A 14177-2026")</f>
        <v/>
      </c>
      <c r="Z38">
        <f>HYPERLINK("https://klasma.github.io/Logging_1862/klagomål/A 14177-2026 FSC-klagomål.docx", "A 14177-2026")</f>
        <v/>
      </c>
      <c r="AA38">
        <f>HYPERLINK("https://klasma.github.io/Logging_1862/klagomålsmail/A 14177-2026 FSC-klagomål mail.docx", "A 14177-2026")</f>
        <v/>
      </c>
      <c r="AB38">
        <f>HYPERLINK("https://klasma.github.io/Logging_1862/tillsyn/A 14177-2026 tillsynsbegäran.docx", "A 14177-2026")</f>
        <v/>
      </c>
      <c r="AC38">
        <f>HYPERLINK("https://klasma.github.io/Logging_1862/tillsynsmail/A 14177-2026 tillsynsbegäran mail.docx", "A 14177-2026")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46223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Tjäder</t>
        </is>
      </c>
      <c r="V39">
        <f>HYPERLINK("https://klasma.github.io/Logging_1862/artfynd/A 27093-2023 artfynd.xlsx", "A 27093-2023")</f>
        <v/>
      </c>
      <c r="W39">
        <f>HYPERLINK("https://klasma.github.io/Logging_1862/kartor/A 27093-2023 karta.png", "A 27093-2023")</f>
        <v/>
      </c>
      <c r="X39">
        <f>HYPERLINK("https://klasma.github.io/Logging_1862/kartor_geotiff/A 27093-2023 georefererad karta.tif", "A 27093-2023")</f>
        <v/>
      </c>
      <c r="Z39">
        <f>HYPERLINK("https://klasma.github.io/Logging_1862/klagomål/A 27093-2023 FSC-klagomål.docx", "A 27093-2023")</f>
        <v/>
      </c>
      <c r="AA39">
        <f>HYPERLINK("https://klasma.github.io/Logging_1862/klagomålsmail/A 27093-2023 FSC-klagomål mail.docx", "A 27093-2023")</f>
        <v/>
      </c>
      <c r="AB39">
        <f>HYPERLINK("https://klasma.github.io/Logging_1862/tillsyn/A 27093-2023 tillsynsbegäran.docx", "A 27093-2023")</f>
        <v/>
      </c>
      <c r="AC39">
        <f>HYPERLINK("https://klasma.github.io/Logging_1862/tillsynsmail/A 27093-2023 tillsynsbegäran mail.docx", "A 27093-2023")</f>
        <v/>
      </c>
      <c r="AD39">
        <f>HYPERLINK("https://klasma.github.io/Logging_1862/fåglar/A 27093-2023 prioriterade fågelarter.docx", "A 27093-2023")</f>
        <v/>
      </c>
    </row>
    <row r="40" ht="15" customHeight="1">
      <c r="A40" t="inlineStr">
        <is>
          <t>A 38907-2023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45163</v>
      </c>
      <c r="E40" s="1" t="n">
        <v>46223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HYPERLINK("https://klasma.github.io/Logging_1862/artfynd/A 38907-2023 artfynd.xlsx", "A 38907-2023")</f>
        <v/>
      </c>
      <c r="W40">
        <f>HYPERLINK("https://klasma.github.io/Logging_1862/kartor/A 38907-2023 karta.png", "A 38907-2023")</f>
        <v/>
      </c>
      <c r="X40">
        <f>HYPERLINK("https://klasma.github.io/Logging_1862/kartor_geotiff/A 38907-2023 georefererad karta.tif", "A 38907-2023")</f>
        <v/>
      </c>
      <c r="Z40">
        <f>HYPERLINK("https://klasma.github.io/Logging_1862/klagomål/A 38907-2023 FSC-klagomål.docx", "A 38907-2023")</f>
        <v/>
      </c>
      <c r="AA40">
        <f>HYPERLINK("https://klasma.github.io/Logging_1862/klagomålsmail/A 38907-2023 FSC-klagomål mail.docx", "A 38907-2023")</f>
        <v/>
      </c>
      <c r="AB40">
        <f>HYPERLINK("https://klasma.github.io/Logging_1862/tillsyn/A 38907-2023 tillsynsbegäran.docx", "A 38907-2023")</f>
        <v/>
      </c>
      <c r="AC40">
        <f>HYPERLINK("https://klasma.github.io/Logging_1862/tillsynsmail/A 38907-2023 tillsynsbegäran mail.docx", "A 38907-2023")</f>
        <v/>
      </c>
      <c r="AD40">
        <f>HYPERLINK("https://klasma.github.io/Logging_1862/fåglar/A 38907-2023 prioriterade fågelarter.docx", "A 38907-2023")</f>
        <v/>
      </c>
    </row>
    <row r="41" ht="15" customHeight="1">
      <c r="A41" t="inlineStr">
        <is>
          <t>A 47941-2024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46223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Brunfläckig pärlemorfjäril</t>
        </is>
      </c>
      <c r="V41">
        <f>HYPERLINK("https://klasma.github.io/Logging_1862/artfynd/A 47941-2024 artfynd.xlsx", "A 47941-2024")</f>
        <v/>
      </c>
      <c r="W41">
        <f>HYPERLINK("https://klasma.github.io/Logging_1862/kartor/A 47941-2024 karta.png", "A 47941-2024")</f>
        <v/>
      </c>
      <c r="X41">
        <f>HYPERLINK("https://klasma.github.io/Logging_1862/kartor_geotiff/A 47941-2024 georefererad karta.tif", "A 47941-2024")</f>
        <v/>
      </c>
      <c r="Z41">
        <f>HYPERLINK("https://klasma.github.io/Logging_1862/klagomål/A 47941-2024 FSC-klagomål.docx", "A 47941-2024")</f>
        <v/>
      </c>
      <c r="AA41">
        <f>HYPERLINK("https://klasma.github.io/Logging_1862/klagomålsmail/A 47941-2024 FSC-klagomål mail.docx", "A 47941-2024")</f>
        <v/>
      </c>
      <c r="AB41">
        <f>HYPERLINK("https://klasma.github.io/Logging_1862/tillsyn/A 47941-2024 tillsynsbegäran.docx", "A 47941-2024")</f>
        <v/>
      </c>
      <c r="AC41">
        <f>HYPERLINK("https://klasma.github.io/Logging_1862/tillsynsmail/A 47941-2024 tillsynsbegäran mail.docx", "A 47941-2024")</f>
        <v/>
      </c>
    </row>
    <row r="42" ht="15" customHeight="1">
      <c r="A42" t="inlineStr">
        <is>
          <t>A 33297-2023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45116</v>
      </c>
      <c r="E42" s="1" t="n">
        <v>46223</v>
      </c>
      <c r="F42" t="inlineStr">
        <is>
          <t>ÖREBRO LÄN</t>
        </is>
      </c>
      <c r="G42" t="inlineStr">
        <is>
          <t>DEGERFORS</t>
        </is>
      </c>
      <c r="I42" t="n">
        <v>7.2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Igelkott</t>
        </is>
      </c>
      <c r="V42">
        <f>HYPERLINK("https://klasma.github.io/Logging_1862/artfynd/A 33297-2023 artfynd.xlsx", "A 33297-2023")</f>
        <v/>
      </c>
      <c r="W42">
        <f>HYPERLINK("https://klasma.github.io/Logging_1862/kartor/A 33297-2023 karta.png", "A 33297-2023")</f>
        <v/>
      </c>
      <c r="X42">
        <f>HYPERLINK("https://klasma.github.io/Logging_1862/kartor_geotiff/A 33297-2023 georefererad karta.tif", "A 33297-2023")</f>
        <v/>
      </c>
      <c r="Z42">
        <f>HYPERLINK("https://klasma.github.io/Logging_1862/klagomål/A 33297-2023 FSC-klagomål.docx", "A 33297-2023")</f>
        <v/>
      </c>
      <c r="AA42">
        <f>HYPERLINK("https://klasma.github.io/Logging_1862/klagomålsmail/A 33297-2023 FSC-klagomål mail.docx", "A 33297-2023")</f>
        <v/>
      </c>
      <c r="AB42">
        <f>HYPERLINK("https://klasma.github.io/Logging_1862/tillsyn/A 33297-2023 tillsynsbegäran.docx", "A 33297-2023")</f>
        <v/>
      </c>
      <c r="AC42">
        <f>HYPERLINK("https://klasma.github.io/Logging_1862/tillsynsmail/A 33297-2023 tillsynsbegäran mail.docx", "A 33297-2023")</f>
        <v/>
      </c>
    </row>
    <row r="43" ht="15" customHeight="1">
      <c r="A43" t="inlineStr">
        <is>
          <t>A 26971-2026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46223</v>
      </c>
      <c r="F43" t="inlineStr">
        <is>
          <t>ÖREBRO LÄN</t>
        </is>
      </c>
      <c r="G43" t="inlineStr">
        <is>
          <t>DEGERFORS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Stuplav</t>
        </is>
      </c>
      <c r="V43">
        <f>HYPERLINK("https://klasma.github.io/Logging_1862/artfynd/A 26971-2026 artfynd.xlsx", "A 26971-2026")</f>
        <v/>
      </c>
      <c r="W43">
        <f>HYPERLINK("https://klasma.github.io/Logging_1862/kartor/A 26971-2026 karta.png", "A 26971-2026")</f>
        <v/>
      </c>
      <c r="X43">
        <f>HYPERLINK("https://klasma.github.io/Logging_1862/kartor_geotiff/A 26971-2026 georefererad karta.tif", "A 26971-2026")</f>
        <v/>
      </c>
      <c r="Z43">
        <f>HYPERLINK("https://klasma.github.io/Logging_1862/klagomål/A 26971-2026 FSC-klagomål.docx", "A 26971-2026")</f>
        <v/>
      </c>
      <c r="AA43">
        <f>HYPERLINK("https://klasma.github.io/Logging_1862/klagomålsmail/A 26971-2026 FSC-klagomål mail.docx", "A 26971-2026")</f>
        <v/>
      </c>
      <c r="AB43">
        <f>HYPERLINK("https://klasma.github.io/Logging_1862/tillsyn/A 26971-2026 tillsynsbegäran.docx", "A 26971-2026")</f>
        <v/>
      </c>
      <c r="AC43">
        <f>HYPERLINK("https://klasma.github.io/Logging_1862/tillsynsmail/A 26971-2026 tillsynsbegäran mail.docx", "A 26971-2026")</f>
        <v/>
      </c>
    </row>
    <row r="44" ht="15" customHeight="1">
      <c r="A44" t="inlineStr">
        <is>
          <t>A 27071-2026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46223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Vedticka</t>
        </is>
      </c>
      <c r="V44">
        <f>HYPERLINK("https://klasma.github.io/Logging_1862/artfynd/A 27071-2026 artfynd.xlsx", "A 27071-2026")</f>
        <v/>
      </c>
      <c r="W44">
        <f>HYPERLINK("https://klasma.github.io/Logging_1862/kartor/A 27071-2026 karta.png", "A 27071-2026")</f>
        <v/>
      </c>
      <c r="X44">
        <f>HYPERLINK("https://klasma.github.io/Logging_1862/kartor_geotiff/A 27071-2026 georefererad karta.tif", "A 27071-2026")</f>
        <v/>
      </c>
      <c r="Z44">
        <f>HYPERLINK("https://klasma.github.io/Logging_1862/klagomål/A 27071-2026 FSC-klagomål.docx", "A 27071-2026")</f>
        <v/>
      </c>
      <c r="AA44">
        <f>HYPERLINK("https://klasma.github.io/Logging_1862/klagomålsmail/A 27071-2026 FSC-klagomål mail.docx", "A 27071-2026")</f>
        <v/>
      </c>
      <c r="AB44">
        <f>HYPERLINK("https://klasma.github.io/Logging_1862/tillsyn/A 27071-2026 tillsynsbegäran.docx", "A 27071-2026")</f>
        <v/>
      </c>
      <c r="AC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46223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7.6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Spillkråka</t>
        </is>
      </c>
      <c r="V45">
        <f>HYPERLINK("https://klasma.github.io/Logging_1862/artfynd/A 27072-2026 artfynd.xlsx", "A 27072-2026")</f>
        <v/>
      </c>
      <c r="W45">
        <f>HYPERLINK("https://klasma.github.io/Logging_1862/kartor/A 27072-2026 karta.png", "A 27072-2026")</f>
        <v/>
      </c>
      <c r="X45">
        <f>HYPERLINK("https://klasma.github.io/Logging_1862/kartor_geotiff/A 27072-2026 georefererad karta.tif", "A 27072-2026")</f>
        <v/>
      </c>
      <c r="Z45">
        <f>HYPERLINK("https://klasma.github.io/Logging_1862/klagomål/A 27072-2026 FSC-klagomål.docx", "A 27072-2026")</f>
        <v/>
      </c>
      <c r="AA45">
        <f>HYPERLINK("https://klasma.github.io/Logging_1862/klagomålsmail/A 27072-2026 FSC-klagomål mail.docx", "A 27072-2026")</f>
        <v/>
      </c>
      <c r="AB45">
        <f>HYPERLINK("https://klasma.github.io/Logging_1862/tillsyn/A 27072-2026 tillsynsbegäran.docx", "A 27072-2026")</f>
        <v/>
      </c>
      <c r="AC45">
        <f>HYPERLINK("https://klasma.github.io/Logging_1862/tillsynsmail/A 27072-2026 tillsynsbegäran mail.docx", "A 27072-2026")</f>
        <v/>
      </c>
      <c r="AD45">
        <f>HYPERLINK("https://klasma.github.io/Logging_1862/fåglar/A 27072-2026 prioriterade fågelarter.docx", "A 27072-2026")</f>
        <v/>
      </c>
    </row>
    <row r="46" ht="15" customHeight="1">
      <c r="A46" t="inlineStr">
        <is>
          <t>A 28976-2026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46223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Orange taggsvamp</t>
        </is>
      </c>
      <c r="V46">
        <f>HYPERLINK("https://klasma.github.io/Logging_1862/artfynd/A 28976-2026 artfynd.xlsx", "A 28976-2026")</f>
        <v/>
      </c>
      <c r="W46">
        <f>HYPERLINK("https://klasma.github.io/Logging_1862/kartor/A 28976-2026 karta.png", "A 28976-2026")</f>
        <v/>
      </c>
      <c r="X46">
        <f>HYPERLINK("https://klasma.github.io/Logging_1862/kartor_geotiff/A 28976-2026 georefererad karta.tif", "A 28976-2026")</f>
        <v/>
      </c>
      <c r="Z46">
        <f>HYPERLINK("https://klasma.github.io/Logging_1862/klagomål/A 28976-2026 FSC-klagomål.docx", "A 28976-2026")</f>
        <v/>
      </c>
      <c r="AA46">
        <f>HYPERLINK("https://klasma.github.io/Logging_1862/klagomålsmail/A 28976-2026 FSC-klagomål mail.docx", "A 28976-2026")</f>
        <v/>
      </c>
      <c r="AB46">
        <f>HYPERLINK("https://klasma.github.io/Logging_1862/tillsyn/A 28976-2026 tillsynsbegäran.docx", "A 28976-2026")</f>
        <v/>
      </c>
      <c r="AC46">
        <f>HYPERLINK("https://klasma.github.io/Logging_1862/tillsynsmail/A 28976-2026 tillsynsbegäran mail.docx", "A 28976-2026")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46223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Hårklomossa</t>
        </is>
      </c>
      <c r="V47">
        <f>HYPERLINK("https://klasma.github.io/Logging_1862/artfynd/A 14121-2022 artfynd.xlsx", "A 14121-2022")</f>
        <v/>
      </c>
      <c r="W47">
        <f>HYPERLINK("https://klasma.github.io/Logging_1862/kartor/A 14121-2022 karta.png", "A 14121-2022")</f>
        <v/>
      </c>
      <c r="X47">
        <f>HYPERLINK("https://klasma.github.io/Logging_1862/kartor_geotiff/A 14121-2022 georefererad karta.tif", "A 14121-2022")</f>
        <v/>
      </c>
      <c r="Z47">
        <f>HYPERLINK("https://klasma.github.io/Logging_1862/klagomål/A 14121-2022 FSC-klagomål.docx", "A 14121-2022")</f>
        <v/>
      </c>
      <c r="AA47">
        <f>HYPERLINK("https://klasma.github.io/Logging_1862/klagomålsmail/A 14121-2022 FSC-klagomål mail.docx", "A 14121-2022")</f>
        <v/>
      </c>
      <c r="AB47">
        <f>HYPERLINK("https://klasma.github.io/Logging_1862/tillsyn/A 14121-2022 tillsynsbegäran.docx", "A 14121-2022")</f>
        <v/>
      </c>
      <c r="AC47">
        <f>HYPERLINK("https://klasma.github.io/Logging_1862/tillsynsmail/A 14121-2022 tillsynsbegäran mail.docx", "A 14121-2022")</f>
        <v/>
      </c>
    </row>
    <row r="48" ht="15" customHeight="1">
      <c r="A48" t="inlineStr">
        <is>
          <t>A 2357-2022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46223</v>
      </c>
      <c r="F48" t="inlineStr">
        <is>
          <t>ÖREBRO LÄN</t>
        </is>
      </c>
      <c r="G48" t="inlineStr">
        <is>
          <t>DEGERFORS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Spillkråka</t>
        </is>
      </c>
      <c r="V48">
        <f>HYPERLINK("https://klasma.github.io/Logging_1862/artfynd/A 2357-2022 artfynd.xlsx", "A 2357-2022")</f>
        <v/>
      </c>
      <c r="W48">
        <f>HYPERLINK("https://klasma.github.io/Logging_1862/kartor/A 2357-2022 karta.png", "A 2357-2022")</f>
        <v/>
      </c>
      <c r="X48">
        <f>HYPERLINK("https://klasma.github.io/Logging_1862/kartor_geotiff/A 2357-2022 georefererad karta.tif", "A 2357-2022")</f>
        <v/>
      </c>
      <c r="Z48">
        <f>HYPERLINK("https://klasma.github.io/Logging_1862/klagomål/A 2357-2022 FSC-klagomål.docx", "A 2357-2022")</f>
        <v/>
      </c>
      <c r="AA48">
        <f>HYPERLINK("https://klasma.github.io/Logging_1862/klagomålsmail/A 2357-2022 FSC-klagomål mail.docx", "A 2357-2022")</f>
        <v/>
      </c>
      <c r="AB48">
        <f>HYPERLINK("https://klasma.github.io/Logging_1862/tillsyn/A 2357-2022 tillsynsbegäran.docx", "A 2357-2022")</f>
        <v/>
      </c>
      <c r="AC48">
        <f>HYPERLINK("https://klasma.github.io/Logging_1862/tillsynsmail/A 2357-2022 tillsynsbegäran mail.docx", "A 2357-2022")</f>
        <v/>
      </c>
      <c r="AD48">
        <f>HYPERLINK("https://klasma.github.io/Logging_1862/fåglar/A 2357-2022 prioriterade fågelarter.docx", "A 2357-2022")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46223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Spillkråka</t>
        </is>
      </c>
      <c r="V49">
        <f>HYPERLINK("https://klasma.github.io/Logging_1862/artfynd/A 53838-2024 artfynd.xlsx", "A 53838-2024")</f>
        <v/>
      </c>
      <c r="W49">
        <f>HYPERLINK("https://klasma.github.io/Logging_1862/kartor/A 53838-2024 karta.png", "A 53838-2024")</f>
        <v/>
      </c>
      <c r="X49">
        <f>HYPERLINK("https://klasma.github.io/Logging_1862/kartor_geotiff/A 53838-2024 georefererad karta.tif", "A 53838-2024")</f>
        <v/>
      </c>
      <c r="Z49">
        <f>HYPERLINK("https://klasma.github.io/Logging_1862/klagomål/A 53838-2024 FSC-klagomål.docx", "A 53838-2024")</f>
        <v/>
      </c>
      <c r="AA49">
        <f>HYPERLINK("https://klasma.github.io/Logging_1862/klagomålsmail/A 53838-2024 FSC-klagomål mail.docx", "A 53838-2024")</f>
        <v/>
      </c>
      <c r="AB49">
        <f>HYPERLINK("https://klasma.github.io/Logging_1862/tillsyn/A 53838-2024 tillsynsbegäran.docx", "A 53838-2024")</f>
        <v/>
      </c>
      <c r="AC49">
        <f>HYPERLINK("https://klasma.github.io/Logging_1862/tillsynsmail/A 53838-2024 tillsynsbegäran mail.docx", "A 53838-2024")</f>
        <v/>
      </c>
      <c r="AD49">
        <f>HYPERLINK("https://klasma.github.io/Logging_1862/fåglar/A 53838-2024 prioriterade fågelarter.docx", "A 53838-2024")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46223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46223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44396</v>
      </c>
      <c r="E52" s="1" t="n">
        <v>46223</v>
      </c>
      <c r="F52" t="inlineStr">
        <is>
          <t>ÖREBRO LÄN</t>
        </is>
      </c>
      <c r="G52" t="inlineStr">
        <is>
          <t>DEGERFORS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46223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46223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37302-2021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44397</v>
      </c>
      <c r="E55" s="1" t="n">
        <v>46223</v>
      </c>
      <c r="F55" t="inlineStr">
        <is>
          <t>ÖREBRO LÄN</t>
        </is>
      </c>
      <c r="G55" t="inlineStr">
        <is>
          <t>DEGERFORS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46223</v>
      </c>
      <c r="F56" t="inlineStr">
        <is>
          <t>ÖREBRO LÄN</t>
        </is>
      </c>
      <c r="G56" t="inlineStr">
        <is>
          <t>DEGERFORS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46223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46223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60889-2021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44497</v>
      </c>
      <c r="E59" s="1" t="n">
        <v>46223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46223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47569-2022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46223</v>
      </c>
      <c r="F61" t="inlineStr">
        <is>
          <t>ÖREBRO LÄN</t>
        </is>
      </c>
      <c r="G61" t="inlineStr">
        <is>
          <t>DEGERFORS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65456-2021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46223</v>
      </c>
      <c r="F62" t="inlineStr">
        <is>
          <t>ÖREBRO LÄN</t>
        </is>
      </c>
      <c r="G62" t="inlineStr">
        <is>
          <t>DEGERFORS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52457-2021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46223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12977-2022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44643</v>
      </c>
      <c r="E64" s="1" t="n">
        <v>46223</v>
      </c>
      <c r="F64" t="inlineStr">
        <is>
          <t>ÖREBRO LÄN</t>
        </is>
      </c>
      <c r="G64" t="inlineStr">
        <is>
          <t>DEGERFORS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46223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68578-2021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46223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67998-2021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46223</v>
      </c>
      <c r="F67" t="inlineStr">
        <is>
          <t>ÖREBRO LÄN</t>
        </is>
      </c>
      <c r="G67" t="inlineStr">
        <is>
          <t>DEGERFORS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46223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44505</v>
      </c>
      <c r="E69" s="1" t="n">
        <v>46223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6394-2024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45338</v>
      </c>
      <c r="E70" s="1" t="n">
        <v>46223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45861-2023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45195</v>
      </c>
      <c r="E71" s="1" t="n">
        <v>46223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46223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38743-2022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46223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13405-2024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45387</v>
      </c>
      <c r="E74" s="1" t="n">
        <v>46223</v>
      </c>
      <c r="F74" t="inlineStr">
        <is>
          <t>ÖREBRO LÄN</t>
        </is>
      </c>
      <c r="G74" t="inlineStr">
        <is>
          <t>DEGERFORS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26176-2024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45468</v>
      </c>
      <c r="E75" s="1" t="n">
        <v>46223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44582</v>
      </c>
      <c r="E76" s="1" t="n">
        <v>46223</v>
      </c>
      <c r="F76" t="inlineStr">
        <is>
          <t>ÖREBRO LÄN</t>
        </is>
      </c>
      <c r="G76" t="inlineStr">
        <is>
          <t>DEGERFORS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50378-2024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45601</v>
      </c>
      <c r="E77" s="1" t="n">
        <v>46223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10321-2023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44986</v>
      </c>
      <c r="E78" s="1" t="n">
        <v>46223</v>
      </c>
      <c r="F78" t="inlineStr">
        <is>
          <t>ÖREBRO LÄN</t>
        </is>
      </c>
      <c r="G78" t="inlineStr">
        <is>
          <t>DEGERFORS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57234-2024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46223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6387-2024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45338</v>
      </c>
      <c r="E80" s="1" t="n">
        <v>46223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26783-2025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45810</v>
      </c>
      <c r="E81" s="1" t="n">
        <v>46223</v>
      </c>
      <c r="F81" t="inlineStr">
        <is>
          <t>ÖREBRO LÄN</t>
        </is>
      </c>
      <c r="G81" t="inlineStr">
        <is>
          <t>DEGERFORS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59158-2022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44904</v>
      </c>
      <c r="E82" s="1" t="n">
        <v>46223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46223</v>
      </c>
      <c r="F83" t="inlineStr">
        <is>
          <t>ÖREBRO LÄN</t>
        </is>
      </c>
      <c r="G83" t="inlineStr">
        <is>
          <t>DEGERFORS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5277-2024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45330</v>
      </c>
      <c r="E84" s="1" t="n">
        <v>46223</v>
      </c>
      <c r="F84" t="inlineStr">
        <is>
          <t>ÖREBRO LÄN</t>
        </is>
      </c>
      <c r="G84" t="inlineStr">
        <is>
          <t>DEGERFORS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38874-2025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45887</v>
      </c>
      <c r="E85" s="1" t="n">
        <v>46223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38875-2025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46223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43768-2024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45569</v>
      </c>
      <c r="E87" s="1" t="n">
        <v>46223</v>
      </c>
      <c r="F87" t="inlineStr">
        <is>
          <t>ÖREBRO LÄN</t>
        </is>
      </c>
      <c r="G87" t="inlineStr">
        <is>
          <t>DEGERFORS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28367-2025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46223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28368-2025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46223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23066-2022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46223</v>
      </c>
      <c r="F90" t="inlineStr">
        <is>
          <t>ÖREBRO LÄN</t>
        </is>
      </c>
      <c r="G90" t="inlineStr">
        <is>
          <t>DEGERFORS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41766-2025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46223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41767-2025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45902</v>
      </c>
      <c r="E92" s="1" t="n">
        <v>46223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47935-2024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46223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21952-2024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45443</v>
      </c>
      <c r="E94" s="1" t="n">
        <v>46223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52566-2023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46223</v>
      </c>
      <c r="F95" t="inlineStr">
        <is>
          <t>ÖREBRO LÄN</t>
        </is>
      </c>
      <c r="G95" t="inlineStr">
        <is>
          <t>DEGERFORS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43691-2025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46223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43689-2025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46223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43694-2025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46223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62972-2023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46223</v>
      </c>
      <c r="F99" t="inlineStr">
        <is>
          <t>ÖREBRO LÄN</t>
        </is>
      </c>
      <c r="G99" t="inlineStr">
        <is>
          <t>DEGERFORS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33404-2025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46223</v>
      </c>
      <c r="F100" t="inlineStr">
        <is>
          <t>ÖREBRO LÄN</t>
        </is>
      </c>
      <c r="G100" t="inlineStr">
        <is>
          <t>DEGERFORS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50377-2024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45601</v>
      </c>
      <c r="E101" s="1" t="n">
        <v>46223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59863-2024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45639</v>
      </c>
      <c r="E102" s="1" t="n">
        <v>46223</v>
      </c>
      <c r="F102" t="inlineStr">
        <is>
          <t>ÖREBRO LÄN</t>
        </is>
      </c>
      <c r="G102" t="inlineStr">
        <is>
          <t>DEGERFORS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48625-2025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46223</v>
      </c>
      <c r="F103" t="inlineStr">
        <is>
          <t>ÖREBRO LÄN</t>
        </is>
      </c>
      <c r="G103" t="inlineStr">
        <is>
          <t>DEGERFORS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11085-2023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44986</v>
      </c>
      <c r="E104" s="1" t="n">
        <v>46223</v>
      </c>
      <c r="F104" t="inlineStr">
        <is>
          <t>ÖREBRO LÄN</t>
        </is>
      </c>
      <c r="G104" t="inlineStr">
        <is>
          <t>DEGERFORS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37333-2025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45876</v>
      </c>
      <c r="E105" s="1" t="n">
        <v>46223</v>
      </c>
      <c r="F105" t="inlineStr">
        <is>
          <t>ÖREBRO LÄN</t>
        </is>
      </c>
      <c r="G105" t="inlineStr">
        <is>
          <t>DEGERFORS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50764-2024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46223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37265-2025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45876</v>
      </c>
      <c r="E107" s="1" t="n">
        <v>46223</v>
      </c>
      <c r="F107" t="inlineStr">
        <is>
          <t>ÖREBRO LÄN</t>
        </is>
      </c>
      <c r="G107" t="inlineStr">
        <is>
          <t>DEGERFORS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15594-2025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45747</v>
      </c>
      <c r="E108" s="1" t="n">
        <v>46223</v>
      </c>
      <c r="F108" t="inlineStr">
        <is>
          <t>ÖREBRO LÄN</t>
        </is>
      </c>
      <c r="G108" t="inlineStr">
        <is>
          <t>DEGERFORS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51040-2025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46223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52099-2025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46223</v>
      </c>
      <c r="F110" t="inlineStr">
        <is>
          <t>ÖREBRO LÄN</t>
        </is>
      </c>
      <c r="G110" t="inlineStr">
        <is>
          <t>DEGERFORS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38921-2023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45163</v>
      </c>
      <c r="E111" s="1" t="n">
        <v>46223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63905-2021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46223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12148-2025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45729</v>
      </c>
      <c r="E113" s="1" t="n">
        <v>46223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55341-2025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46223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20577-2023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45057</v>
      </c>
      <c r="E115" s="1" t="n">
        <v>46223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10797-2023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44989</v>
      </c>
      <c r="E116" s="1" t="n">
        <v>46223</v>
      </c>
      <c r="F116" t="inlineStr">
        <is>
          <t>ÖREBRO LÄN</t>
        </is>
      </c>
      <c r="G116" t="inlineStr">
        <is>
          <t>DEGERFORS</t>
        </is>
      </c>
      <c r="I116" t="n">
        <v>9.5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44457-2022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44839</v>
      </c>
      <c r="E117" s="1" t="n">
        <v>46223</v>
      </c>
      <c r="F117" t="inlineStr">
        <is>
          <t>ÖREBRO LÄN</t>
        </is>
      </c>
      <c r="G117" t="inlineStr">
        <is>
          <t>DEGERFORS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9273-2026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46223</v>
      </c>
      <c r="F118" t="inlineStr">
        <is>
          <t>ÖREBRO LÄN</t>
        </is>
      </c>
      <c r="G118" t="inlineStr">
        <is>
          <t>DEGERFORS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57086-2025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45979</v>
      </c>
      <c r="E119" s="1" t="n">
        <v>46223</v>
      </c>
      <c r="F119" t="inlineStr">
        <is>
          <t>ÖREBRO LÄN</t>
        </is>
      </c>
      <c r="G119" t="inlineStr">
        <is>
          <t>DEGERFORS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29482-2023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45106</v>
      </c>
      <c r="E120" s="1" t="n">
        <v>46223</v>
      </c>
      <c r="F120" t="inlineStr">
        <is>
          <t>ÖREBRO LÄN</t>
        </is>
      </c>
      <c r="G120" t="inlineStr">
        <is>
          <t>DEGERFORS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12159-2026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46086</v>
      </c>
      <c r="E121" s="1" t="n">
        <v>46223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12160-2026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46086</v>
      </c>
      <c r="E122" s="1" t="n">
        <v>46223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13039-2026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46223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13040-2026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46223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12936-2026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46092</v>
      </c>
      <c r="E125" s="1" t="n">
        <v>46223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60524-2025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45995</v>
      </c>
      <c r="E126" s="1" t="n">
        <v>46223</v>
      </c>
      <c r="F126" t="inlineStr">
        <is>
          <t>ÖREBRO LÄN</t>
        </is>
      </c>
      <c r="G126" t="inlineStr">
        <is>
          <t>DEGERFORS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13293-2026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46094</v>
      </c>
      <c r="E127" s="1" t="n">
        <v>46223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60708-2025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45996</v>
      </c>
      <c r="E128" s="1" t="n">
        <v>46223</v>
      </c>
      <c r="F128" t="inlineStr">
        <is>
          <t>ÖREBRO LÄN</t>
        </is>
      </c>
      <c r="G128" t="inlineStr">
        <is>
          <t>DEGERFORS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60736-2025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46223</v>
      </c>
      <c r="F129" t="inlineStr">
        <is>
          <t>ÖREBRO LÄN</t>
        </is>
      </c>
      <c r="G129" t="inlineStr">
        <is>
          <t>DEGERFORS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13236-2025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45735</v>
      </c>
      <c r="E130" s="1" t="n">
        <v>46223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48118-2023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46223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38917-2023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46223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11084-2023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44986</v>
      </c>
      <c r="E133" s="1" t="n">
        <v>46223</v>
      </c>
      <c r="F133" t="inlineStr">
        <is>
          <t>ÖREBRO LÄN</t>
        </is>
      </c>
      <c r="G133" t="inlineStr">
        <is>
          <t>DEGERFORS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56478-2024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46223</v>
      </c>
      <c r="F134" t="inlineStr">
        <is>
          <t>ÖREBRO LÄN</t>
        </is>
      </c>
      <c r="G134" t="inlineStr">
        <is>
          <t>DEGERFORS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46027</v>
      </c>
      <c r="E135" s="1" t="n">
        <v>46223</v>
      </c>
      <c r="F135" t="inlineStr">
        <is>
          <t>ÖREBRO LÄN</t>
        </is>
      </c>
      <c r="G135" t="inlineStr">
        <is>
          <t>DEGERFORS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60933-2024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46223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61750-2021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44501</v>
      </c>
      <c r="E137" s="1" t="n">
        <v>46223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29607-2022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44754</v>
      </c>
      <c r="E138" s="1" t="n">
        <v>46223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45337</v>
      </c>
      <c r="E139" s="1" t="n">
        <v>46223</v>
      </c>
      <c r="F139" t="inlineStr">
        <is>
          <t>ÖREBRO LÄN</t>
        </is>
      </c>
      <c r="G139" t="inlineStr">
        <is>
          <t>DEGERFORS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33658-2024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45520</v>
      </c>
      <c r="E140" s="1" t="n">
        <v>46223</v>
      </c>
      <c r="F140" t="inlineStr">
        <is>
          <t>ÖREBRO LÄN</t>
        </is>
      </c>
      <c r="G140" t="inlineStr">
        <is>
          <t>DEGERFORS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38233-2023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45160</v>
      </c>
      <c r="E141" s="1" t="n">
        <v>46223</v>
      </c>
      <c r="F141" t="inlineStr">
        <is>
          <t>ÖREBRO LÄN</t>
        </is>
      </c>
      <c r="G141" t="inlineStr">
        <is>
          <t>DEGERFORS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18506-2026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46127</v>
      </c>
      <c r="E142" s="1" t="n">
        <v>46223</v>
      </c>
      <c r="F142" t="inlineStr">
        <is>
          <t>ÖREBRO LÄN</t>
        </is>
      </c>
      <c r="G142" t="inlineStr">
        <is>
          <t>DEGERFORS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50766-2024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45602</v>
      </c>
      <c r="E143" s="1" t="n">
        <v>46223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19227-2026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46132</v>
      </c>
      <c r="E144" s="1" t="n">
        <v>46223</v>
      </c>
      <c r="F144" t="inlineStr">
        <is>
          <t>ÖREBRO LÄN</t>
        </is>
      </c>
      <c r="G144" t="inlineStr">
        <is>
          <t>DEGERFORS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18913-2026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46223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50207-2024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46223</v>
      </c>
      <c r="F146" t="inlineStr">
        <is>
          <t>ÖREBRO LÄN</t>
        </is>
      </c>
      <c r="G146" t="inlineStr">
        <is>
          <t>DEGERFORS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50208-2024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46223</v>
      </c>
      <c r="F147" t="inlineStr">
        <is>
          <t>ÖREBRO LÄN</t>
        </is>
      </c>
      <c r="G147" t="inlineStr">
        <is>
          <t>DEGERFORS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43752-2025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46223</v>
      </c>
      <c r="F148" t="inlineStr">
        <is>
          <t>ÖREBRO LÄN</t>
        </is>
      </c>
      <c r="G148" t="inlineStr">
        <is>
          <t>DEGERFORS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20476-2026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46223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12143-2025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45729</v>
      </c>
      <c r="E150" s="1" t="n">
        <v>46223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52523-2024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46223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8184-2022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46223</v>
      </c>
      <c r="F152" t="inlineStr">
        <is>
          <t>ÖREBRO LÄN</t>
        </is>
      </c>
      <c r="G152" t="inlineStr">
        <is>
          <t>DEGERFORS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60937-2024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46223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60940-2024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46223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54082-2024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45616</v>
      </c>
      <c r="E155" s="1" t="n">
        <v>46223</v>
      </c>
      <c r="F155" t="inlineStr">
        <is>
          <t>ÖREBRO LÄN</t>
        </is>
      </c>
      <c r="G155" t="inlineStr">
        <is>
          <t>DEGERFORS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20478-2026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46223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44807-2023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45190</v>
      </c>
      <c r="E157" s="1" t="n">
        <v>46223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51652-2023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45222</v>
      </c>
      <c r="E158" s="1" t="n">
        <v>46223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20567-2026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46140</v>
      </c>
      <c r="E159" s="1" t="n">
        <v>46223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20568-2026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46140</v>
      </c>
      <c r="E160" s="1" t="n">
        <v>46223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33293-2023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45116</v>
      </c>
      <c r="E161" s="1" t="n">
        <v>46223</v>
      </c>
      <c r="F161" t="inlineStr">
        <is>
          <t>ÖREBRO LÄN</t>
        </is>
      </c>
      <c r="G161" t="inlineStr">
        <is>
          <t>DEGERFORS</t>
        </is>
      </c>
      <c r="I161" t="n">
        <v>17.2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32154-2023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46223</v>
      </c>
      <c r="F162" t="inlineStr">
        <is>
          <t>ÖREBRO LÄN</t>
        </is>
      </c>
      <c r="G162" t="inlineStr">
        <is>
          <t>DEGERFORS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26857-2026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46223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26946-2026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46223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26947-2026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46223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21402-2026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46223</v>
      </c>
      <c r="F166" t="inlineStr">
        <is>
          <t>ÖREBRO LÄN</t>
        </is>
      </c>
      <c r="G166" t="inlineStr">
        <is>
          <t>DEGERFORS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21440-2026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46148</v>
      </c>
      <c r="E167" s="1" t="n">
        <v>46223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8062-2024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45351</v>
      </c>
      <c r="E168" s="1" t="n">
        <v>46223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8074-2024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45351</v>
      </c>
      <c r="E169" s="1" t="n">
        <v>46223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21442-2026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46148</v>
      </c>
      <c r="E170" s="1" t="n">
        <v>46223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60907-2023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45261</v>
      </c>
      <c r="E171" s="1" t="n">
        <v>46223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27411-2026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46223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27663-2026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46190</v>
      </c>
      <c r="E173" s="1" t="n">
        <v>46223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27668-2026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46190</v>
      </c>
      <c r="E174" s="1" t="n">
        <v>46223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21401-2026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46223</v>
      </c>
      <c r="F175" t="inlineStr">
        <is>
          <t>ÖREBRO LÄN</t>
        </is>
      </c>
      <c r="G175" t="inlineStr">
        <is>
          <t>DEGERFORS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27671-2026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46190</v>
      </c>
      <c r="E176" s="1" t="n">
        <v>46223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27745-2026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46191</v>
      </c>
      <c r="E177" s="1" t="n">
        <v>46223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27746-2026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46191</v>
      </c>
      <c r="E178" s="1" t="n">
        <v>46223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32211-2022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44781</v>
      </c>
      <c r="E179" s="1" t="n">
        <v>46223</v>
      </c>
      <c r="F179" t="inlineStr">
        <is>
          <t>ÖREBRO LÄN</t>
        </is>
      </c>
      <c r="G179" t="inlineStr">
        <is>
          <t>DEGERFORS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21660-2026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46223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21663-2026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46223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21662-2026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46149</v>
      </c>
      <c r="E182" s="1" t="n">
        <v>46223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28789-2026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46195</v>
      </c>
      <c r="E183" s="1" t="n">
        <v>46223</v>
      </c>
      <c r="F183" t="inlineStr">
        <is>
          <t>ÖREBRO LÄN</t>
        </is>
      </c>
      <c r="G183" t="inlineStr">
        <is>
          <t>DEGERFORS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28695-2026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46223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44841-2023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45190</v>
      </c>
      <c r="E185" s="1" t="n">
        <v>46223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46222-2024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46223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28708-2026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46223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73693-2021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44552</v>
      </c>
      <c r="E188" s="1" t="n">
        <v>46223</v>
      </c>
      <c r="F188" t="inlineStr">
        <is>
          <t>ÖREBRO LÄN</t>
        </is>
      </c>
      <c r="G188" t="inlineStr">
        <is>
          <t>DEGERFORS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46219-2024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45581</v>
      </c>
      <c r="E189" s="1" t="n">
        <v>46223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36437-2024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45535</v>
      </c>
      <c r="E190" s="1" t="n">
        <v>46223</v>
      </c>
      <c r="F190" t="inlineStr">
        <is>
          <t>ÖREBRO LÄN</t>
        </is>
      </c>
      <c r="G190" t="inlineStr">
        <is>
          <t>DEGERFORS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28696-2026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46223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46202</v>
      </c>
      <c r="E192" s="1" t="n">
        <v>46223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29130-2026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46223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45365-2023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45192</v>
      </c>
      <c r="E194" s="1" t="n">
        <v>46223</v>
      </c>
      <c r="F194" t="inlineStr">
        <is>
          <t>ÖREBRO LÄN</t>
        </is>
      </c>
      <c r="G194" t="inlineStr">
        <is>
          <t>DEGERFORS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52131-2021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44463</v>
      </c>
      <c r="E195" s="1" t="n">
        <v>46223</v>
      </c>
      <c r="F195" t="inlineStr">
        <is>
          <t>ÖREBRO LÄN</t>
        </is>
      </c>
      <c r="G195" t="inlineStr">
        <is>
          <t>DEGERFORS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37672-2024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45541</v>
      </c>
      <c r="E196" s="1" t="n">
        <v>46223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28930-2026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46199</v>
      </c>
      <c r="E197" s="1" t="n">
        <v>46223</v>
      </c>
      <c r="F197" t="inlineStr">
        <is>
          <t>ÖREBRO LÄN</t>
        </is>
      </c>
      <c r="G197" t="inlineStr">
        <is>
          <t>DEGERFORS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44735-2021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44438</v>
      </c>
      <c r="E198" s="1" t="n">
        <v>46223</v>
      </c>
      <c r="F198" t="inlineStr">
        <is>
          <t>ÖREBRO LÄN</t>
        </is>
      </c>
      <c r="G198" t="inlineStr">
        <is>
          <t>DEGERFORS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14678-2025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45742</v>
      </c>
      <c r="E199" s="1" t="n">
        <v>46223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23230-2026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46162</v>
      </c>
      <c r="E200" s="1" t="n">
        <v>46223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23229-2026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46223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2565-2022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44579</v>
      </c>
      <c r="E202" s="1" t="n">
        <v>46223</v>
      </c>
      <c r="F202" t="inlineStr">
        <is>
          <t>ÖREBRO LÄN</t>
        </is>
      </c>
      <c r="G202" t="inlineStr">
        <is>
          <t>DEGERFORS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29552-2026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46204</v>
      </c>
      <c r="E203" s="1" t="n">
        <v>46223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10674-2024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45369</v>
      </c>
      <c r="E204" s="1" t="n">
        <v>46223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18773-2025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46223</v>
      </c>
      <c r="F205" t="inlineStr">
        <is>
          <t>ÖREBRO LÄN</t>
        </is>
      </c>
      <c r="G205" t="inlineStr">
        <is>
          <t>DEGERFORS</t>
        </is>
      </c>
      <c r="I205" t="n">
        <v>13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23854-2026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46167</v>
      </c>
      <c r="E206" s="1" t="n">
        <v>46223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51653-2023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45222</v>
      </c>
      <c r="E207" s="1" t="n">
        <v>46223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12108-2024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45376</v>
      </c>
      <c r="E208" s="1" t="n">
        <v>46223</v>
      </c>
      <c r="F208" t="inlineStr">
        <is>
          <t>ÖREBRO LÄN</t>
        </is>
      </c>
      <c r="G208" t="inlineStr">
        <is>
          <t>DEGERFORS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54994-2024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46223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24462-2026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46223</v>
      </c>
      <c r="F210" t="inlineStr">
        <is>
          <t>ÖREBRO LÄN</t>
        </is>
      </c>
      <c r="G210" t="inlineStr">
        <is>
          <t>DEGERFORS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24689-2026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46171</v>
      </c>
      <c r="E211" s="1" t="n">
        <v>46223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24460-2026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46223</v>
      </c>
      <c r="F212" t="inlineStr">
        <is>
          <t>ÖREBRO LÄN</t>
        </is>
      </c>
      <c r="G212" t="inlineStr">
        <is>
          <t>DEGERFORS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8059-2024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45351</v>
      </c>
      <c r="E213" s="1" t="n">
        <v>46223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54515-2023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45233</v>
      </c>
      <c r="E214" s="1" t="n">
        <v>46223</v>
      </c>
      <c r="F214" t="inlineStr">
        <is>
          <t>ÖREBRO LÄN</t>
        </is>
      </c>
      <c r="G214" t="inlineStr">
        <is>
          <t>DEGERFORS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38738-2022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44816</v>
      </c>
      <c r="E215" s="1" t="n">
        <v>46223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12729-2024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45384</v>
      </c>
      <c r="E216" s="1" t="n">
        <v>46223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10320-2023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46223</v>
      </c>
      <c r="F217" t="inlineStr">
        <is>
          <t>ÖREBRO LÄN</t>
        </is>
      </c>
      <c r="G217" t="inlineStr">
        <is>
          <t>DEGERFORS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7472-2025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45705</v>
      </c>
      <c r="E218" s="1" t="n">
        <v>46223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7975-2025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46223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18831-2025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46223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58629-2024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46223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27438-2024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46223</v>
      </c>
      <c r="F222" t="inlineStr">
        <is>
          <t>ÖREBRO LÄN</t>
        </is>
      </c>
      <c r="G222" t="inlineStr">
        <is>
          <t>DEGERFORS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50102-2023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46223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51996-2023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46223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62982-2023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45272</v>
      </c>
      <c r="E225" s="1" t="n">
        <v>46223</v>
      </c>
      <c r="F225" t="inlineStr">
        <is>
          <t>ÖREBRO LÄN</t>
        </is>
      </c>
      <c r="G225" t="inlineStr">
        <is>
          <t>DEGERFORS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46223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21935-2024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45443</v>
      </c>
      <c r="E227" s="1" t="n">
        <v>46223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23460-2024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45453</v>
      </c>
      <c r="E228" s="1" t="n">
        <v>46223</v>
      </c>
      <c r="F228" t="inlineStr">
        <is>
          <t>ÖREBRO LÄN</t>
        </is>
      </c>
      <c r="G228" t="inlineStr">
        <is>
          <t>DEGERFORS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45330</v>
      </c>
      <c r="E229" s="1" t="n">
        <v>46223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24707-2025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45798</v>
      </c>
      <c r="E230" s="1" t="n">
        <v>46223</v>
      </c>
      <c r="F230" t="inlineStr">
        <is>
          <t>ÖREBRO LÄN</t>
        </is>
      </c>
      <c r="G230" t="inlineStr">
        <is>
          <t>DEGERFORS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479-2022</t>
        </is>
      </c>
      <c r="B231" t="inlineStr">
        <is>
          <t>samrådsanmälan</t>
        </is>
      </c>
      <c r="C231" t="inlineStr">
        <is>
          <t>Skogsbilväg</t>
        </is>
      </c>
      <c r="D231" s="1" t="n">
        <v>44587</v>
      </c>
      <c r="E231" s="1" t="n">
        <v>46223</v>
      </c>
      <c r="F231" t="inlineStr">
        <is>
          <t>ÖREBRO LÄN</t>
        </is>
      </c>
      <c r="G231" t="inlineStr">
        <is>
          <t>DEGERFORS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1697-2025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45805</v>
      </c>
      <c r="E232" s="1" t="n">
        <v>46223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1694-2025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46223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794-2025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45729</v>
      </c>
      <c r="E234" s="1" t="n">
        <v>46223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793-2025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46223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963-2025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45742</v>
      </c>
      <c r="E236" s="1" t="n">
        <v>46223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964-2025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46223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>
      <c r="A238" t="inlineStr">
        <is>
          <t>S 2595-2025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45916</v>
      </c>
      <c r="E238" s="1" t="n">
        <v>46223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2026-07-20T01:50:47Z</dcterms:created>
  <dcterms:modified xmlns:dcterms="http://purl.org/dc/terms/" xmlns:xsi="http://www.w3.org/2001/XMLSchema-instance" xsi:type="dcterms:W3CDTF">2026-07-20T01:50:47Z</dcterms:modified>
</cp:coreProperties>
</file>