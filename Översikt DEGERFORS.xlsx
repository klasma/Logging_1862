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46318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46318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46318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46318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46318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46318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46318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46318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46318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12719-2024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45384</v>
      </c>
      <c r="E11" s="1" t="n">
        <v>46318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11.7</v>
      </c>
      <c r="J11" t="n">
        <v>5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8</v>
      </c>
      <c r="T11" t="n">
        <v>22</v>
      </c>
      <c r="U11" t="n">
        <v>21</v>
      </c>
      <c r="V11" s="2" t="inlineStr">
        <is>
          <t>Jungfrulin
Motaggsvamp
Nordfladdermus
Svinrot
Tretåig hackspett
Tjäder
Åkergroda
Fläcknycklar</t>
        </is>
      </c>
      <c r="W11">
        <f>HYPERLINK("https://klasma.github.io/Logging_1862/artfynd/A 12719-2024 artfynd.xlsx", "A 12719-2024")</f>
        <v/>
      </c>
      <c r="X11">
        <f>HYPERLINK("https://klasma.github.io/Logging_1862/kartor/A 12719-2024 karta.png", "A 12719-2024")</f>
        <v/>
      </c>
      <c r="Y11">
        <f>HYPERLINK("https://klasma.github.io/Logging_1862/kartor_geotiff/A 12719-2024 georefererad karta.tif", "A 12719-2024")</f>
        <v/>
      </c>
      <c r="AA11">
        <f>HYPERLINK("https://klasma.github.io/Logging_1862/klagomål/A 12719-2024 FSC-klagomål.docx", "A 12719-2024")</f>
        <v/>
      </c>
      <c r="AB11">
        <f>HYPERLINK("https://klasma.github.io/Logging_1862/klagomålsmail/A 12719-2024 FSC-klagomål mail.docx", "A 12719-2024")</f>
        <v/>
      </c>
      <c r="AC11">
        <f>HYPERLINK("https://klasma.github.io/Logging_1862/tillsyn/A 12719-2024 tillsynsbegäran.docx", "A 12719-2024")</f>
        <v/>
      </c>
      <c r="AD11">
        <f>HYPERLINK("https://klasma.github.io/Logging_1862/tillsynsmail/A 12719-2024 tillsynsbegäran mail.docx", "A 12719-2024")</f>
        <v/>
      </c>
      <c r="AE11">
        <f>HYPERLINK("https://klasma.github.io/Logging_1862/fåglar/A 12719-2024 prioriterade fågelarter.docx", "A 12719-2024")</f>
        <v/>
      </c>
    </row>
    <row r="12" ht="15" customHeight="1">
      <c r="A12" t="inlineStr">
        <is>
          <t>A 22868-2026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46318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3.3</v>
      </c>
      <c r="J12" t="n">
        <v>7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8</v>
      </c>
      <c r="T12" t="n">
        <v>11</v>
      </c>
      <c r="U12" t="n">
        <v>11</v>
      </c>
      <c r="V12" s="2" t="inlineStr">
        <is>
          <t>Björktrast
Nordfladdermus
Talltita
Grönpyrola
Nattskärra
Spillkråka
Tjäder
Tofsmes</t>
        </is>
      </c>
      <c r="W12">
        <f>HYPERLINK("https://klasma.github.io/Logging_1862/artfynd/A 22868-2026 artfynd.xlsx", "A 22868-2026")</f>
        <v/>
      </c>
      <c r="X12">
        <f>HYPERLINK("https://klasma.github.io/Logging_1862/kartor/A 22868-2026 karta.png", "A 22868-2026")</f>
        <v/>
      </c>
      <c r="Y12">
        <f>HYPERLINK("https://klasma.github.io/Logging_1862/kartor_geotiff/A 22868-2026 georefererad karta.tif", "A 22868-2026")</f>
        <v/>
      </c>
      <c r="AA12">
        <f>HYPERLINK("https://klasma.github.io/Logging_1862/klagomål/A 22868-2026 FSC-klagomål.docx", "A 22868-2026")</f>
        <v/>
      </c>
      <c r="AB12">
        <f>HYPERLINK("https://klasma.github.io/Logging_1862/klagomålsmail/A 22868-2026 FSC-klagomål mail.docx", "A 22868-2026")</f>
        <v/>
      </c>
      <c r="AC12">
        <f>HYPERLINK("https://klasma.github.io/Logging_1862/tillsyn/A 22868-2026 tillsynsbegäran.docx", "A 22868-2026")</f>
        <v/>
      </c>
      <c r="AD12">
        <f>HYPERLINK("https://klasma.github.io/Logging_1862/tillsynsmail/A 22868-2026 tillsynsbegäran mail.docx", "A 22868-2026")</f>
        <v/>
      </c>
      <c r="AE12">
        <f>HYPERLINK("https://klasma.github.io/Logging_1862/fåglar/A 22868-2026 prioriterade fågelarter.docx", "A 22868-2026")</f>
        <v/>
      </c>
    </row>
    <row r="13" ht="15" customHeight="1">
      <c r="A13" t="inlineStr">
        <is>
          <t>A 12721-2024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46318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3.5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Kolflarnlav
Tretåig hackspett
Vaddporing
Flagellkvastmossa
Spillkråka
Tjäder
Fläcknycklar</t>
        </is>
      </c>
      <c r="W13">
        <f>HYPERLINK("https://klasma.github.io/Logging_1862/artfynd/A 12721-2024 artfynd.xlsx", "A 12721-2024")</f>
        <v/>
      </c>
      <c r="X13">
        <f>HYPERLINK("https://klasma.github.io/Logging_1862/kartor/A 12721-2024 karta.png", "A 12721-2024")</f>
        <v/>
      </c>
      <c r="Y13">
        <f>HYPERLINK("https://klasma.github.io/Logging_1862/kartor_geotiff/A 12721-2024 georefererad karta.tif", "A 12721-2024")</f>
        <v/>
      </c>
      <c r="AA13">
        <f>HYPERLINK("https://klasma.github.io/Logging_1862/klagomål/A 12721-2024 FSC-klagomål.docx", "A 12721-2024")</f>
        <v/>
      </c>
      <c r="AB13">
        <f>HYPERLINK("https://klasma.github.io/Logging_1862/klagomålsmail/A 12721-2024 FSC-klagomål mail.docx", "A 12721-2024")</f>
        <v/>
      </c>
      <c r="AC13">
        <f>HYPERLINK("https://klasma.github.io/Logging_1862/tillsyn/A 12721-2024 tillsynsbegäran.docx", "A 12721-2024")</f>
        <v/>
      </c>
      <c r="AD13">
        <f>HYPERLINK("https://klasma.github.io/Logging_1862/tillsynsmail/A 12721-2024 tillsynsbegäran mail.docx", "A 12721-2024")</f>
        <v/>
      </c>
      <c r="AE13">
        <f>HYPERLINK("https://klasma.github.io/Logging_1862/fåglar/A 12721-2024 prioriterade fågelarter.docx", "A 12721-2024")</f>
        <v/>
      </c>
    </row>
    <row r="14" ht="15" customHeight="1">
      <c r="A14" t="inlineStr">
        <is>
          <t>A 73321-2021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44550</v>
      </c>
      <c r="E14" s="1" t="n">
        <v>46318</v>
      </c>
      <c r="F14" t="inlineStr">
        <is>
          <t>ÖREBRO LÄN</t>
        </is>
      </c>
      <c r="G14" t="inlineStr">
        <is>
          <t>DEGERFORS</t>
        </is>
      </c>
      <c r="I14" t="n">
        <v>17</v>
      </c>
      <c r="J14" t="n">
        <v>3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8</v>
      </c>
      <c r="U14" t="n">
        <v>8</v>
      </c>
      <c r="V14" s="2" t="inlineStr">
        <is>
          <t>Knärot
Grynig filtlav
Gulsparv
Rynkskinn
Vedticka
Spillkråka</t>
        </is>
      </c>
      <c r="W14">
        <f>HYPERLINK("https://klasma.github.io/Logging_1862/artfynd/A 73321-2021 artfynd.xlsx", "A 73321-2021")</f>
        <v/>
      </c>
      <c r="X14">
        <f>HYPERLINK("https://klasma.github.io/Logging_1862/kartor/A 73321-2021 karta.png", "A 73321-2021")</f>
        <v/>
      </c>
      <c r="Y14">
        <f>HYPERLINK("https://klasma.github.io/Logging_1862/kartor_geotiff/A 73321-2021 georefererad karta.tif", "A 73321-2021")</f>
        <v/>
      </c>
      <c r="Z14">
        <f>HYPERLINK("https://klasma.github.io/Logging_1862/knärot/A 73321-2021 karta knärot.png", "A 73321-2021")</f>
        <v/>
      </c>
      <c r="AA14">
        <f>HYPERLINK("https://klasma.github.io/Logging_1862/klagomål/A 73321-2021 FSC-klagomål.docx", "A 73321-2021")</f>
        <v/>
      </c>
      <c r="AB14">
        <f>HYPERLINK("https://klasma.github.io/Logging_1862/klagomålsmail/A 73321-2021 FSC-klagomål mail.docx", "A 73321-2021")</f>
        <v/>
      </c>
      <c r="AC14">
        <f>HYPERLINK("https://klasma.github.io/Logging_1862/tillsyn/A 73321-2021 tillsynsbegäran.docx", "A 73321-2021")</f>
        <v/>
      </c>
      <c r="AD14">
        <f>HYPERLINK("https://klasma.github.io/Logging_1862/tillsynsmail/A 73321-2021 tillsynsbegäran mail.docx", "A 73321-2021")</f>
        <v/>
      </c>
      <c r="AE14">
        <f>HYPERLINK("https://klasma.github.io/Logging_1862/fåglar/A 73321-2021 prioriterade fågelarter.docx", "A 73321-2021")</f>
        <v/>
      </c>
    </row>
    <row r="15" ht="15" customHeight="1">
      <c r="A15" t="inlineStr">
        <is>
          <t>A 38916-2023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46318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4.3</v>
      </c>
      <c r="J15" t="n">
        <v>3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27</v>
      </c>
      <c r="U15" t="n">
        <v>27</v>
      </c>
      <c r="V15" s="2" t="inlineStr">
        <is>
          <t>Tretåig hackspett
Grönpyrola
Thomsons trägnagare
Vågbandad barkbock
Spillkråka
Tjäder</t>
        </is>
      </c>
      <c r="W15">
        <f>HYPERLINK("https://klasma.github.io/Logging_1862/artfynd/A 38916-2023 artfynd.xlsx", "A 38916-2023")</f>
        <v/>
      </c>
      <c r="X15">
        <f>HYPERLINK("https://klasma.github.io/Logging_1862/kartor/A 38916-2023 karta.png", "A 38916-2023")</f>
        <v/>
      </c>
      <c r="Y15">
        <f>HYPERLINK("https://klasma.github.io/Logging_1862/kartor_geotiff/A 38916-2023 georefererad karta.tif", "A 38916-2023")</f>
        <v/>
      </c>
      <c r="AA15">
        <f>HYPERLINK("https://klasma.github.io/Logging_1862/klagomål/A 38916-2023 FSC-klagomål.docx", "A 38916-2023")</f>
        <v/>
      </c>
      <c r="AB15">
        <f>HYPERLINK("https://klasma.github.io/Logging_1862/klagomålsmail/A 38916-2023 FSC-klagomål mail.docx", "A 38916-2023")</f>
        <v/>
      </c>
      <c r="AC15">
        <f>HYPERLINK("https://klasma.github.io/Logging_1862/tillsyn/A 38916-2023 tillsynsbegäran.docx", "A 38916-2023")</f>
        <v/>
      </c>
      <c r="AD15">
        <f>HYPERLINK("https://klasma.github.io/Logging_1862/tillsynsmail/A 38916-2023 tillsynsbegäran mail.docx", "A 38916-2023")</f>
        <v/>
      </c>
      <c r="AE15">
        <f>HYPERLINK("https://klasma.github.io/Logging_1862/fåglar/A 38916-2023 prioriterade fågelarter.docx", "A 38916-2023")</f>
        <v/>
      </c>
    </row>
    <row r="16" ht="15" customHeight="1">
      <c r="A16" t="inlineStr">
        <is>
          <t>A 41520-2023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45175</v>
      </c>
      <c r="E16" s="1" t="n">
        <v>46318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3</v>
      </c>
      <c r="J16" t="n">
        <v>3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26</v>
      </c>
      <c r="U16" t="n">
        <v>26</v>
      </c>
      <c r="V16" s="2" t="inlineStr">
        <is>
          <t>Tretåig hackspett
Grönpyrola
Mindre märgborre
Spillkråka
Tjäder</t>
        </is>
      </c>
      <c r="W16">
        <f>HYPERLINK("https://klasma.github.io/Logging_1862/artfynd/A 41520-2023 artfynd.xlsx", "A 41520-2023")</f>
        <v/>
      </c>
      <c r="X16">
        <f>HYPERLINK("https://klasma.github.io/Logging_1862/kartor/A 41520-2023 karta.png", "A 41520-2023")</f>
        <v/>
      </c>
      <c r="Y16">
        <f>HYPERLINK("https://klasma.github.io/Logging_1862/kartor_geotiff/A 41520-2023 georefererad karta.tif", "A 41520-2023")</f>
        <v/>
      </c>
      <c r="AA16">
        <f>HYPERLINK("https://klasma.github.io/Logging_1862/klagomål/A 41520-2023 FSC-klagomål.docx", "A 41520-2023")</f>
        <v/>
      </c>
      <c r="AB16">
        <f>HYPERLINK("https://klasma.github.io/Logging_1862/klagomålsmail/A 41520-2023 FSC-klagomål mail.docx", "A 41520-2023")</f>
        <v/>
      </c>
      <c r="AC16">
        <f>HYPERLINK("https://klasma.github.io/Logging_1862/tillsyn/A 41520-2023 tillsynsbegäran.docx", "A 41520-2023")</f>
        <v/>
      </c>
      <c r="AD16">
        <f>HYPERLINK("https://klasma.github.io/Logging_1862/tillsynsmail/A 41520-2023 tillsynsbegäran mail.docx", "A 41520-2023")</f>
        <v/>
      </c>
      <c r="AE16">
        <f>HYPERLINK("https://klasma.github.io/Logging_1862/fåglar/A 41520-2023 prioriterade fågelarter.docx", "A 41520-2023")</f>
        <v/>
      </c>
    </row>
    <row r="17" ht="15" customHeight="1">
      <c r="A17" t="inlineStr">
        <is>
          <t>A 36081-2025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45866</v>
      </c>
      <c r="E17" s="1" t="n">
        <v>46318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1.5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Jungfrulin
Skogsklocka
Svinrot
Springkorn</t>
        </is>
      </c>
      <c r="W17">
        <f>HYPERLINK("https://klasma.github.io/Logging_1862/artfynd/A 36081-2025 artfynd.xlsx", "A 36081-2025")</f>
        <v/>
      </c>
      <c r="X17">
        <f>HYPERLINK("https://klasma.github.io/Logging_1862/kartor/A 36081-2025 karta.png", "A 36081-2025")</f>
        <v/>
      </c>
      <c r="Y17">
        <f>HYPERLINK("https://klasma.github.io/Logging_1862/kartor_geotiff/A 36081-2025 georefererad karta.tif", "A 36081-2025")</f>
        <v/>
      </c>
      <c r="AA17">
        <f>HYPERLINK("https://klasma.github.io/Logging_1862/klagomål/A 36081-2025 FSC-klagomål.docx", "A 36081-2025")</f>
        <v/>
      </c>
      <c r="AB17">
        <f>HYPERLINK("https://klasma.github.io/Logging_1862/klagomålsmail/A 36081-2025 FSC-klagomål mail.docx", "A 36081-2025")</f>
        <v/>
      </c>
      <c r="AC17">
        <f>HYPERLINK("https://klasma.github.io/Logging_1862/tillsyn/A 36081-2025 tillsynsbegäran.docx", "A 36081-2025")</f>
        <v/>
      </c>
      <c r="AD17">
        <f>HYPERLINK("https://klasma.github.io/Logging_1862/tillsynsmail/A 36081-2025 tillsynsbegäran mail.docx", "A 36081-2025")</f>
        <v/>
      </c>
    </row>
    <row r="18" ht="15" customHeight="1">
      <c r="A18" t="inlineStr">
        <is>
          <t>A 8063-2024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46318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Jungfrulin
Skogsklocka
Svinrot
Springkorn</t>
        </is>
      </c>
      <c r="W18">
        <f>HYPERLINK("https://klasma.github.io/Logging_1862/artfynd/A 8063-2024 artfynd.xlsx", "A 8063-2024")</f>
        <v/>
      </c>
      <c r="X18">
        <f>HYPERLINK("https://klasma.github.io/Logging_1862/kartor/A 8063-2024 karta.png", "A 8063-2024")</f>
        <v/>
      </c>
      <c r="Y18">
        <f>HYPERLINK("https://klasma.github.io/Logging_1862/kartor_geotiff/A 8063-2024 georefererad karta.tif", "A 8063-2024")</f>
        <v/>
      </c>
      <c r="AA18">
        <f>HYPERLINK("https://klasma.github.io/Logging_1862/klagomål/A 8063-2024 FSC-klagomål.docx", "A 8063-2024")</f>
        <v/>
      </c>
      <c r="AB18">
        <f>HYPERLINK("https://klasma.github.io/Logging_1862/klagomålsmail/A 8063-2024 FSC-klagomål mail.docx", "A 8063-2024")</f>
        <v/>
      </c>
      <c r="AC18">
        <f>HYPERLINK("https://klasma.github.io/Logging_1862/tillsyn/A 8063-2024 tillsynsbegäran.docx", "A 8063-2024")</f>
        <v/>
      </c>
      <c r="AD18">
        <f>HYPERLINK("https://klasma.github.io/Logging_1862/tillsynsmail/A 8063-2024 tillsynsbegäran mail.docx", "A 8063-2024")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46318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46318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46318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12720-2024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45384</v>
      </c>
      <c r="E22" s="1" t="n">
        <v>46318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5.1</v>
      </c>
      <c r="J22" t="n">
        <v>3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7</v>
      </c>
      <c r="U22" t="n">
        <v>7</v>
      </c>
      <c r="V22" s="2" t="inlineStr">
        <is>
          <t>Nordfladdermus
Svinrot
Tretåig hackspett
Fläcknycklar</t>
        </is>
      </c>
      <c r="W22">
        <f>HYPERLINK("https://klasma.github.io/Logging_1862/artfynd/A 12720-2024 artfynd.xlsx", "A 12720-2024")</f>
        <v/>
      </c>
      <c r="X22">
        <f>HYPERLINK("https://klasma.github.io/Logging_1862/kartor/A 12720-2024 karta.png", "A 12720-2024")</f>
        <v/>
      </c>
      <c r="Y22">
        <f>HYPERLINK("https://klasma.github.io/Logging_1862/kartor_geotiff/A 12720-2024 georefererad karta.tif", "A 12720-2024")</f>
        <v/>
      </c>
      <c r="AA22">
        <f>HYPERLINK("https://klasma.github.io/Logging_1862/klagomål/A 12720-2024 FSC-klagomål.docx", "A 12720-2024")</f>
        <v/>
      </c>
      <c r="AB22">
        <f>HYPERLINK("https://klasma.github.io/Logging_1862/klagomålsmail/A 12720-2024 FSC-klagomål mail.docx", "A 12720-2024")</f>
        <v/>
      </c>
      <c r="AC22">
        <f>HYPERLINK("https://klasma.github.io/Logging_1862/tillsyn/A 12720-2024 tillsynsbegäran.docx", "A 12720-2024")</f>
        <v/>
      </c>
      <c r="AD22">
        <f>HYPERLINK("https://klasma.github.io/Logging_1862/tillsynsmail/A 12720-2024 tillsynsbegäran mail.docx", "A 12720-2024")</f>
        <v/>
      </c>
      <c r="AE22">
        <f>HYPERLINK("https://klasma.github.io/Logging_1862/fåglar/A 12720-2024 prioriterade fågelarter.docx", "A 12720-2024")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46318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46318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27671-2026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46190</v>
      </c>
      <c r="E25" s="1" t="n">
        <v>46318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Spillkråka
Tjäder
Fläcknycklar</t>
        </is>
      </c>
      <c r="W25">
        <f>HYPERLINK("https://klasma.github.io/Logging_1862/artfynd/A 27671-2026 artfynd.xlsx", "A 27671-2026")</f>
        <v/>
      </c>
      <c r="X25">
        <f>HYPERLINK("https://klasma.github.io/Logging_1862/kartor/A 27671-2026 karta.png", "A 27671-2026")</f>
        <v/>
      </c>
      <c r="Y25">
        <f>HYPERLINK("https://klasma.github.io/Logging_1862/kartor_geotiff/A 27671-2026 georefererad karta.tif", "A 27671-2026")</f>
        <v/>
      </c>
      <c r="AA25">
        <f>HYPERLINK("https://klasma.github.io/Logging_1862/klagomål/A 27671-2026 FSC-klagomål.docx", "A 27671-2026")</f>
        <v/>
      </c>
      <c r="AB25">
        <f>HYPERLINK("https://klasma.github.io/Logging_1862/klagomålsmail/A 27671-2026 FSC-klagomål mail.docx", "A 27671-2026")</f>
        <v/>
      </c>
      <c r="AC25">
        <f>HYPERLINK("https://klasma.github.io/Logging_1862/tillsyn/A 27671-2026 tillsynsbegäran.docx", "A 27671-2026")</f>
        <v/>
      </c>
      <c r="AD25">
        <f>HYPERLINK("https://klasma.github.io/Logging_1862/tillsynsmail/A 27671-2026 tillsynsbegäran mail.docx", "A 27671-2026")</f>
        <v/>
      </c>
      <c r="AE25">
        <f>HYPERLINK("https://klasma.github.io/Logging_1862/fåglar/A 27671-2026 prioriterade fågelarter.docx", "A 27671-2026")</f>
        <v/>
      </c>
    </row>
    <row r="26" ht="15" customHeight="1">
      <c r="A26" t="inlineStr">
        <is>
          <t>A 47785-2025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45931</v>
      </c>
      <c r="E26" s="1" t="n">
        <v>46318</v>
      </c>
      <c r="F26" t="inlineStr">
        <is>
          <t>ÖREBRO LÄN</t>
        </is>
      </c>
      <c r="G26" t="inlineStr">
        <is>
          <t>DEGERFORS</t>
        </is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Spillkråka
Kungsfågel</t>
        </is>
      </c>
      <c r="W26">
        <f>HYPERLINK("https://klasma.github.io/Logging_1862/artfynd/A 47785-2025 artfynd.xlsx", "A 47785-2025")</f>
        <v/>
      </c>
      <c r="X26">
        <f>HYPERLINK("https://klasma.github.io/Logging_1862/kartor/A 47785-2025 karta.png", "A 47785-2025")</f>
        <v/>
      </c>
      <c r="Y26">
        <f>HYPERLINK("https://klasma.github.io/Logging_1862/kartor_geotiff/A 47785-2025 georefererad karta.tif", "A 47785-2025")</f>
        <v/>
      </c>
      <c r="AA26">
        <f>HYPERLINK("https://klasma.github.io/Logging_1862/klagomål/A 47785-2025 FSC-klagomål.docx", "A 47785-2025")</f>
        <v/>
      </c>
      <c r="AB26">
        <f>HYPERLINK("https://klasma.github.io/Logging_1862/klagomålsmail/A 47785-2025 FSC-klagomål mail.docx", "A 47785-2025")</f>
        <v/>
      </c>
      <c r="AC26">
        <f>HYPERLINK("https://klasma.github.io/Logging_1862/tillsyn/A 47785-2025 tillsynsbegäran.docx", "A 47785-2025")</f>
        <v/>
      </c>
      <c r="AD26">
        <f>HYPERLINK("https://klasma.github.io/Logging_1862/tillsynsmail/A 47785-2025 tillsynsbegäran mail.docx", "A 47785-2025")</f>
        <v/>
      </c>
      <c r="AE26">
        <f>HYPERLINK("https://klasma.github.io/Logging_1862/fåglar/A 47785-2025 prioriterade fågelarter.docx", "A 47785-2025")</f>
        <v/>
      </c>
    </row>
    <row r="27" ht="15" customHeight="1">
      <c r="A27" t="inlineStr">
        <is>
          <t>A 40870-2024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46318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1.9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Spillkråka</t>
        </is>
      </c>
      <c r="W27">
        <f>HYPERLINK("https://klasma.github.io/Logging_1862/artfynd/A 40870-2024 artfynd.xlsx", "A 40870-2024")</f>
        <v/>
      </c>
      <c r="X27">
        <f>HYPERLINK("https://klasma.github.io/Logging_1862/kartor/A 40870-2024 karta.png", "A 40870-2024")</f>
        <v/>
      </c>
      <c r="Y27">
        <f>HYPERLINK("https://klasma.github.io/Logging_1862/kartor_geotiff/A 40870-2024 georefererad karta.tif", "A 40870-2024")</f>
        <v/>
      </c>
      <c r="AA27">
        <f>HYPERLINK("https://klasma.github.io/Logging_1862/klagomål/A 40870-2024 FSC-klagomål.docx", "A 40870-2024")</f>
        <v/>
      </c>
      <c r="AB27">
        <f>HYPERLINK("https://klasma.github.io/Logging_1862/klagomålsmail/A 40870-2024 FSC-klagomål mail.docx", "A 40870-2024")</f>
        <v/>
      </c>
      <c r="AC27">
        <f>HYPERLINK("https://klasma.github.io/Logging_1862/tillsyn/A 40870-2024 tillsynsbegäran.docx", "A 40870-2024")</f>
        <v/>
      </c>
      <c r="AD27">
        <f>HYPERLINK("https://klasma.github.io/Logging_1862/tillsynsmail/A 40870-2024 tillsynsbegäran mail.docx", "A 40870-2024")</f>
        <v/>
      </c>
      <c r="AE27">
        <f>HYPERLINK("https://klasma.github.io/Logging_1862/fåglar/A 40870-2024 prioriterade fågelarter.docx", "A 40870-2024")</f>
        <v/>
      </c>
    </row>
    <row r="28" ht="15" customHeight="1">
      <c r="A28" t="inlineStr">
        <is>
          <t>A 38910-2023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46318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2.8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Tjäder
Fläcknycklar</t>
        </is>
      </c>
      <c r="W28">
        <f>HYPERLINK("https://klasma.github.io/Logging_1862/artfynd/A 38910-2023 artfynd.xlsx", "A 38910-2023")</f>
        <v/>
      </c>
      <c r="X28">
        <f>HYPERLINK("https://klasma.github.io/Logging_1862/kartor/A 38910-2023 karta.png", "A 38910-2023")</f>
        <v/>
      </c>
      <c r="Y28">
        <f>HYPERLINK("https://klasma.github.io/Logging_1862/kartor_geotiff/A 38910-2023 georefererad karta.tif", "A 38910-2023")</f>
        <v/>
      </c>
      <c r="AA28">
        <f>HYPERLINK("https://klasma.github.io/Logging_1862/klagomål/A 38910-2023 FSC-klagomål.docx", "A 38910-2023")</f>
        <v/>
      </c>
      <c r="AB28">
        <f>HYPERLINK("https://klasma.github.io/Logging_1862/klagomålsmail/A 38910-2023 FSC-klagomål mail.docx", "A 38910-2023")</f>
        <v/>
      </c>
      <c r="AC28">
        <f>HYPERLINK("https://klasma.github.io/Logging_1862/tillsyn/A 38910-2023 tillsynsbegäran.docx", "A 38910-2023")</f>
        <v/>
      </c>
      <c r="AD28">
        <f>HYPERLINK("https://klasma.github.io/Logging_1862/tillsynsmail/A 38910-2023 tillsynsbegäran mail.docx", "A 38910-2023")</f>
        <v/>
      </c>
      <c r="AE28">
        <f>HYPERLINK("https://klasma.github.io/Logging_1862/fåglar/A 38910-2023 prioriterade fågelarter.docx", "A 38910-2023")</f>
        <v/>
      </c>
    </row>
    <row r="29" ht="15" customHeight="1">
      <c r="A29" t="inlineStr">
        <is>
          <t>A 38912-2023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46318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Tjäder</t>
        </is>
      </c>
      <c r="W29">
        <f>HYPERLINK("https://klasma.github.io/Logging_1862/artfynd/A 38912-2023 artfynd.xlsx", "A 38912-2023")</f>
        <v/>
      </c>
      <c r="X29">
        <f>HYPERLINK("https://klasma.github.io/Logging_1862/kartor/A 38912-2023 karta.png", "A 38912-2023")</f>
        <v/>
      </c>
      <c r="Y29">
        <f>HYPERLINK("https://klasma.github.io/Logging_1862/kartor_geotiff/A 38912-2023 georefererad karta.tif", "A 38912-2023")</f>
        <v/>
      </c>
      <c r="AA29">
        <f>HYPERLINK("https://klasma.github.io/Logging_1862/klagomål/A 38912-2023 FSC-klagomål.docx", "A 38912-2023")</f>
        <v/>
      </c>
      <c r="AB29">
        <f>HYPERLINK("https://klasma.github.io/Logging_1862/klagomålsmail/A 38912-2023 FSC-klagomål mail.docx", "A 38912-2023")</f>
        <v/>
      </c>
      <c r="AC29">
        <f>HYPERLINK("https://klasma.github.io/Logging_1862/tillsyn/A 38912-2023 tillsynsbegäran.docx", "A 38912-2023")</f>
        <v/>
      </c>
      <c r="AD29">
        <f>HYPERLINK("https://klasma.github.io/Logging_1862/tillsynsmail/A 38912-2023 tillsynsbegäran mail.docx", "A 38912-2023")</f>
        <v/>
      </c>
      <c r="AE29">
        <f>HYPERLINK("https://klasma.github.io/Logging_1862/fåglar/A 38912-2023 prioriterade fågelarter.docx", "A 38912-2023")</f>
        <v/>
      </c>
    </row>
    <row r="30" ht="15" customHeight="1">
      <c r="A30" t="inlineStr">
        <is>
          <t>A 4256-2026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46045</v>
      </c>
      <c r="E30" s="1" t="n">
        <v>46318</v>
      </c>
      <c r="F30" t="inlineStr">
        <is>
          <t>ÖREBRO LÄN</t>
        </is>
      </c>
      <c r="G30" t="inlineStr">
        <is>
          <t>DEGERFORS</t>
        </is>
      </c>
      <c r="I30" t="n">
        <v>2.9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Skogsklocka
Slåtterfibbla</t>
        </is>
      </c>
      <c r="W30">
        <f>HYPERLINK("https://klasma.github.io/Logging_1862/artfynd/A 4256-2026 artfynd.xlsx", "A 4256-2026")</f>
        <v/>
      </c>
      <c r="X30">
        <f>HYPERLINK("https://klasma.github.io/Logging_1862/kartor/A 4256-2026 karta.png", "A 4256-2026")</f>
        <v/>
      </c>
      <c r="Y30">
        <f>HYPERLINK("https://klasma.github.io/Logging_1862/kartor_geotiff/A 4256-2026 georefererad karta.tif", "A 4256-2026")</f>
        <v/>
      </c>
      <c r="AA30">
        <f>HYPERLINK("https://klasma.github.io/Logging_1862/klagomål/A 4256-2026 FSC-klagomål.docx", "A 4256-2026")</f>
        <v/>
      </c>
      <c r="AB30">
        <f>HYPERLINK("https://klasma.github.io/Logging_1862/klagomålsmail/A 4256-2026 FSC-klagomål mail.docx", "A 4256-2026")</f>
        <v/>
      </c>
      <c r="AC30">
        <f>HYPERLINK("https://klasma.github.io/Logging_1862/tillsyn/A 4256-2026 tillsynsbegäran.docx", "A 4256-2026")</f>
        <v/>
      </c>
      <c r="AD30">
        <f>HYPERLINK("https://klasma.github.io/Logging_1862/tillsynsmail/A 4256-2026 tillsynsbegäran mail.docx", "A 4256-2026")</f>
        <v/>
      </c>
    </row>
    <row r="31" ht="15" customHeight="1">
      <c r="A31" t="inlineStr">
        <is>
          <t>A 28976-2026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46199</v>
      </c>
      <c r="E31" s="1" t="n">
        <v>46318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2.3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Orange taggsvamp
Talltita</t>
        </is>
      </c>
      <c r="W31">
        <f>HYPERLINK("https://klasma.github.io/Logging_1862/artfynd/A 28976-2026 artfynd.xlsx", "A 28976-2026")</f>
        <v/>
      </c>
      <c r="X31">
        <f>HYPERLINK("https://klasma.github.io/Logging_1862/kartor/A 28976-2026 karta.png", "A 28976-2026")</f>
        <v/>
      </c>
      <c r="Y31">
        <f>HYPERLINK("https://klasma.github.io/Logging_1862/kartor_geotiff/A 28976-2026 georefererad karta.tif", "A 28976-2026")</f>
        <v/>
      </c>
      <c r="AA31">
        <f>HYPERLINK("https://klasma.github.io/Logging_1862/klagomål/A 28976-2026 FSC-klagomål.docx", "A 28976-2026")</f>
        <v/>
      </c>
      <c r="AB31">
        <f>HYPERLINK("https://klasma.github.io/Logging_1862/klagomålsmail/A 28976-2026 FSC-klagomål mail.docx", "A 28976-2026")</f>
        <v/>
      </c>
      <c r="AC31">
        <f>HYPERLINK("https://klasma.github.io/Logging_1862/tillsyn/A 28976-2026 tillsynsbegäran.docx", "A 28976-2026")</f>
        <v/>
      </c>
      <c r="AD31">
        <f>HYPERLINK("https://klasma.github.io/Logging_1862/tillsynsmail/A 28976-2026 tillsynsbegäran mail.docx", "A 28976-2026")</f>
        <v/>
      </c>
      <c r="AE31">
        <f>HYPERLINK("https://klasma.github.io/Logging_1862/fåglar/A 28976-2026 prioriterade fågelarter.docx", "A 28976-2026")</f>
        <v/>
      </c>
    </row>
    <row r="32" ht="15" customHeight="1">
      <c r="A32" t="inlineStr">
        <is>
          <t>A 38914-2023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46318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38914-2023 artfynd.xlsx", "A 38914-2023")</f>
        <v/>
      </c>
      <c r="X32">
        <f>HYPERLINK("https://klasma.github.io/Logging_1862/kartor/A 38914-2023 karta.png", "A 38914-2023")</f>
        <v/>
      </c>
      <c r="Y32">
        <f>HYPERLINK("https://klasma.github.io/Logging_1862/kartor_geotiff/A 38914-2023 georefererad karta.tif", "A 38914-2023")</f>
        <v/>
      </c>
      <c r="AA32">
        <f>HYPERLINK("https://klasma.github.io/Logging_1862/klagomål/A 38914-2023 FSC-klagomål.docx", "A 38914-2023")</f>
        <v/>
      </c>
      <c r="AB32">
        <f>HYPERLINK("https://klasma.github.io/Logging_1862/klagomålsmail/A 38914-2023 FSC-klagomål mail.docx", "A 38914-2023")</f>
        <v/>
      </c>
      <c r="AC32">
        <f>HYPERLINK("https://klasma.github.io/Logging_1862/tillsyn/A 38914-2023 tillsynsbegäran.docx", "A 38914-2023")</f>
        <v/>
      </c>
      <c r="AD32">
        <f>HYPERLINK("https://klasma.github.io/Logging_1862/tillsynsmail/A 38914-2023 tillsynsbegäran mail.docx", "A 38914-2023")</f>
        <v/>
      </c>
      <c r="AE32">
        <f>HYPERLINK("https://klasma.github.io/Logging_1862/fåglar/A 38914-2023 prioriterade fågelarter.docx", "A 38914-2023")</f>
        <v/>
      </c>
    </row>
    <row r="33" ht="15" customHeight="1">
      <c r="A33" t="inlineStr">
        <is>
          <t>A 33297-2023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45116</v>
      </c>
      <c r="E33" s="1" t="n">
        <v>46318</v>
      </c>
      <c r="F33" t="inlineStr">
        <is>
          <t>ÖREBRO LÄN</t>
        </is>
      </c>
      <c r="G33" t="inlineStr">
        <is>
          <t>DEGERFORS</t>
        </is>
      </c>
      <c r="I33" t="n">
        <v>7.2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HYPERLINK("https://klasma.github.io/Logging_1862/artfynd/A 33297-2023 artfynd.xlsx", "A 33297-2023")</f>
        <v/>
      </c>
      <c r="X33">
        <f>HYPERLINK("https://klasma.github.io/Logging_1862/kartor/A 33297-2023 karta.png", "A 33297-2023")</f>
        <v/>
      </c>
      <c r="Y33">
        <f>HYPERLINK("https://klasma.github.io/Logging_1862/kartor_geotiff/A 33297-2023 georefererad karta.tif", "A 33297-2023")</f>
        <v/>
      </c>
      <c r="AA33">
        <f>HYPERLINK("https://klasma.github.io/Logging_1862/klagomål/A 33297-2023 FSC-klagomål.docx", "A 33297-2023")</f>
        <v/>
      </c>
      <c r="AB33">
        <f>HYPERLINK("https://klasma.github.io/Logging_1862/klagomålsmail/A 33297-2023 FSC-klagomål mail.docx", "A 33297-2023")</f>
        <v/>
      </c>
      <c r="AC33">
        <f>HYPERLINK("https://klasma.github.io/Logging_1862/tillsyn/A 33297-2023 tillsynsbegäran.docx", "A 33297-2023")</f>
        <v/>
      </c>
      <c r="AD33">
        <f>HYPERLINK("https://klasma.github.io/Logging_1862/tillsynsmail/A 33297-2023 tillsynsbegäran mail.docx", "A 33297-2023")</f>
        <v/>
      </c>
    </row>
    <row r="34" ht="15" customHeight="1">
      <c r="A34" t="inlineStr">
        <is>
          <t>A 47915-2024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45589</v>
      </c>
      <c r="E34" s="1" t="n">
        <v>46318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5.8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HYPERLINK("https://klasma.github.io/Logging_1862/artfynd/A 47915-2024 artfynd.xlsx", "A 47915-2024")</f>
        <v/>
      </c>
      <c r="X34">
        <f>HYPERLINK("https://klasma.github.io/Logging_1862/kartor/A 47915-2024 karta.png", "A 47915-2024")</f>
        <v/>
      </c>
      <c r="Y34">
        <f>HYPERLINK("https://klasma.github.io/Logging_1862/kartor_geotiff/A 47915-2024 georefererad karta.tif", "A 47915-2024")</f>
        <v/>
      </c>
      <c r="AA34">
        <f>HYPERLINK("https://klasma.github.io/Logging_1862/klagomål/A 47915-2024 FSC-klagomål.docx", "A 47915-2024")</f>
        <v/>
      </c>
      <c r="AB34">
        <f>HYPERLINK("https://klasma.github.io/Logging_1862/klagomålsmail/A 47915-2024 FSC-klagomål mail.docx", "A 47915-2024")</f>
        <v/>
      </c>
      <c r="AC34">
        <f>HYPERLINK("https://klasma.github.io/Logging_1862/tillsyn/A 47915-2024 tillsynsbegäran.docx", "A 47915-2024")</f>
        <v/>
      </c>
      <c r="AD34">
        <f>HYPERLINK("https://klasma.github.io/Logging_1862/tillsynsmail/A 47915-2024 tillsynsbegäran mail.docx", "A 47915-2024")</f>
        <v/>
      </c>
    </row>
    <row r="35" ht="15" customHeight="1">
      <c r="A35" t="inlineStr">
        <is>
          <t>A 49306-2025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45938</v>
      </c>
      <c r="E35" s="1" t="n">
        <v>46318</v>
      </c>
      <c r="F35" t="inlineStr">
        <is>
          <t>ÖREBRO LÄN</t>
        </is>
      </c>
      <c r="G35" t="inlineStr">
        <is>
          <t>DEGERFORS</t>
        </is>
      </c>
      <c r="I35" t="n">
        <v>5.8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Svart trolldruva</t>
        </is>
      </c>
      <c r="W35">
        <f>HYPERLINK("https://klasma.github.io/Logging_1862/artfynd/A 49306-2025 artfynd.xlsx", "A 49306-2025")</f>
        <v/>
      </c>
      <c r="X35">
        <f>HYPERLINK("https://klasma.github.io/Logging_1862/kartor/A 49306-2025 karta.png", "A 49306-2025")</f>
        <v/>
      </c>
      <c r="Y35">
        <f>HYPERLINK("https://klasma.github.io/Logging_1862/kartor_geotiff/A 49306-2025 georefererad karta.tif", "A 49306-2025")</f>
        <v/>
      </c>
      <c r="AA35">
        <f>HYPERLINK("https://klasma.github.io/Logging_1862/klagomål/A 49306-2025 FSC-klagomål.docx", "A 49306-2025")</f>
        <v/>
      </c>
      <c r="AB35">
        <f>HYPERLINK("https://klasma.github.io/Logging_1862/klagomålsmail/A 49306-2025 FSC-klagomål mail.docx", "A 49306-2025")</f>
        <v/>
      </c>
      <c r="AC35">
        <f>HYPERLINK("https://klasma.github.io/Logging_1862/tillsyn/A 49306-2025 tillsynsbegäran.docx", "A 49306-2025")</f>
        <v/>
      </c>
      <c r="AD35">
        <f>HYPERLINK("https://klasma.github.io/Logging_1862/tillsynsmail/A 49306-2025 tillsynsbegäran mail.docx", "A 49306-2025")</f>
        <v/>
      </c>
    </row>
    <row r="36" ht="15" customHeight="1">
      <c r="A36" t="inlineStr">
        <is>
          <t>A 47787-2025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45931</v>
      </c>
      <c r="E36" s="1" t="n">
        <v>46318</v>
      </c>
      <c r="F36" t="inlineStr">
        <is>
          <t>ÖREBRO LÄN</t>
        </is>
      </c>
      <c r="G36" t="inlineStr">
        <is>
          <t>DEGERFORS</t>
        </is>
      </c>
      <c r="I36" t="n">
        <v>4.1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2</v>
      </c>
      <c r="V36" s="2" t="inlineStr">
        <is>
          <t>Tretåig hackspett</t>
        </is>
      </c>
      <c r="W36">
        <f>HYPERLINK("https://klasma.github.io/Logging_1862/artfynd/A 47787-2025 artfynd.xlsx", "A 47787-2025")</f>
        <v/>
      </c>
      <c r="X36">
        <f>HYPERLINK("https://klasma.github.io/Logging_1862/kartor/A 47787-2025 karta.png", "A 47787-2025")</f>
        <v/>
      </c>
      <c r="Y36">
        <f>HYPERLINK("https://klasma.github.io/Logging_1862/kartor_geotiff/A 47787-2025 georefererad karta.tif", "A 47787-2025")</f>
        <v/>
      </c>
      <c r="AA36">
        <f>HYPERLINK("https://klasma.github.io/Logging_1862/klagomål/A 47787-2025 FSC-klagomål.docx", "A 47787-2025")</f>
        <v/>
      </c>
      <c r="AB36">
        <f>HYPERLINK("https://klasma.github.io/Logging_1862/klagomålsmail/A 47787-2025 FSC-klagomål mail.docx", "A 47787-2025")</f>
        <v/>
      </c>
      <c r="AC36">
        <f>HYPERLINK("https://klasma.github.io/Logging_1862/tillsyn/A 47787-2025 tillsynsbegäran.docx", "A 47787-2025")</f>
        <v/>
      </c>
      <c r="AD36">
        <f>HYPERLINK("https://klasma.github.io/Logging_1862/tillsynsmail/A 47787-2025 tillsynsbegäran mail.docx", "A 47787-2025")</f>
        <v/>
      </c>
      <c r="AE36">
        <f>HYPERLINK("https://klasma.github.io/Logging_1862/fåglar/A 47787-2025 prioriterade fågelarter.docx", "A 47787-2025")</f>
        <v/>
      </c>
    </row>
    <row r="37" ht="15" customHeight="1">
      <c r="A37" t="inlineStr">
        <is>
          <t>A 38904-2023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45163</v>
      </c>
      <c r="E37" s="1" t="n">
        <v>46318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2.9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HYPERLINK("https://klasma.github.io/Logging_1862/artfynd/A 38904-2023 artfynd.xlsx", "A 38904-2023")</f>
        <v/>
      </c>
      <c r="X37">
        <f>HYPERLINK("https://klasma.github.io/Logging_1862/kartor/A 38904-2023 karta.png", "A 38904-2023")</f>
        <v/>
      </c>
      <c r="Y37">
        <f>HYPERLINK("https://klasma.github.io/Logging_1862/kartor_geotiff/A 38904-2023 georefererad karta.tif", "A 38904-2023")</f>
        <v/>
      </c>
      <c r="AA37">
        <f>HYPERLINK("https://klasma.github.io/Logging_1862/klagomål/A 38904-2023 FSC-klagomål.docx", "A 38904-2023")</f>
        <v/>
      </c>
      <c r="AB37">
        <f>HYPERLINK("https://klasma.github.io/Logging_1862/klagomålsmail/A 38904-2023 FSC-klagomål mail.docx", "A 38904-2023")</f>
        <v/>
      </c>
      <c r="AC37">
        <f>HYPERLINK("https://klasma.github.io/Logging_1862/tillsyn/A 38904-2023 tillsynsbegäran.docx", "A 38904-2023")</f>
        <v/>
      </c>
      <c r="AD37">
        <f>HYPERLINK("https://klasma.github.io/Logging_1862/tillsynsmail/A 38904-2023 tillsynsbegäran mail.docx", "A 38904-2023")</f>
        <v/>
      </c>
      <c r="AE37">
        <f>HYPERLINK("https://klasma.github.io/Logging_1862/fåglar/A 38904-2023 prioriterade fågelarter.docx", "A 38904-2023")</f>
        <v/>
      </c>
    </row>
    <row r="38" ht="15" customHeight="1">
      <c r="A38" t="inlineStr">
        <is>
          <t>A 38907-2023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45163</v>
      </c>
      <c r="E38" s="1" t="n">
        <v>46318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38907-2023 artfynd.xlsx", "A 38907-2023")</f>
        <v/>
      </c>
      <c r="X38">
        <f>HYPERLINK("https://klasma.github.io/Logging_1862/kartor/A 38907-2023 karta.png", "A 38907-2023")</f>
        <v/>
      </c>
      <c r="Y38">
        <f>HYPERLINK("https://klasma.github.io/Logging_1862/kartor_geotiff/A 38907-2023 georefererad karta.tif", "A 38907-2023")</f>
        <v/>
      </c>
      <c r="AA38">
        <f>HYPERLINK("https://klasma.github.io/Logging_1862/klagomål/A 38907-2023 FSC-klagomål.docx", "A 38907-2023")</f>
        <v/>
      </c>
      <c r="AB38">
        <f>HYPERLINK("https://klasma.github.io/Logging_1862/klagomålsmail/A 38907-2023 FSC-klagomål mail.docx", "A 38907-2023")</f>
        <v/>
      </c>
      <c r="AC38">
        <f>HYPERLINK("https://klasma.github.io/Logging_1862/tillsyn/A 38907-2023 tillsynsbegäran.docx", "A 38907-2023")</f>
        <v/>
      </c>
      <c r="AD38">
        <f>HYPERLINK("https://klasma.github.io/Logging_1862/tillsynsmail/A 38907-2023 tillsynsbegäran mail.docx", "A 38907-2023")</f>
        <v/>
      </c>
      <c r="AE38">
        <f>HYPERLINK("https://klasma.github.io/Logging_1862/fåglar/A 38907-2023 prioriterade fågelarter.docx", "A 38907-2023")</f>
        <v/>
      </c>
    </row>
    <row r="39" ht="15" customHeight="1">
      <c r="A39" t="inlineStr">
        <is>
          <t>A 14121-2022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44651</v>
      </c>
      <c r="E39" s="1" t="n">
        <v>46318</v>
      </c>
      <c r="F39" t="inlineStr">
        <is>
          <t>ÖREBRO LÄN</t>
        </is>
      </c>
      <c r="G39" t="inlineStr">
        <is>
          <t>DEGERFORS</t>
        </is>
      </c>
      <c r="I39" t="n">
        <v>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Hårklomossa</t>
        </is>
      </c>
      <c r="W39">
        <f>HYPERLINK("https://klasma.github.io/Logging_1862/artfynd/A 14121-2022 artfynd.xlsx", "A 14121-2022")</f>
        <v/>
      </c>
      <c r="X39">
        <f>HYPERLINK("https://klasma.github.io/Logging_1862/kartor/A 14121-2022 karta.png", "A 14121-2022")</f>
        <v/>
      </c>
      <c r="Y39">
        <f>HYPERLINK("https://klasma.github.io/Logging_1862/kartor_geotiff/A 14121-2022 georefererad karta.tif", "A 14121-2022")</f>
        <v/>
      </c>
      <c r="AA39">
        <f>HYPERLINK("https://klasma.github.io/Logging_1862/klagomål/A 14121-2022 FSC-klagomål.docx", "A 14121-2022")</f>
        <v/>
      </c>
      <c r="AB39">
        <f>HYPERLINK("https://klasma.github.io/Logging_1862/klagomålsmail/A 14121-2022 FSC-klagomål mail.docx", "A 14121-2022")</f>
        <v/>
      </c>
      <c r="AC39">
        <f>HYPERLINK("https://klasma.github.io/Logging_1862/tillsyn/A 14121-2022 tillsynsbegäran.docx", "A 14121-2022")</f>
        <v/>
      </c>
      <c r="AD39">
        <f>HYPERLINK("https://klasma.github.io/Logging_1862/tillsynsmail/A 14121-2022 tillsynsbegäran mail.docx", "A 14121-2022")</f>
        <v/>
      </c>
    </row>
    <row r="40" ht="15" customHeight="1">
      <c r="A40" t="inlineStr">
        <is>
          <t>A 27093-2023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45096</v>
      </c>
      <c r="E40" s="1" t="n">
        <v>46318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5.9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27093-2023 artfynd.xlsx", "A 27093-2023")</f>
        <v/>
      </c>
      <c r="X40">
        <f>HYPERLINK("https://klasma.github.io/Logging_1862/kartor/A 27093-2023 karta.png", "A 27093-2023")</f>
        <v/>
      </c>
      <c r="Y40">
        <f>HYPERLINK("https://klasma.github.io/Logging_1862/kartor_geotiff/A 27093-2023 georefererad karta.tif", "A 27093-2023")</f>
        <v/>
      </c>
      <c r="AA40">
        <f>HYPERLINK("https://klasma.github.io/Logging_1862/klagomål/A 27093-2023 FSC-klagomål.docx", "A 27093-2023")</f>
        <v/>
      </c>
      <c r="AB40">
        <f>HYPERLINK("https://klasma.github.io/Logging_1862/klagomålsmail/A 27093-2023 FSC-klagomål mail.docx", "A 27093-2023")</f>
        <v/>
      </c>
      <c r="AC40">
        <f>HYPERLINK("https://klasma.github.io/Logging_1862/tillsyn/A 27093-2023 tillsynsbegäran.docx", "A 27093-2023")</f>
        <v/>
      </c>
      <c r="AD40">
        <f>HYPERLINK("https://klasma.github.io/Logging_1862/tillsynsmail/A 27093-2023 tillsynsbegäran mail.docx", "A 27093-2023")</f>
        <v/>
      </c>
      <c r="AE40">
        <f>HYPERLINK("https://klasma.github.io/Logging_1862/fåglar/A 27093-2023 prioriterade fågelarter.docx", "A 27093-2023")</f>
        <v/>
      </c>
    </row>
    <row r="41" ht="15" customHeight="1">
      <c r="A41" t="inlineStr">
        <is>
          <t>A 53838-2024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45614</v>
      </c>
      <c r="E41" s="1" t="n">
        <v>46318</v>
      </c>
      <c r="F41" t="inlineStr">
        <is>
          <t>ÖREBRO LÄN</t>
        </is>
      </c>
      <c r="G41" t="inlineStr">
        <is>
          <t>DEGERFORS</t>
        </is>
      </c>
      <c r="I41" t="n">
        <v>4.3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Spillkråka</t>
        </is>
      </c>
      <c r="W41">
        <f>HYPERLINK("https://klasma.github.io/Logging_1862/artfynd/A 53838-2024 artfynd.xlsx", "A 53838-2024")</f>
        <v/>
      </c>
      <c r="X41">
        <f>HYPERLINK("https://klasma.github.io/Logging_1862/kartor/A 53838-2024 karta.png", "A 53838-2024")</f>
        <v/>
      </c>
      <c r="Y41">
        <f>HYPERLINK("https://klasma.github.io/Logging_1862/kartor_geotiff/A 53838-2024 georefererad karta.tif", "A 53838-2024")</f>
        <v/>
      </c>
      <c r="AA41">
        <f>HYPERLINK("https://klasma.github.io/Logging_1862/klagomål/A 53838-2024 FSC-klagomål.docx", "A 53838-2024")</f>
        <v/>
      </c>
      <c r="AB41">
        <f>HYPERLINK("https://klasma.github.io/Logging_1862/klagomålsmail/A 53838-2024 FSC-klagomål mail.docx", "A 53838-2024")</f>
        <v/>
      </c>
      <c r="AC41">
        <f>HYPERLINK("https://klasma.github.io/Logging_1862/tillsyn/A 53838-2024 tillsynsbegäran.docx", "A 53838-2024")</f>
        <v/>
      </c>
      <c r="AD41">
        <f>HYPERLINK("https://klasma.github.io/Logging_1862/tillsynsmail/A 53838-2024 tillsynsbegäran mail.docx", "A 53838-2024")</f>
        <v/>
      </c>
      <c r="AE41">
        <f>HYPERLINK("https://klasma.github.io/Logging_1862/fåglar/A 53838-2024 prioriterade fågelarter.docx", "A 53838-2024")</f>
        <v/>
      </c>
    </row>
    <row r="42" ht="15" customHeight="1">
      <c r="A42" t="inlineStr">
        <is>
          <t>A 2357-2022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44578</v>
      </c>
      <c r="E42" s="1" t="n">
        <v>46318</v>
      </c>
      <c r="F42" t="inlineStr">
        <is>
          <t>ÖREBRO LÄN</t>
        </is>
      </c>
      <c r="G42" t="inlineStr">
        <is>
          <t>DEGERFORS</t>
        </is>
      </c>
      <c r="I42" t="n">
        <v>4.5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Spillkråka</t>
        </is>
      </c>
      <c r="W42">
        <f>HYPERLINK("https://klasma.github.io/Logging_1862/artfynd/A 2357-2022 artfynd.xlsx", "A 2357-2022")</f>
        <v/>
      </c>
      <c r="X42">
        <f>HYPERLINK("https://klasma.github.io/Logging_1862/kartor/A 2357-2022 karta.png", "A 2357-2022")</f>
        <v/>
      </c>
      <c r="Y42">
        <f>HYPERLINK("https://klasma.github.io/Logging_1862/kartor_geotiff/A 2357-2022 georefererad karta.tif", "A 2357-2022")</f>
        <v/>
      </c>
      <c r="AA42">
        <f>HYPERLINK("https://klasma.github.io/Logging_1862/klagomål/A 2357-2022 FSC-klagomål.docx", "A 2357-2022")</f>
        <v/>
      </c>
      <c r="AB42">
        <f>HYPERLINK("https://klasma.github.io/Logging_1862/klagomålsmail/A 2357-2022 FSC-klagomål mail.docx", "A 2357-2022")</f>
        <v/>
      </c>
      <c r="AC42">
        <f>HYPERLINK("https://klasma.github.io/Logging_1862/tillsyn/A 2357-2022 tillsynsbegäran.docx", "A 2357-2022")</f>
        <v/>
      </c>
      <c r="AD42">
        <f>HYPERLINK("https://klasma.github.io/Logging_1862/tillsynsmail/A 2357-2022 tillsynsbegäran mail.docx", "A 2357-2022")</f>
        <v/>
      </c>
      <c r="AE42">
        <f>HYPERLINK("https://klasma.github.io/Logging_1862/fåglar/A 2357-2022 prioriterade fågelarter.docx", "A 2357-2022")</f>
        <v/>
      </c>
    </row>
    <row r="43" ht="15" customHeight="1">
      <c r="A43" t="inlineStr">
        <is>
          <t>A 27071-2026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46186</v>
      </c>
      <c r="E43" s="1" t="n">
        <v>46318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9.9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HYPERLINK("https://klasma.github.io/Logging_1862/artfynd/A 27071-2026 artfynd.xlsx", "A 27071-2026")</f>
        <v/>
      </c>
      <c r="X43">
        <f>HYPERLINK("https://klasma.github.io/Logging_1862/kartor/A 27071-2026 karta.png", "A 27071-2026")</f>
        <v/>
      </c>
      <c r="Y43">
        <f>HYPERLINK("https://klasma.github.io/Logging_1862/kartor_geotiff/A 27071-2026 georefererad karta.tif", "A 27071-2026")</f>
        <v/>
      </c>
      <c r="AA43">
        <f>HYPERLINK("https://klasma.github.io/Logging_1862/klagomål/A 27071-2026 FSC-klagomål.docx", "A 27071-2026")</f>
        <v/>
      </c>
      <c r="AB43">
        <f>HYPERLINK("https://klasma.github.io/Logging_1862/klagomålsmail/A 27071-2026 FSC-klagomål mail.docx", "A 27071-2026")</f>
        <v/>
      </c>
      <c r="AC43">
        <f>HYPERLINK("https://klasma.github.io/Logging_1862/tillsyn/A 27071-2026 tillsynsbegäran.docx", "A 27071-2026")</f>
        <v/>
      </c>
      <c r="AD43">
        <f>HYPERLINK("https://klasma.github.io/Logging_1862/tillsynsmail/A 27071-2026 tillsynsbegäran mail.docx", "A 27071-2026")</f>
        <v/>
      </c>
    </row>
    <row r="44" ht="15" customHeight="1">
      <c r="A44" t="inlineStr">
        <is>
          <t>A 27072-2026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46186</v>
      </c>
      <c r="E44" s="1" t="n">
        <v>46318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7.6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Spillkråka</t>
        </is>
      </c>
      <c r="W44">
        <f>HYPERLINK("https://klasma.github.io/Logging_1862/artfynd/A 27072-2026 artfynd.xlsx", "A 27072-2026")</f>
        <v/>
      </c>
      <c r="X44">
        <f>HYPERLINK("https://klasma.github.io/Logging_1862/kartor/A 27072-2026 karta.png", "A 27072-2026")</f>
        <v/>
      </c>
      <c r="Y44">
        <f>HYPERLINK("https://klasma.github.io/Logging_1862/kartor_geotiff/A 27072-2026 georefererad karta.tif", "A 27072-2026")</f>
        <v/>
      </c>
      <c r="AA44">
        <f>HYPERLINK("https://klasma.github.io/Logging_1862/klagomål/A 27072-2026 FSC-klagomål.docx", "A 27072-2026")</f>
        <v/>
      </c>
      <c r="AB44">
        <f>HYPERLINK("https://klasma.github.io/Logging_1862/klagomålsmail/A 27072-2026 FSC-klagomål mail.docx", "A 27072-2026")</f>
        <v/>
      </c>
      <c r="AC44">
        <f>HYPERLINK("https://klasma.github.io/Logging_1862/tillsyn/A 27072-2026 tillsynsbegäran.docx", "A 27072-2026")</f>
        <v/>
      </c>
      <c r="AD44">
        <f>HYPERLINK("https://klasma.github.io/Logging_1862/tillsynsmail/A 27072-2026 tillsynsbegäran mail.docx", "A 27072-2026")</f>
        <v/>
      </c>
      <c r="AE44">
        <f>HYPERLINK("https://klasma.github.io/Logging_1862/fåglar/A 27072-2026 prioriterade fågelarter.docx", "A 27072-2026")</f>
        <v/>
      </c>
    </row>
    <row r="45" ht="15" customHeight="1">
      <c r="A45" t="inlineStr">
        <is>
          <t>A 14177-2026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46318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HYPERLINK("https://klasma.github.io/Logging_1862/artfynd/A 14177-2026 artfynd.xlsx", "A 14177-2026")</f>
        <v/>
      </c>
      <c r="X45">
        <f>HYPERLINK("https://klasma.github.io/Logging_1862/kartor/A 14177-2026 karta.png", "A 14177-2026")</f>
        <v/>
      </c>
      <c r="Y45">
        <f>HYPERLINK("https://klasma.github.io/Logging_1862/kartor_geotiff/A 14177-2026 georefererad karta.tif", "A 14177-2026")</f>
        <v/>
      </c>
      <c r="AA45">
        <f>HYPERLINK("https://klasma.github.io/Logging_1862/klagomål/A 14177-2026 FSC-klagomål.docx", "A 14177-2026")</f>
        <v/>
      </c>
      <c r="AB45">
        <f>HYPERLINK("https://klasma.github.io/Logging_1862/klagomålsmail/A 14177-2026 FSC-klagomål mail.docx", "A 14177-2026")</f>
        <v/>
      </c>
      <c r="AC45">
        <f>HYPERLINK("https://klasma.github.io/Logging_1862/tillsyn/A 14177-2026 tillsynsbegäran.docx", "A 14177-2026")</f>
        <v/>
      </c>
      <c r="AD45">
        <f>HYPERLINK("https://klasma.github.io/Logging_1862/tillsynsmail/A 14177-2026 tillsynsbegäran mail.docx", "A 14177-2026")</f>
        <v/>
      </c>
    </row>
    <row r="46" ht="15" customHeight="1">
      <c r="A46" t="inlineStr">
        <is>
          <t>A 26971-2026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46318</v>
      </c>
      <c r="F46" t="inlineStr">
        <is>
          <t>ÖREBRO LÄN</t>
        </is>
      </c>
      <c r="G46" t="inlineStr">
        <is>
          <t>DEGERFORS</t>
        </is>
      </c>
      <c r="I46" t="n">
        <v>2.1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Stuplav</t>
        </is>
      </c>
      <c r="W46">
        <f>HYPERLINK("https://klasma.github.io/Logging_1862/artfynd/A 26971-2026 artfynd.xlsx", "A 26971-2026")</f>
        <v/>
      </c>
      <c r="X46">
        <f>HYPERLINK("https://klasma.github.io/Logging_1862/kartor/A 26971-2026 karta.png", "A 26971-2026")</f>
        <v/>
      </c>
      <c r="Y46">
        <f>HYPERLINK("https://klasma.github.io/Logging_1862/kartor_geotiff/A 26971-2026 georefererad karta.tif", "A 26971-2026")</f>
        <v/>
      </c>
      <c r="AA46">
        <f>HYPERLINK("https://klasma.github.io/Logging_1862/klagomål/A 26971-2026 FSC-klagomål.docx", "A 26971-2026")</f>
        <v/>
      </c>
      <c r="AB46">
        <f>HYPERLINK("https://klasma.github.io/Logging_1862/klagomålsmail/A 26971-2026 FSC-klagomål mail.docx", "A 26971-2026")</f>
        <v/>
      </c>
      <c r="AC46">
        <f>HYPERLINK("https://klasma.github.io/Logging_1862/tillsyn/A 26971-2026 tillsynsbegäran.docx", "A 26971-2026")</f>
        <v/>
      </c>
      <c r="AD46">
        <f>HYPERLINK("https://klasma.github.io/Logging_1862/tillsynsmail/A 26971-2026 tillsynsbegäran mail.docx", "A 26971-2026")</f>
        <v/>
      </c>
    </row>
    <row r="47" ht="15" customHeight="1">
      <c r="A47" t="inlineStr">
        <is>
          <t>A 48285-2023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45205</v>
      </c>
      <c r="E47" s="1" t="n">
        <v>46318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1.1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HYPERLINK("https://klasma.github.io/Logging_1862/artfynd/A 48285-2023 artfynd.xlsx", "A 48285-2023")</f>
        <v/>
      </c>
      <c r="X47">
        <f>HYPERLINK("https://klasma.github.io/Logging_1862/kartor/A 48285-2023 karta.png", "A 48285-2023")</f>
        <v/>
      </c>
      <c r="Y47">
        <f>HYPERLINK("https://klasma.github.io/Logging_1862/kartor_geotiff/A 48285-2023 georefererad karta.tif", "A 48285-2023")</f>
        <v/>
      </c>
      <c r="AA47">
        <f>HYPERLINK("https://klasma.github.io/Logging_1862/klagomål/A 48285-2023 FSC-klagomål.docx", "A 48285-2023")</f>
        <v/>
      </c>
      <c r="AB47">
        <f>HYPERLINK("https://klasma.github.io/Logging_1862/klagomålsmail/A 48285-2023 FSC-klagomål mail.docx", "A 48285-2023")</f>
        <v/>
      </c>
      <c r="AC47">
        <f>HYPERLINK("https://klasma.github.io/Logging_1862/tillsyn/A 48285-2023 tillsynsbegäran.docx", "A 48285-2023")</f>
        <v/>
      </c>
      <c r="AD47">
        <f>HYPERLINK("https://klasma.github.io/Logging_1862/tillsynsmail/A 48285-2023 tillsynsbegäran mail.docx", "A 48285-2023")</f>
        <v/>
      </c>
      <c r="AE47">
        <f>HYPERLINK("https://klasma.github.io/Logging_1862/fåglar/A 48285-2023 prioriterade fågelarter.docx", "A 48285-2023")</f>
        <v/>
      </c>
    </row>
    <row r="48" ht="15" customHeight="1">
      <c r="A48" t="inlineStr">
        <is>
          <t>A 42337-2026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46307</v>
      </c>
      <c r="E48" s="1" t="n">
        <v>46318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4.7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HYPERLINK("https://klasma.github.io/Logging_1862/artfynd/A 42337-2026 artfynd.xlsx", "A 42337-2026")</f>
        <v/>
      </c>
      <c r="X48">
        <f>HYPERLINK("https://klasma.github.io/Logging_1862/kartor/A 42337-2026 karta.png", "A 42337-2026")</f>
        <v/>
      </c>
      <c r="Y48">
        <f>HYPERLINK("https://klasma.github.io/Logging_1862/kartor_geotiff/A 42337-2026 georefererad karta.tif", "A 42337-2026")</f>
        <v/>
      </c>
      <c r="AA48">
        <f>HYPERLINK("https://klasma.github.io/Logging_1862/klagomål/A 42337-2026 FSC-klagomål.docx", "A 42337-2026")</f>
        <v/>
      </c>
      <c r="AB48">
        <f>HYPERLINK("https://klasma.github.io/Logging_1862/klagomålsmail/A 42337-2026 FSC-klagomål mail.docx", "A 42337-2026")</f>
        <v/>
      </c>
      <c r="AC48">
        <f>HYPERLINK("https://klasma.github.io/Logging_1862/tillsyn/A 42337-2026 tillsynsbegäran.docx", "A 42337-2026")</f>
        <v/>
      </c>
      <c r="AD48">
        <f>HYPERLINK("https://klasma.github.io/Logging_1862/tillsynsmail/A 42337-2026 tillsynsbegäran mail.docx", "A 42337-2026")</f>
        <v/>
      </c>
    </row>
    <row r="49" ht="15" customHeight="1">
      <c r="A49" t="inlineStr">
        <is>
          <t>A 47941-2024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45589</v>
      </c>
      <c r="E49" s="1" t="n">
        <v>46318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1.4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Brunfläckig pärlemorfjäril</t>
        </is>
      </c>
      <c r="W49">
        <f>HYPERLINK("https://klasma.github.io/Logging_1862/artfynd/A 47941-2024 artfynd.xlsx", "A 47941-2024")</f>
        <v/>
      </c>
      <c r="X49">
        <f>HYPERLINK("https://klasma.github.io/Logging_1862/kartor/A 47941-2024 karta.png", "A 47941-2024")</f>
        <v/>
      </c>
      <c r="Y49">
        <f>HYPERLINK("https://klasma.github.io/Logging_1862/kartor_geotiff/A 47941-2024 georefererad karta.tif", "A 47941-2024")</f>
        <v/>
      </c>
      <c r="AA49">
        <f>HYPERLINK("https://klasma.github.io/Logging_1862/klagomål/A 47941-2024 FSC-klagomål.docx", "A 47941-2024")</f>
        <v/>
      </c>
      <c r="AB49">
        <f>HYPERLINK("https://klasma.github.io/Logging_1862/klagomålsmail/A 47941-2024 FSC-klagomål mail.docx", "A 47941-2024")</f>
        <v/>
      </c>
      <c r="AC49">
        <f>HYPERLINK("https://klasma.github.io/Logging_1862/tillsyn/A 47941-2024 tillsynsbegäran.docx", "A 47941-2024")</f>
        <v/>
      </c>
      <c r="AD49">
        <f>HYPERLINK("https://klasma.github.io/Logging_1862/tillsynsmail/A 47941-2024 tillsynsbegäran mail.docx", "A 47941-2024")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46318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46318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46318</v>
      </c>
      <c r="F52" t="inlineStr">
        <is>
          <t>ÖREBRO LÄN</t>
        </is>
      </c>
      <c r="G52" t="inlineStr">
        <is>
          <t>DEGERFORS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7510-2022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44607</v>
      </c>
      <c r="E53" s="1" t="n">
        <v>46318</v>
      </c>
      <c r="F53" t="inlineStr">
        <is>
          <t>ÖREBRO LÄN</t>
        </is>
      </c>
      <c r="G53" t="inlineStr">
        <is>
          <t>DEGERFORS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44692</v>
      </c>
      <c r="E54" s="1" t="n">
        <v>46318</v>
      </c>
      <c r="F54" t="inlineStr">
        <is>
          <t>ÖREBRO LÄN</t>
        </is>
      </c>
      <c r="G54" t="inlineStr">
        <is>
          <t>DEGERFORS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44609</v>
      </c>
      <c r="E55" s="1" t="n">
        <v>46318</v>
      </c>
      <c r="F55" t="inlineStr">
        <is>
          <t>ÖREBRO LÄN</t>
        </is>
      </c>
      <c r="G55" t="inlineStr">
        <is>
          <t>DEGERFORS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60889-2021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44497</v>
      </c>
      <c r="E56" s="1" t="n">
        <v>46318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46318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68578-2021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46318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65456-2021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46318</v>
      </c>
      <c r="F59" t="inlineStr">
        <is>
          <t>ÖREBRO LÄN</t>
        </is>
      </c>
      <c r="G59" t="inlineStr">
        <is>
          <t>DEGERFORS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67998-2021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46318</v>
      </c>
      <c r="F60" t="inlineStr">
        <is>
          <t>ÖREBRO LÄN</t>
        </is>
      </c>
      <c r="G60" t="inlineStr">
        <is>
          <t>DEGERFORS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63906-2021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46318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12977-2022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44643</v>
      </c>
      <c r="E62" s="1" t="n">
        <v>46318</v>
      </c>
      <c r="F62" t="inlineStr">
        <is>
          <t>ÖREBRO LÄN</t>
        </is>
      </c>
      <c r="G62" t="inlineStr">
        <is>
          <t>DEGERFORS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47569-2022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44853</v>
      </c>
      <c r="E63" s="1" t="n">
        <v>46318</v>
      </c>
      <c r="F63" t="inlineStr">
        <is>
          <t>ÖREBRO LÄN</t>
        </is>
      </c>
      <c r="G63" t="inlineStr">
        <is>
          <t>DEGERFORS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63008-2021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44505</v>
      </c>
      <c r="E64" s="1" t="n">
        <v>46318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44807-2023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45190</v>
      </c>
      <c r="E65" s="1" t="n">
        <v>46318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5218-2024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45330</v>
      </c>
      <c r="E66" s="1" t="n">
        <v>46318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18675-2025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45763</v>
      </c>
      <c r="E67" s="1" t="n">
        <v>46318</v>
      </c>
      <c r="F67" t="inlineStr">
        <is>
          <t>ÖREBRO LÄN</t>
        </is>
      </c>
      <c r="G67" t="inlineStr">
        <is>
          <t>DEGERFORS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51652-2023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45222</v>
      </c>
      <c r="E68" s="1" t="n">
        <v>46318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26820-2025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45810</v>
      </c>
      <c r="E69" s="1" t="n">
        <v>46318</v>
      </c>
      <c r="F69" t="inlineStr">
        <is>
          <t>ÖREBRO LÄN</t>
        </is>
      </c>
      <c r="G69" t="inlineStr">
        <is>
          <t>DEGERFORS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26783-2025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45810</v>
      </c>
      <c r="E70" s="1" t="n">
        <v>46318</v>
      </c>
      <c r="F70" t="inlineStr">
        <is>
          <t>ÖREBRO LÄN</t>
        </is>
      </c>
      <c r="G70" t="inlineStr">
        <is>
          <t>DEGERFORS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45707</v>
      </c>
      <c r="E71" s="1" t="n">
        <v>46318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44457-2022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44839</v>
      </c>
      <c r="E72" s="1" t="n">
        <v>46318</v>
      </c>
      <c r="F72" t="inlineStr">
        <is>
          <t>ÖREBRO LÄN</t>
        </is>
      </c>
      <c r="G72" t="inlineStr">
        <is>
          <t>DEGERFORS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44754</v>
      </c>
      <c r="E73" s="1" t="n">
        <v>46318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38875-2025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45887</v>
      </c>
      <c r="E74" s="1" t="n">
        <v>46318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32211-2022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44781</v>
      </c>
      <c r="E75" s="1" t="n">
        <v>46318</v>
      </c>
      <c r="F75" t="inlineStr">
        <is>
          <t>ÖREBRO LÄN</t>
        </is>
      </c>
      <c r="G75" t="inlineStr">
        <is>
          <t>DEGERFORS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13405-2024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45387</v>
      </c>
      <c r="E76" s="1" t="n">
        <v>46318</v>
      </c>
      <c r="F76" t="inlineStr">
        <is>
          <t>ÖREBRO LÄN</t>
        </is>
      </c>
      <c r="G76" t="inlineStr">
        <is>
          <t>DEGERFORS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37672-2024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45541</v>
      </c>
      <c r="E77" s="1" t="n">
        <v>46318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12729-2024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45384</v>
      </c>
      <c r="E78" s="1" t="n">
        <v>46318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28367-2025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45819</v>
      </c>
      <c r="E79" s="1" t="n">
        <v>46318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28368-2025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45819</v>
      </c>
      <c r="E80" s="1" t="n">
        <v>46318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8.1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38874-2025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45887</v>
      </c>
      <c r="E81" s="1" t="n">
        <v>46318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23066-2022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46318</v>
      </c>
      <c r="F82" t="inlineStr">
        <is>
          <t>ÖREBRO LÄN</t>
        </is>
      </c>
      <c r="G82" t="inlineStr">
        <is>
          <t>DEGERFORS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56478-2024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45624</v>
      </c>
      <c r="E83" s="1" t="n">
        <v>46318</v>
      </c>
      <c r="F83" t="inlineStr">
        <is>
          <t>ÖREBRO LÄN</t>
        </is>
      </c>
      <c r="G83" t="inlineStr">
        <is>
          <t>DEGERFORS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45841</v>
      </c>
      <c r="E84" s="1" t="n">
        <v>46318</v>
      </c>
      <c r="F84" t="inlineStr">
        <is>
          <t>ÖREBRO LÄN</t>
        </is>
      </c>
      <c r="G84" t="inlineStr">
        <is>
          <t>DEGERFORS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8062-2024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45351</v>
      </c>
      <c r="E85" s="1" t="n">
        <v>46318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59863-2024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45639</v>
      </c>
      <c r="E86" s="1" t="n">
        <v>46318</v>
      </c>
      <c r="F86" t="inlineStr">
        <is>
          <t>ÖREBRO LÄN</t>
        </is>
      </c>
      <c r="G86" t="inlineStr">
        <is>
          <t>DEGERFORS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41767-2025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45902</v>
      </c>
      <c r="E87" s="1" t="n">
        <v>46318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41766-2025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45902</v>
      </c>
      <c r="E88" s="1" t="n">
        <v>46318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45912</v>
      </c>
      <c r="E89" s="1" t="n">
        <v>46318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43691-2025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45912</v>
      </c>
      <c r="E90" s="1" t="n">
        <v>46318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43689-2025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45912</v>
      </c>
      <c r="E91" s="1" t="n">
        <v>46318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37333-2025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45876</v>
      </c>
      <c r="E92" s="1" t="n">
        <v>46318</v>
      </c>
      <c r="F92" t="inlineStr">
        <is>
          <t>ÖREBRO LÄN</t>
        </is>
      </c>
      <c r="G92" t="inlineStr">
        <is>
          <t>DEGERFORS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37265-2025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45876</v>
      </c>
      <c r="E93" s="1" t="n">
        <v>46318</v>
      </c>
      <c r="F93" t="inlineStr">
        <is>
          <t>ÖREBRO LÄN</t>
        </is>
      </c>
      <c r="G93" t="inlineStr">
        <is>
          <t>DEGERFORS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63905-2021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44509</v>
      </c>
      <c r="E94" s="1" t="n">
        <v>46318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15594-2025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45747</v>
      </c>
      <c r="E95" s="1" t="n">
        <v>46318</v>
      </c>
      <c r="F95" t="inlineStr">
        <is>
          <t>ÖREBRO LÄN</t>
        </is>
      </c>
      <c r="G95" t="inlineStr">
        <is>
          <t>DEGERFORS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38743-2022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44816</v>
      </c>
      <c r="E96" s="1" t="n">
        <v>46318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45589</v>
      </c>
      <c r="E97" s="1" t="n">
        <v>46318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50377-2024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45601</v>
      </c>
      <c r="E98" s="1" t="n">
        <v>46318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48625-2025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46318</v>
      </c>
      <c r="F99" t="inlineStr">
        <is>
          <t>ÖREBRO LÄN</t>
        </is>
      </c>
      <c r="G99" t="inlineStr">
        <is>
          <t>DEGERFORS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8059-2024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45351</v>
      </c>
      <c r="E100" s="1" t="n">
        <v>46318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10321-2023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44986</v>
      </c>
      <c r="E101" s="1" t="n">
        <v>46318</v>
      </c>
      <c r="F101" t="inlineStr">
        <is>
          <t>ÖREBRO LÄN</t>
        </is>
      </c>
      <c r="G101" t="inlineStr">
        <is>
          <t>DEGERFORS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29482-2023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45106</v>
      </c>
      <c r="E102" s="1" t="n">
        <v>46318</v>
      </c>
      <c r="F102" t="inlineStr">
        <is>
          <t>ÖREBRO LÄN</t>
        </is>
      </c>
      <c r="G102" t="inlineStr">
        <is>
          <t>DEGERFORS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59158-2022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44904</v>
      </c>
      <c r="E103" s="1" t="n">
        <v>46318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18773-2025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45763</v>
      </c>
      <c r="E104" s="1" t="n">
        <v>46318</v>
      </c>
      <c r="F104" t="inlineStr">
        <is>
          <t>ÖREBRO LÄN</t>
        </is>
      </c>
      <c r="G104" t="inlineStr">
        <is>
          <t>DEGERFORS</t>
        </is>
      </c>
      <c r="I104" t="n">
        <v>13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51040-2025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45947</v>
      </c>
      <c r="E105" s="1" t="n">
        <v>46318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10320-2023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44986</v>
      </c>
      <c r="E106" s="1" t="n">
        <v>46318</v>
      </c>
      <c r="F106" t="inlineStr">
        <is>
          <t>ÖREBRO LÄN</t>
        </is>
      </c>
      <c r="G106" t="inlineStr">
        <is>
          <t>DEGERFORS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52099-2025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45952</v>
      </c>
      <c r="E107" s="1" t="n">
        <v>46318</v>
      </c>
      <c r="F107" t="inlineStr">
        <is>
          <t>ÖREBRO LÄN</t>
        </is>
      </c>
      <c r="G107" t="inlineStr">
        <is>
          <t>DEGERFORS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10797-2023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44989</v>
      </c>
      <c r="E108" s="1" t="n">
        <v>46318</v>
      </c>
      <c r="F108" t="inlineStr">
        <is>
          <t>ÖREBRO LÄN</t>
        </is>
      </c>
      <c r="G108" t="inlineStr">
        <is>
          <t>DEGERFORS</t>
        </is>
      </c>
      <c r="I108" t="n">
        <v>9.5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11084-2023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44986</v>
      </c>
      <c r="E109" s="1" t="n">
        <v>46318</v>
      </c>
      <c r="F109" t="inlineStr">
        <is>
          <t>ÖREBRO LÄN</t>
        </is>
      </c>
      <c r="G109" t="inlineStr">
        <is>
          <t>DEGERFORS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50764-2024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45602</v>
      </c>
      <c r="E110" s="1" t="n">
        <v>46318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54082-2024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45616</v>
      </c>
      <c r="E111" s="1" t="n">
        <v>46318</v>
      </c>
      <c r="F111" t="inlineStr">
        <is>
          <t>ÖREBRO LÄN</t>
        </is>
      </c>
      <c r="G111" t="inlineStr">
        <is>
          <t>DEGERFORS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33658-2024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45520</v>
      </c>
      <c r="E112" s="1" t="n">
        <v>46318</v>
      </c>
      <c r="F112" t="inlineStr">
        <is>
          <t>ÖREBRO LÄN</t>
        </is>
      </c>
      <c r="G112" t="inlineStr">
        <is>
          <t>DEGERFORS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43752-2025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45912</v>
      </c>
      <c r="E113" s="1" t="n">
        <v>46318</v>
      </c>
      <c r="F113" t="inlineStr">
        <is>
          <t>ÖREBRO LÄN</t>
        </is>
      </c>
      <c r="G113" t="inlineStr">
        <is>
          <t>DEGERFORS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45861-2023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45195</v>
      </c>
      <c r="E114" s="1" t="n">
        <v>46318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43768-2024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45569</v>
      </c>
      <c r="E115" s="1" t="n">
        <v>46318</v>
      </c>
      <c r="F115" t="inlineStr">
        <is>
          <t>ÖREBRO LÄN</t>
        </is>
      </c>
      <c r="G115" t="inlineStr">
        <is>
          <t>DEGERFORS</t>
        </is>
      </c>
      <c r="I115" t="n">
        <v>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20567-2026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46140</v>
      </c>
      <c r="E116" s="1" t="n">
        <v>46318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7.8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20568-2026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46140</v>
      </c>
      <c r="E117" s="1" t="n">
        <v>46318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20478-2026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46140</v>
      </c>
      <c r="E118" s="1" t="n">
        <v>46318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36437-2024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45535</v>
      </c>
      <c r="E119" s="1" t="n">
        <v>46318</v>
      </c>
      <c r="F119" t="inlineStr">
        <is>
          <t>ÖREBRO LÄN</t>
        </is>
      </c>
      <c r="G119" t="inlineStr">
        <is>
          <t>DEGERFORS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55341-2025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45971</v>
      </c>
      <c r="E120" s="1" t="n">
        <v>46318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57086-2025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45979</v>
      </c>
      <c r="E121" s="1" t="n">
        <v>46318</v>
      </c>
      <c r="F121" t="inlineStr">
        <is>
          <t>ÖREBRO LÄN</t>
        </is>
      </c>
      <c r="G121" t="inlineStr">
        <is>
          <t>DEGERFORS</t>
        </is>
      </c>
      <c r="I121" t="n">
        <v>6.1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21440-2026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46148</v>
      </c>
      <c r="E122" s="1" t="n">
        <v>46318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6.5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38738-2022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44816</v>
      </c>
      <c r="E123" s="1" t="n">
        <v>46318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21442-2026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46148</v>
      </c>
      <c r="E124" s="1" t="n">
        <v>46318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21401-2026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46148</v>
      </c>
      <c r="E125" s="1" t="n">
        <v>46318</v>
      </c>
      <c r="F125" t="inlineStr">
        <is>
          <t>ÖREBRO LÄN</t>
        </is>
      </c>
      <c r="G125" t="inlineStr">
        <is>
          <t>DEGERFORS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45163</v>
      </c>
      <c r="E126" s="1" t="n">
        <v>46318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44841-2023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45190</v>
      </c>
      <c r="E127" s="1" t="n">
        <v>46318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46222-2024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45581</v>
      </c>
      <c r="E128" s="1" t="n">
        <v>46318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46219-2024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45581</v>
      </c>
      <c r="E129" s="1" t="n">
        <v>46318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60736-2025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45996</v>
      </c>
      <c r="E130" s="1" t="n">
        <v>46318</v>
      </c>
      <c r="F130" t="inlineStr">
        <is>
          <t>ÖREBRO LÄN</t>
        </is>
      </c>
      <c r="G130" t="inlineStr">
        <is>
          <t>DEGERFORS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60708-2025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45996</v>
      </c>
      <c r="E131" s="1" t="n">
        <v>46318</v>
      </c>
      <c r="F131" t="inlineStr">
        <is>
          <t>ÖREBRO LÄN</t>
        </is>
      </c>
      <c r="G131" t="inlineStr">
        <is>
          <t>DEGERFORS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38917-2023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46318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48118-2023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45205</v>
      </c>
      <c r="E133" s="1" t="n">
        <v>46318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61750-2021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44501</v>
      </c>
      <c r="E134" s="1" t="n">
        <v>46318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23230-2026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46162</v>
      </c>
      <c r="E135" s="1" t="n">
        <v>46318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23229-2026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46162</v>
      </c>
      <c r="E136" s="1" t="n">
        <v>46318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7472-2025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45705</v>
      </c>
      <c r="E137" s="1" t="n">
        <v>46318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14678-2025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45742</v>
      </c>
      <c r="E138" s="1" t="n">
        <v>46318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23854-2026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46167</v>
      </c>
      <c r="E139" s="1" t="n">
        <v>46318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20.9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770-2026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46027</v>
      </c>
      <c r="E140" s="1" t="n">
        <v>46318</v>
      </c>
      <c r="F140" t="inlineStr">
        <is>
          <t>ÖREBRO LÄN</t>
        </is>
      </c>
      <c r="G140" t="inlineStr">
        <is>
          <t>DEGERFORS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24460-2026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46170</v>
      </c>
      <c r="E141" s="1" t="n">
        <v>46318</v>
      </c>
      <c r="F141" t="inlineStr">
        <is>
          <t>ÖREBRO LÄN</t>
        </is>
      </c>
      <c r="G141" t="inlineStr">
        <is>
          <t>DEGERFORS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50207-2024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45600</v>
      </c>
      <c r="E142" s="1" t="n">
        <v>46318</v>
      </c>
      <c r="F142" t="inlineStr">
        <is>
          <t>ÖREBRO LÄN</t>
        </is>
      </c>
      <c r="G142" t="inlineStr">
        <is>
          <t>DEGERFORS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50208-2024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45600</v>
      </c>
      <c r="E143" s="1" t="n">
        <v>46318</v>
      </c>
      <c r="F143" t="inlineStr">
        <is>
          <t>ÖREBRO LÄN</t>
        </is>
      </c>
      <c r="G143" t="inlineStr">
        <is>
          <t>DEGERFORS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24462-2026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46170</v>
      </c>
      <c r="E144" s="1" t="n">
        <v>46318</v>
      </c>
      <c r="F144" t="inlineStr">
        <is>
          <t>ÖREBRO LÄN</t>
        </is>
      </c>
      <c r="G144" t="inlineStr">
        <is>
          <t>DEGERFORS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24689-2026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46171</v>
      </c>
      <c r="E145" s="1" t="n">
        <v>46318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15.5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12108-2024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45376</v>
      </c>
      <c r="E146" s="1" t="n">
        <v>46318</v>
      </c>
      <c r="F146" t="inlineStr">
        <is>
          <t>ÖREBRO LÄN</t>
        </is>
      </c>
      <c r="G146" t="inlineStr">
        <is>
          <t>DEGERFORS</t>
        </is>
      </c>
      <c r="I146" t="n">
        <v>7.7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18831-2025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45764</v>
      </c>
      <c r="E147" s="1" t="n">
        <v>46318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32154-2023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45119</v>
      </c>
      <c r="E148" s="1" t="n">
        <v>46318</v>
      </c>
      <c r="F148" t="inlineStr">
        <is>
          <t>ÖREBRO LÄN</t>
        </is>
      </c>
      <c r="G148" t="inlineStr">
        <is>
          <t>DEGERFORS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27438-2024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45474</v>
      </c>
      <c r="E149" s="1" t="n">
        <v>46318</v>
      </c>
      <c r="F149" t="inlineStr">
        <is>
          <t>ÖREBRO LÄN</t>
        </is>
      </c>
      <c r="G149" t="inlineStr">
        <is>
          <t>DEGERFORS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46288-2024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45581</v>
      </c>
      <c r="E150" s="1" t="n">
        <v>46318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51996-2023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45223</v>
      </c>
      <c r="E151" s="1" t="n">
        <v>46318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58629-2024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45635</v>
      </c>
      <c r="E152" s="1" t="n">
        <v>46318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2565-2022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44579</v>
      </c>
      <c r="E153" s="1" t="n">
        <v>46318</v>
      </c>
      <c r="F153" t="inlineStr">
        <is>
          <t>ÖREBRO LÄN</t>
        </is>
      </c>
      <c r="G153" t="inlineStr">
        <is>
          <t>DEGERFORS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50102-2023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45215</v>
      </c>
      <c r="E154" s="1" t="n">
        <v>46318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26857-2026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46185</v>
      </c>
      <c r="E155" s="1" t="n">
        <v>46318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15.1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26946-2026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46185</v>
      </c>
      <c r="E156" s="1" t="n">
        <v>46318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62982-2023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45272</v>
      </c>
      <c r="E157" s="1" t="n">
        <v>46318</v>
      </c>
      <c r="F157" t="inlineStr">
        <is>
          <t>ÖREBRO LÄN</t>
        </is>
      </c>
      <c r="G157" t="inlineStr">
        <is>
          <t>DEGERFORS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26947-2026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46185</v>
      </c>
      <c r="E158" s="1" t="n">
        <v>46318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21935-2024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45443</v>
      </c>
      <c r="E159" s="1" t="n">
        <v>46318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27411-2026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46189</v>
      </c>
      <c r="E160" s="1" t="n">
        <v>46318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23460-2024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45453</v>
      </c>
      <c r="E161" s="1" t="n">
        <v>46318</v>
      </c>
      <c r="F161" t="inlineStr">
        <is>
          <t>ÖREBRO LÄN</t>
        </is>
      </c>
      <c r="G161" t="inlineStr">
        <is>
          <t>DEGERFORS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27745-2026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46191</v>
      </c>
      <c r="E162" s="1" t="n">
        <v>46318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46191</v>
      </c>
      <c r="E163" s="1" t="n">
        <v>46318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9273-2026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46070</v>
      </c>
      <c r="E164" s="1" t="n">
        <v>46318</v>
      </c>
      <c r="F164" t="inlineStr">
        <is>
          <t>ÖREBRO LÄN</t>
        </is>
      </c>
      <c r="G164" t="inlineStr">
        <is>
          <t>DEGERFORS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12159-2026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46086</v>
      </c>
      <c r="E165" s="1" t="n">
        <v>46318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12160-2026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46086</v>
      </c>
      <c r="E166" s="1" t="n">
        <v>46318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45798</v>
      </c>
      <c r="E167" s="1" t="n">
        <v>46318</v>
      </c>
      <c r="F167" t="inlineStr">
        <is>
          <t>ÖREBRO LÄN</t>
        </is>
      </c>
      <c r="G167" t="inlineStr">
        <is>
          <t>DEGERFORS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28696-2026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46198</v>
      </c>
      <c r="E168" s="1" t="n">
        <v>46318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28708-2026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46318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36336-2026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46268</v>
      </c>
      <c r="E170" s="1" t="n">
        <v>46318</v>
      </c>
      <c r="F170" t="inlineStr">
        <is>
          <t>ÖREBRO LÄN</t>
        </is>
      </c>
      <c r="G170" t="inlineStr">
        <is>
          <t>DEGERFORS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36339-2026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46268</v>
      </c>
      <c r="E171" s="1" t="n">
        <v>46318</v>
      </c>
      <c r="F171" t="inlineStr">
        <is>
          <t>ÖREBRO LÄN</t>
        </is>
      </c>
      <c r="G171" t="inlineStr">
        <is>
          <t>DEGERFORS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41889-2026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46303</v>
      </c>
      <c r="E172" s="1" t="n">
        <v>46318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28695-2026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46198</v>
      </c>
      <c r="E173" s="1" t="n">
        <v>46318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12936-2026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46092</v>
      </c>
      <c r="E174" s="1" t="n">
        <v>46318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8.800000000000001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13293-2026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46094</v>
      </c>
      <c r="E175" s="1" t="n">
        <v>46318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13040-2026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46093</v>
      </c>
      <c r="E176" s="1" t="n">
        <v>46318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7.1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13039-2026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46093</v>
      </c>
      <c r="E177" s="1" t="n">
        <v>46318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29130-2026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46202</v>
      </c>
      <c r="E178" s="1" t="n">
        <v>46318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10.3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28930-2026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46199</v>
      </c>
      <c r="E179" s="1" t="n">
        <v>46318</v>
      </c>
      <c r="F179" t="inlineStr">
        <is>
          <t>ÖREBRO LÄN</t>
        </is>
      </c>
      <c r="G179" t="inlineStr">
        <is>
          <t>DEGERFORS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18913-2026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46129</v>
      </c>
      <c r="E180" s="1" t="n">
        <v>46318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8.300000000000001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60907-2023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45261</v>
      </c>
      <c r="E181" s="1" t="n">
        <v>46318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18506-2026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46127</v>
      </c>
      <c r="E182" s="1" t="n">
        <v>46318</v>
      </c>
      <c r="F182" t="inlineStr">
        <is>
          <t>ÖREBRO LÄN</t>
        </is>
      </c>
      <c r="G182" t="inlineStr">
        <is>
          <t>DEGERFORS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19227-2026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46132</v>
      </c>
      <c r="E183" s="1" t="n">
        <v>46318</v>
      </c>
      <c r="F183" t="inlineStr">
        <is>
          <t>ÖREBRO LÄN</t>
        </is>
      </c>
      <c r="G183" t="inlineStr">
        <is>
          <t>DEGERFORS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31813-2026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46230</v>
      </c>
      <c r="E184" s="1" t="n">
        <v>46318</v>
      </c>
      <c r="F184" t="inlineStr">
        <is>
          <t>ÖREBRO LÄN</t>
        </is>
      </c>
      <c r="G184" t="inlineStr">
        <is>
          <t>DEGERFORS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26176-2024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45468</v>
      </c>
      <c r="E185" s="1" t="n">
        <v>46318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44582</v>
      </c>
      <c r="E186" s="1" t="n">
        <v>46318</v>
      </c>
      <c r="F186" t="inlineStr">
        <is>
          <t>ÖREBRO LÄN</t>
        </is>
      </c>
      <c r="G186" t="inlineStr">
        <is>
          <t>DEGERFORS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46231</v>
      </c>
      <c r="E187" s="1" t="n">
        <v>46318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46231</v>
      </c>
      <c r="E188" s="1" t="n">
        <v>46318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50766-2024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45602</v>
      </c>
      <c r="E189" s="1" t="n">
        <v>46318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8184-2022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44609</v>
      </c>
      <c r="E190" s="1" t="n">
        <v>46318</v>
      </c>
      <c r="F190" t="inlineStr">
        <is>
          <t>ÖREBRO LÄN</t>
        </is>
      </c>
      <c r="G190" t="inlineStr">
        <is>
          <t>DEGERFORS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52523-2024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45609</v>
      </c>
      <c r="E191" s="1" t="n">
        <v>46318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37809-2026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46279</v>
      </c>
      <c r="E192" s="1" t="n">
        <v>46318</v>
      </c>
      <c r="F192" t="inlineStr">
        <is>
          <t>ÖREBRO LÄN</t>
        </is>
      </c>
      <c r="G192" t="inlineStr">
        <is>
          <t>DEGERFORS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38126-2026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46281</v>
      </c>
      <c r="E193" s="1" t="n">
        <v>46318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32506-2026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46239</v>
      </c>
      <c r="E194" s="1" t="n">
        <v>46318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46283</v>
      </c>
      <c r="E195" s="1" t="n">
        <v>46318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11.3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38463-2026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46282</v>
      </c>
      <c r="E196" s="1" t="n">
        <v>46318</v>
      </c>
      <c r="F196" t="inlineStr">
        <is>
          <t>ÖREBRO LÄN</t>
        </is>
      </c>
      <c r="G196" t="inlineStr">
        <is>
          <t>DEGERFORS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32508-2026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46239</v>
      </c>
      <c r="E197" s="1" t="n">
        <v>46318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38659-2026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46283</v>
      </c>
      <c r="E198" s="1" t="n">
        <v>46318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45233</v>
      </c>
      <c r="E199" s="1" t="n">
        <v>46318</v>
      </c>
      <c r="F199" t="inlineStr">
        <is>
          <t>ÖREBRO LÄN</t>
        </is>
      </c>
      <c r="G199" t="inlineStr">
        <is>
          <t>DEGERFORS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54994-2024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45621</v>
      </c>
      <c r="E200" s="1" t="n">
        <v>46318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32810-2026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46241</v>
      </c>
      <c r="E201" s="1" t="n">
        <v>46318</v>
      </c>
      <c r="F201" t="inlineStr">
        <is>
          <t>ÖREBRO LÄN</t>
        </is>
      </c>
      <c r="G201" t="inlineStr">
        <is>
          <t>DEGERFORS</t>
        </is>
      </c>
      <c r="I201" t="n">
        <v>6.1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13236-2025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45735</v>
      </c>
      <c r="E202" s="1" t="n">
        <v>46318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18.5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38233-2023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45160</v>
      </c>
      <c r="E203" s="1" t="n">
        <v>46318</v>
      </c>
      <c r="F203" t="inlineStr">
        <is>
          <t>ÖREBRO LÄN</t>
        </is>
      </c>
      <c r="G203" t="inlineStr">
        <is>
          <t>DEGERFORS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10674-2024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45369</v>
      </c>
      <c r="E204" s="1" t="n">
        <v>46318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60933-2024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45645</v>
      </c>
      <c r="E205" s="1" t="n">
        <v>46318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73693-2021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44552</v>
      </c>
      <c r="E206" s="1" t="n">
        <v>46318</v>
      </c>
      <c r="F206" t="inlineStr">
        <is>
          <t>ÖREBRO LÄN</t>
        </is>
      </c>
      <c r="G206" t="inlineStr">
        <is>
          <t>DEGERFORS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60937-2024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45645</v>
      </c>
      <c r="E207" s="1" t="n">
        <v>46318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60940-2024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45645</v>
      </c>
      <c r="E208" s="1" t="n">
        <v>46318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52566-2023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45219</v>
      </c>
      <c r="E209" s="1" t="n">
        <v>46318</v>
      </c>
      <c r="F209" t="inlineStr">
        <is>
          <t>ÖREBRO LÄN</t>
        </is>
      </c>
      <c r="G209" t="inlineStr">
        <is>
          <t>DEGERFORS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57234-2024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45629</v>
      </c>
      <c r="E210" s="1" t="n">
        <v>46318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31872-2026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46231</v>
      </c>
      <c r="E211" s="1" t="n">
        <v>46318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45351</v>
      </c>
      <c r="E212" s="1" t="n">
        <v>46318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21952-2024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45443</v>
      </c>
      <c r="E213" s="1" t="n">
        <v>46318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41890-2026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46303</v>
      </c>
      <c r="E214" s="1" t="n">
        <v>46318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35213-2026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46260</v>
      </c>
      <c r="E215" s="1" t="n">
        <v>46318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9.5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62972-2023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45272</v>
      </c>
      <c r="E216" s="1" t="n">
        <v>46318</v>
      </c>
      <c r="F216" t="inlineStr">
        <is>
          <t>ÖREBRO LÄN</t>
        </is>
      </c>
      <c r="G216" t="inlineStr">
        <is>
          <t>DEGERFORS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42336-2026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46307</v>
      </c>
      <c r="E217" s="1" t="n">
        <v>46318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7.1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12143-2025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45729</v>
      </c>
      <c r="E218" s="1" t="n">
        <v>46318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28789-2026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46195</v>
      </c>
      <c r="E219" s="1" t="n">
        <v>46318</v>
      </c>
      <c r="F219" t="inlineStr">
        <is>
          <t>ÖREBRO LÄN</t>
        </is>
      </c>
      <c r="G219" t="inlineStr">
        <is>
          <t>DEGERFORS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51653-2023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45222</v>
      </c>
      <c r="E220" s="1" t="n">
        <v>46318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20577-2023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45057</v>
      </c>
      <c r="E221" s="1" t="n">
        <v>46318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45365-2023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45192</v>
      </c>
      <c r="E222" s="1" t="n">
        <v>46318</v>
      </c>
      <c r="F222" t="inlineStr">
        <is>
          <t>ÖREBRO LÄN</t>
        </is>
      </c>
      <c r="G222" t="inlineStr">
        <is>
          <t>DEGERFORS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6387-2024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45338</v>
      </c>
      <c r="E223" s="1" t="n">
        <v>46318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46268</v>
      </c>
      <c r="E224" s="1" t="n">
        <v>46318</v>
      </c>
      <c r="F224" t="inlineStr">
        <is>
          <t>ÖREBRO LÄN</t>
        </is>
      </c>
      <c r="G224" t="inlineStr">
        <is>
          <t>DEGERFORS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6240-2024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45337</v>
      </c>
      <c r="E225" s="1" t="n">
        <v>46318</v>
      </c>
      <c r="F225" t="inlineStr">
        <is>
          <t>ÖREBRO LÄN</t>
        </is>
      </c>
      <c r="G225" t="inlineStr">
        <is>
          <t>DEGERFORS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6394-2024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45338</v>
      </c>
      <c r="E226" s="1" t="n">
        <v>46318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11085-2023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44986</v>
      </c>
      <c r="E227" s="1" t="n">
        <v>46318</v>
      </c>
      <c r="F227" t="inlineStr">
        <is>
          <t>ÖREBRO LÄN</t>
        </is>
      </c>
      <c r="G227" t="inlineStr">
        <is>
          <t>DEGERFORS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5277-2024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45330</v>
      </c>
      <c r="E228" s="1" t="n">
        <v>46318</v>
      </c>
      <c r="F228" t="inlineStr">
        <is>
          <t>ÖREBRO LÄN</t>
        </is>
      </c>
      <c r="G228" t="inlineStr">
        <is>
          <t>DEGERFORS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50378-2024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45601</v>
      </c>
      <c r="E229" s="1" t="n">
        <v>46318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33293-2023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45116</v>
      </c>
      <c r="E230" s="1" t="n">
        <v>46318</v>
      </c>
      <c r="F230" t="inlineStr">
        <is>
          <t>ÖREBRO LÄN</t>
        </is>
      </c>
      <c r="G230" t="inlineStr">
        <is>
          <t>DEGERFORS</t>
        </is>
      </c>
      <c r="I230" t="n">
        <v>17.2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479-2022</t>
        </is>
      </c>
      <c r="B231" t="inlineStr">
        <is>
          <t>samrådsanmälan</t>
        </is>
      </c>
      <c r="C231" t="inlineStr">
        <is>
          <t>Skogsbilväg</t>
        </is>
      </c>
      <c r="D231" s="1" t="n">
        <v>44587</v>
      </c>
      <c r="E231" s="1" t="n">
        <v>46318</v>
      </c>
      <c r="F231" t="inlineStr">
        <is>
          <t>ÖREBRO LÄN</t>
        </is>
      </c>
      <c r="G231" t="inlineStr">
        <is>
          <t>DEGERFORS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1697-2025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45805</v>
      </c>
      <c r="E232" s="1" t="n">
        <v>46318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1694-2025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46318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794-2025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45729</v>
      </c>
      <c r="E234" s="1" t="n">
        <v>46318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793-2025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46318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963-2025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45742</v>
      </c>
      <c r="E236" s="1" t="n">
        <v>46318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964-2025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46318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2595-2025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45916</v>
      </c>
      <c r="E238" s="1" t="n">
        <v>46318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2026-10-23T02:04:04Z</dcterms:created>
  <dcterms:modified xmlns:dcterms="http://purl.org/dc/terms/" xmlns:xsi="http://www.w3.org/2001/XMLSchema-instance" xsi:type="dcterms:W3CDTF">2026-10-23T02:04:05Z</dcterms:modified>
</cp:coreProperties>
</file>