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46324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46324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46324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46324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46324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46324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46324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46324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12719-2024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46324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11.7</v>
      </c>
      <c r="J10" t="n">
        <v>5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8</v>
      </c>
      <c r="T10" t="n">
        <v>22</v>
      </c>
      <c r="U10" t="n">
        <v>21</v>
      </c>
      <c r="V10" s="2" t="inlineStr">
        <is>
          <t>Jungfrulin
Motaggsvamp
Nordfladdermus
Svinrot
Tretåig hackspett
Tjäder
Åkergroda
Fläcknycklar</t>
        </is>
      </c>
      <c r="W10">
        <f>HYPERLINK("https://klasma.github.io/Logging_1862/artfynd/A 12719-2024 artfynd.xlsx", "A 12719-2024")</f>
        <v/>
      </c>
      <c r="X10">
        <f>HYPERLINK("https://klasma.github.io/Logging_1862/kartor/A 12719-2024 karta.png", "A 12719-2024")</f>
        <v/>
      </c>
      <c r="Y10">
        <f>HYPERLINK("https://klasma.github.io/Logging_1862/kartor_geotiff/A 12719-2024 georefererad karta.tif", "A 12719-2024")</f>
        <v/>
      </c>
      <c r="AA10">
        <f>HYPERLINK("https://klasma.github.io/Logging_1862/klagomål/A 12719-2024 FSC-klagomål.docx", "A 12719-2024")</f>
        <v/>
      </c>
      <c r="AB10">
        <f>HYPERLINK("https://klasma.github.io/Logging_1862/klagomålsmail/A 12719-2024 FSC-klagomål mail.docx", "A 12719-2024")</f>
        <v/>
      </c>
      <c r="AC10">
        <f>HYPERLINK("https://klasma.github.io/Logging_1862/tillsyn/A 12719-2024 tillsynsbegäran.docx", "A 12719-2024")</f>
        <v/>
      </c>
      <c r="AD10">
        <f>HYPERLINK("https://klasma.github.io/Logging_1862/tillsynsmail/A 12719-2024 tillsynsbegäran mail.docx", "A 12719-2024")</f>
        <v/>
      </c>
      <c r="AE10">
        <f>HYPERLINK("https://klasma.github.io/Logging_1862/fåglar/A 12719-2024 prioriterade fågelarter.docx", "A 12719-2024")</f>
        <v/>
      </c>
    </row>
    <row r="11" ht="15" customHeight="1">
      <c r="A11" t="inlineStr">
        <is>
          <t>A 25541-2023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45089</v>
      </c>
      <c r="E11" s="1" t="n">
        <v>46324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1.8</v>
      </c>
      <c r="J11" t="n">
        <v>2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8</v>
      </c>
      <c r="T11" t="n">
        <v>9</v>
      </c>
      <c r="U11" t="n">
        <v>9</v>
      </c>
      <c r="V11" s="2" t="inlineStr">
        <is>
          <t>Gräddticka
Gransotdyna
Tretåig hackspett
Ullticka
Vedflikmossa
Brandticka
Vedticka
Spillkråka</t>
        </is>
      </c>
      <c r="W11">
        <f>HYPERLINK("https://klasma.github.io/Logging_1862/artfynd/A 25541-2023 artfynd.xlsx", "A 25541-2023")</f>
        <v/>
      </c>
      <c r="X11">
        <f>HYPERLINK("https://klasma.github.io/Logging_1862/kartor/A 25541-2023 karta.png", "A 25541-2023")</f>
        <v/>
      </c>
      <c r="Y11">
        <f>HYPERLINK("https://klasma.github.io/Logging_1862/kartor_geotiff/A 25541-2023 georefererad karta.tif", "A 25541-2023")</f>
        <v/>
      </c>
      <c r="AA11">
        <f>HYPERLINK("https://klasma.github.io/Logging_1862/klagomål/A 25541-2023 FSC-klagomål.docx", "A 25541-2023")</f>
        <v/>
      </c>
      <c r="AB11">
        <f>HYPERLINK("https://klasma.github.io/Logging_1862/klagomålsmail/A 25541-2023 FSC-klagomål mail.docx", "A 25541-2023")</f>
        <v/>
      </c>
      <c r="AC11">
        <f>HYPERLINK("https://klasma.github.io/Logging_1862/tillsyn/A 25541-2023 tillsynsbegäran.docx", "A 25541-2023")</f>
        <v/>
      </c>
      <c r="AD11">
        <f>HYPERLINK("https://klasma.github.io/Logging_1862/tillsynsmail/A 25541-2023 tillsynsbegäran mail.docx", "A 25541-2023")</f>
        <v/>
      </c>
      <c r="AE11">
        <f>HYPERLINK("https://klasma.github.io/Logging_1862/fåglar/A 25541-2023 prioriterade fågelarter.docx", "A 25541-2023")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46324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46324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46324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46324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46324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36081-2025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45866</v>
      </c>
      <c r="E17" s="1" t="n">
        <v>46324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Jungfrulin
Skogsklocka
Svinrot
Springkorn</t>
        </is>
      </c>
      <c r="W17">
        <f>HYPERLINK("https://klasma.github.io/Logging_1862/artfynd/A 36081-2025 artfynd.xlsx", "A 36081-2025")</f>
        <v/>
      </c>
      <c r="X17">
        <f>HYPERLINK("https://klasma.github.io/Logging_1862/kartor/A 36081-2025 karta.png", "A 36081-2025")</f>
        <v/>
      </c>
      <c r="Y17">
        <f>HYPERLINK("https://klasma.github.io/Logging_1862/kartor_geotiff/A 36081-2025 georefererad karta.tif", "A 36081-2025")</f>
        <v/>
      </c>
      <c r="AA17">
        <f>HYPERLINK("https://klasma.github.io/Logging_1862/klagomål/A 36081-2025 FSC-klagomål.docx", "A 36081-2025")</f>
        <v/>
      </c>
      <c r="AB17">
        <f>HYPERLINK("https://klasma.github.io/Logging_1862/klagomålsmail/A 36081-2025 FSC-klagomål mail.docx", "A 36081-2025")</f>
        <v/>
      </c>
      <c r="AC17">
        <f>HYPERLINK("https://klasma.github.io/Logging_1862/tillsyn/A 36081-2025 tillsynsbegäran.docx", "A 36081-2025")</f>
        <v/>
      </c>
      <c r="AD17">
        <f>HYPERLINK("https://klasma.github.io/Logging_1862/tillsynsmail/A 36081-2025 tillsynsbegäran mail.docx", "A 36081-2025")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46324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46324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46324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46324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46324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7</v>
      </c>
      <c r="U22" t="n">
        <v>7</v>
      </c>
      <c r="V22" s="2" t="inlineStr">
        <is>
          <t>Nordfladdermus
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46324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46324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46324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47785-2025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45931</v>
      </c>
      <c r="E26" s="1" t="n">
        <v>46324</v>
      </c>
      <c r="F26" t="inlineStr">
        <is>
          <t>ÖREBRO LÄN</t>
        </is>
      </c>
      <c r="G26" t="inlineStr">
        <is>
          <t>DEGERFORS</t>
        </is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Spillkråka
Kungsfågel</t>
        </is>
      </c>
      <c r="W26">
        <f>HYPERLINK("https://klasma.github.io/Logging_1862/artfynd/A 47785-2025 artfynd.xlsx", "A 47785-2025")</f>
        <v/>
      </c>
      <c r="X26">
        <f>HYPERLINK("https://klasma.github.io/Logging_1862/kartor/A 47785-2025 karta.png", "A 47785-2025")</f>
        <v/>
      </c>
      <c r="Y26">
        <f>HYPERLINK("https://klasma.github.io/Logging_1862/kartor_geotiff/A 47785-2025 georefererad karta.tif", "A 47785-2025")</f>
        <v/>
      </c>
      <c r="AA26">
        <f>HYPERLINK("https://klasma.github.io/Logging_1862/klagomål/A 47785-2025 FSC-klagomål.docx", "A 47785-2025")</f>
        <v/>
      </c>
      <c r="AB26">
        <f>HYPERLINK("https://klasma.github.io/Logging_1862/klagomålsmail/A 47785-2025 FSC-klagomål mail.docx", "A 47785-2025")</f>
        <v/>
      </c>
      <c r="AC26">
        <f>HYPERLINK("https://klasma.github.io/Logging_1862/tillsyn/A 47785-2025 tillsynsbegäran.docx", "A 47785-2025")</f>
        <v/>
      </c>
      <c r="AD26">
        <f>HYPERLINK("https://klasma.github.io/Logging_1862/tillsynsmail/A 47785-2025 tillsynsbegäran mail.docx", "A 47785-2025")</f>
        <v/>
      </c>
      <c r="AE26">
        <f>HYPERLINK("https://klasma.github.io/Logging_1862/fåglar/A 47785-2025 prioriterade fågelarter.docx", "A 47785-2025")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46324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46324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Tjäder
Fläcknycklar</t>
        </is>
      </c>
      <c r="W28">
        <f>HYPERLINK("https://klasma.github.io/Logging_1862/artfynd/A 38910-2023 artfynd.xlsx", "A 38910-2023")</f>
        <v/>
      </c>
      <c r="X28">
        <f>HYPERLINK("https://klasma.github.io/Logging_1862/kartor/A 38910-2023 karta.png", "A 38910-2023")</f>
        <v/>
      </c>
      <c r="Y28">
        <f>HYPERLINK("https://klasma.github.io/Logging_1862/kartor_geotiff/A 38910-2023 georefererad karta.tif", "A 38910-2023")</f>
        <v/>
      </c>
      <c r="AA28">
        <f>HYPERLINK("https://klasma.github.io/Logging_1862/klagomål/A 38910-2023 FSC-klagomål.docx", "A 38910-2023")</f>
        <v/>
      </c>
      <c r="AB28">
        <f>HYPERLINK("https://klasma.github.io/Logging_1862/klagomålsmail/A 38910-2023 FSC-klagomål mail.docx", "A 38910-2023")</f>
        <v/>
      </c>
      <c r="AC28">
        <f>HYPERLINK("https://klasma.github.io/Logging_1862/tillsyn/A 38910-2023 tillsynsbegäran.docx", "A 38910-2023")</f>
        <v/>
      </c>
      <c r="AD28">
        <f>HYPERLINK("https://klasma.github.io/Logging_1862/tillsynsmail/A 38910-2023 tillsynsbegäran mail.docx", "A 38910-2023")</f>
        <v/>
      </c>
      <c r="AE28">
        <f>HYPERLINK("https://klasma.github.io/Logging_1862/fåglar/A 38910-2023 prioriterade fågelarter.docx", "A 38910-2023")</f>
        <v/>
      </c>
    </row>
    <row r="29" ht="15" customHeight="1">
      <c r="A29" t="inlineStr">
        <is>
          <t>A 38912-2023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46324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38912-2023 artfynd.xlsx", "A 38912-2023")</f>
        <v/>
      </c>
      <c r="X29">
        <f>HYPERLINK("https://klasma.github.io/Logging_1862/kartor/A 38912-2023 karta.png", "A 38912-2023")</f>
        <v/>
      </c>
      <c r="Y29">
        <f>HYPERLINK("https://klasma.github.io/Logging_1862/kartor_geotiff/A 38912-2023 georefererad karta.tif", "A 38912-2023")</f>
        <v/>
      </c>
      <c r="AA29">
        <f>HYPERLINK("https://klasma.github.io/Logging_1862/klagomål/A 38912-2023 FSC-klagomål.docx", "A 38912-2023")</f>
        <v/>
      </c>
      <c r="AB29">
        <f>HYPERLINK("https://klasma.github.io/Logging_1862/klagomålsmail/A 38912-2023 FSC-klagomål mail.docx", "A 38912-2023")</f>
        <v/>
      </c>
      <c r="AC29">
        <f>HYPERLINK("https://klasma.github.io/Logging_1862/tillsyn/A 38912-2023 tillsynsbegäran.docx", "A 38912-2023")</f>
        <v/>
      </c>
      <c r="AD29">
        <f>HYPERLINK("https://klasma.github.io/Logging_1862/tillsynsmail/A 38912-2023 tillsynsbegäran mail.docx", "A 38912-2023")</f>
        <v/>
      </c>
      <c r="AE29">
        <f>HYPERLINK("https://klasma.github.io/Logging_1862/fåglar/A 38912-2023 prioriterade fågelarter.docx", "A 38912-2023")</f>
        <v/>
      </c>
    </row>
    <row r="30" ht="15" customHeight="1">
      <c r="A30" t="inlineStr">
        <is>
          <t>A 4256-2026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46324</v>
      </c>
      <c r="F30" t="inlineStr">
        <is>
          <t>ÖREBRO LÄN</t>
        </is>
      </c>
      <c r="G30" t="inlineStr">
        <is>
          <t>DEGERFORS</t>
        </is>
      </c>
      <c r="I30" t="n">
        <v>2.9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Skogsklocka
Slåtterfibbla</t>
        </is>
      </c>
      <c r="W30">
        <f>HYPERLINK("https://klasma.github.io/Logging_1862/artfynd/A 4256-2026 artfynd.xlsx", "A 4256-2026")</f>
        <v/>
      </c>
      <c r="X30">
        <f>HYPERLINK("https://klasma.github.io/Logging_1862/kartor/A 4256-2026 karta.png", "A 4256-2026")</f>
        <v/>
      </c>
      <c r="Y30">
        <f>HYPERLINK("https://klasma.github.io/Logging_1862/kartor_geotiff/A 4256-2026 georefererad karta.tif", "A 4256-2026")</f>
        <v/>
      </c>
      <c r="AA30">
        <f>HYPERLINK("https://klasma.github.io/Logging_1862/klagomål/A 4256-2026 FSC-klagomål.docx", "A 4256-2026")</f>
        <v/>
      </c>
      <c r="AB30">
        <f>HYPERLINK("https://klasma.github.io/Logging_1862/klagomålsmail/A 4256-2026 FSC-klagomål mail.docx", "A 4256-2026")</f>
        <v/>
      </c>
      <c r="AC30">
        <f>HYPERLINK("https://klasma.github.io/Logging_1862/tillsyn/A 4256-2026 tillsynsbegäran.docx", "A 4256-2026")</f>
        <v/>
      </c>
      <c r="AD30">
        <f>HYPERLINK("https://klasma.github.io/Logging_1862/tillsynsmail/A 4256-2026 tillsynsbegäran mail.docx", "A 4256-2026")</f>
        <v/>
      </c>
    </row>
    <row r="31" ht="15" customHeight="1">
      <c r="A31" t="inlineStr">
        <is>
          <t>A 28976-2026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46324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Orange taggsvamp
Talltita</t>
        </is>
      </c>
      <c r="W31">
        <f>HYPERLINK("https://klasma.github.io/Logging_1862/artfynd/A 28976-2026 artfynd.xlsx", "A 28976-2026")</f>
        <v/>
      </c>
      <c r="X31">
        <f>HYPERLINK("https://klasma.github.io/Logging_1862/kartor/A 28976-2026 karta.png", "A 28976-2026")</f>
        <v/>
      </c>
      <c r="Y31">
        <f>HYPERLINK("https://klasma.github.io/Logging_1862/kartor_geotiff/A 28976-2026 georefererad karta.tif", "A 28976-2026")</f>
        <v/>
      </c>
      <c r="AA31">
        <f>HYPERLINK("https://klasma.github.io/Logging_1862/klagomål/A 28976-2026 FSC-klagomål.docx", "A 28976-2026")</f>
        <v/>
      </c>
      <c r="AB31">
        <f>HYPERLINK("https://klasma.github.io/Logging_1862/klagomålsmail/A 28976-2026 FSC-klagomål mail.docx", "A 28976-2026")</f>
        <v/>
      </c>
      <c r="AC31">
        <f>HYPERLINK("https://klasma.github.io/Logging_1862/tillsyn/A 28976-2026 tillsynsbegäran.docx", "A 28976-2026")</f>
        <v/>
      </c>
      <c r="AD31">
        <f>HYPERLINK("https://klasma.github.io/Logging_1862/tillsynsmail/A 28976-2026 tillsynsbegäran mail.docx", "A 28976-2026")</f>
        <v/>
      </c>
      <c r="AE31">
        <f>HYPERLINK("https://klasma.github.io/Logging_1862/fåglar/A 28976-2026 prioriterade fågelarter.docx", "A 28976-2026")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46324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47941-2024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46324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HYPERLINK("https://klasma.github.io/Logging_1862/artfynd/A 47941-2024 artfynd.xlsx", "A 47941-2024")</f>
        <v/>
      </c>
      <c r="X33">
        <f>HYPERLINK("https://klasma.github.io/Logging_1862/kartor/A 47941-2024 karta.png", "A 47941-2024")</f>
        <v/>
      </c>
      <c r="Y33">
        <f>HYPERLINK("https://klasma.github.io/Logging_1862/kartor_geotiff/A 47941-2024 georefererad karta.tif", "A 47941-2024")</f>
        <v/>
      </c>
      <c r="AA33">
        <f>HYPERLINK("https://klasma.github.io/Logging_1862/klagomål/A 47941-2024 FSC-klagomål.docx", "A 47941-2024")</f>
        <v/>
      </c>
      <c r="AB33">
        <f>HYPERLINK("https://klasma.github.io/Logging_1862/klagomålsmail/A 47941-2024 FSC-klagomål mail.docx", "A 47941-2024")</f>
        <v/>
      </c>
      <c r="AC33">
        <f>HYPERLINK("https://klasma.github.io/Logging_1862/tillsyn/A 47941-2024 tillsynsbegäran.docx", "A 47941-2024")</f>
        <v/>
      </c>
      <c r="AD33">
        <f>HYPERLINK("https://klasma.github.io/Logging_1862/tillsynsmail/A 47941-2024 tillsynsbegäran mail.docx", "A 47941-2024")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46324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HYPERLINK("https://klasma.github.io/Logging_1862/artfynd/A 49306-2025 artfynd.xlsx", "A 49306-2025")</f>
        <v/>
      </c>
      <c r="X34">
        <f>HYPERLINK("https://klasma.github.io/Logging_1862/kartor/A 49306-2025 karta.png", "A 49306-2025")</f>
        <v/>
      </c>
      <c r="Y34">
        <f>HYPERLINK("https://klasma.github.io/Logging_1862/kartor_geotiff/A 49306-2025 georefererad karta.tif", "A 49306-2025")</f>
        <v/>
      </c>
      <c r="AA34">
        <f>HYPERLINK("https://klasma.github.io/Logging_1862/klagomål/A 49306-2025 FSC-klagomål.docx", "A 49306-2025")</f>
        <v/>
      </c>
      <c r="AB34">
        <f>HYPERLINK("https://klasma.github.io/Logging_1862/klagomålsmail/A 49306-2025 FSC-klagomål mail.docx", "A 49306-2025")</f>
        <v/>
      </c>
      <c r="AC34">
        <f>HYPERLINK("https://klasma.github.io/Logging_1862/tillsyn/A 49306-2025 tillsynsbegäran.docx", "A 49306-2025")</f>
        <v/>
      </c>
      <c r="AD34">
        <f>HYPERLINK("https://klasma.github.io/Logging_1862/tillsynsmail/A 49306-2025 tillsynsbegäran mail.docx", "A 49306-2025")</f>
        <v/>
      </c>
    </row>
    <row r="35" ht="15" customHeight="1">
      <c r="A35" t="inlineStr">
        <is>
          <t>A 47787-2025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46324</v>
      </c>
      <c r="F35" t="inlineStr">
        <is>
          <t>ÖREBRO LÄN</t>
        </is>
      </c>
      <c r="G35" t="inlineStr">
        <is>
          <t>DEGERFORS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Tretåig hackspett</t>
        </is>
      </c>
      <c r="W35">
        <f>HYPERLINK("https://klasma.github.io/Logging_1862/artfynd/A 47787-2025 artfynd.xlsx", "A 47787-2025")</f>
        <v/>
      </c>
      <c r="X35">
        <f>HYPERLINK("https://klasma.github.io/Logging_1862/kartor/A 47787-2025 karta.png", "A 47787-2025")</f>
        <v/>
      </c>
      <c r="Y35">
        <f>HYPERLINK("https://klasma.github.io/Logging_1862/kartor_geotiff/A 47787-2025 georefererad karta.tif", "A 47787-2025")</f>
        <v/>
      </c>
      <c r="AA35">
        <f>HYPERLINK("https://klasma.github.io/Logging_1862/klagomål/A 47787-2025 FSC-klagomål.docx", "A 47787-2025")</f>
        <v/>
      </c>
      <c r="AB35">
        <f>HYPERLINK("https://klasma.github.io/Logging_1862/klagomålsmail/A 47787-2025 FSC-klagomål mail.docx", "A 47787-2025")</f>
        <v/>
      </c>
      <c r="AC35">
        <f>HYPERLINK("https://klasma.github.io/Logging_1862/tillsyn/A 47787-2025 tillsynsbegäran.docx", "A 47787-2025")</f>
        <v/>
      </c>
      <c r="AD35">
        <f>HYPERLINK("https://klasma.github.io/Logging_1862/tillsynsmail/A 47787-2025 tillsynsbegäran mail.docx", "A 47787-2025")</f>
        <v/>
      </c>
      <c r="AE35">
        <f>HYPERLINK("https://klasma.github.io/Logging_1862/fåglar/A 47787-2025 prioriterade fågelarter.docx", "A 47787-2025")</f>
        <v/>
      </c>
    </row>
    <row r="36" ht="15" customHeight="1">
      <c r="A36" t="inlineStr">
        <is>
          <t>A 47915-2024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46324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HYPERLINK("https://klasma.github.io/Logging_1862/artfynd/A 47915-2024 artfynd.xlsx", "A 47915-2024")</f>
        <v/>
      </c>
      <c r="X36">
        <f>HYPERLINK("https://klasma.github.io/Logging_1862/kartor/A 47915-2024 karta.png", "A 47915-2024")</f>
        <v/>
      </c>
      <c r="Y36">
        <f>HYPERLINK("https://klasma.github.io/Logging_1862/kartor_geotiff/A 47915-2024 georefererad karta.tif", "A 47915-2024")</f>
        <v/>
      </c>
      <c r="AA36">
        <f>HYPERLINK("https://klasma.github.io/Logging_1862/klagomål/A 47915-2024 FSC-klagomål.docx", "A 47915-2024")</f>
        <v/>
      </c>
      <c r="AB36">
        <f>HYPERLINK("https://klasma.github.io/Logging_1862/klagomålsmail/A 47915-2024 FSC-klagomål mail.docx", "A 47915-2024")</f>
        <v/>
      </c>
      <c r="AC36">
        <f>HYPERLINK("https://klasma.github.io/Logging_1862/tillsyn/A 47915-2024 tillsynsbegäran.docx", "A 47915-2024")</f>
        <v/>
      </c>
      <c r="AD36">
        <f>HYPERLINK("https://klasma.github.io/Logging_1862/tillsynsmail/A 47915-2024 tillsynsbegäran mail.docx", "A 47915-2024")</f>
        <v/>
      </c>
    </row>
    <row r="37" ht="15" customHeight="1">
      <c r="A37" t="inlineStr">
        <is>
          <t>A 14121-2022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44651</v>
      </c>
      <c r="E37" s="1" t="n">
        <v>46324</v>
      </c>
      <c r="F37" t="inlineStr">
        <is>
          <t>ÖREBRO LÄN</t>
        </is>
      </c>
      <c r="G37" t="inlineStr">
        <is>
          <t>DEGERFORS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Hårklomossa</t>
        </is>
      </c>
      <c r="W37">
        <f>HYPERLINK("https://klasma.github.io/Logging_1862/artfynd/A 14121-2022 artfynd.xlsx", "A 14121-2022")</f>
        <v/>
      </c>
      <c r="X37">
        <f>HYPERLINK("https://klasma.github.io/Logging_1862/kartor/A 14121-2022 karta.png", "A 14121-2022")</f>
        <v/>
      </c>
      <c r="Y37">
        <f>HYPERLINK("https://klasma.github.io/Logging_1862/kartor_geotiff/A 14121-2022 georefererad karta.tif", "A 14121-2022")</f>
        <v/>
      </c>
      <c r="AA37">
        <f>HYPERLINK("https://klasma.github.io/Logging_1862/klagomål/A 14121-2022 FSC-klagomål.docx", "A 14121-2022")</f>
        <v/>
      </c>
      <c r="AB37">
        <f>HYPERLINK("https://klasma.github.io/Logging_1862/klagomålsmail/A 14121-2022 FSC-klagomål mail.docx", "A 14121-2022")</f>
        <v/>
      </c>
      <c r="AC37">
        <f>HYPERLINK("https://klasma.github.io/Logging_1862/tillsyn/A 14121-2022 tillsynsbegäran.docx", "A 14121-2022")</f>
        <v/>
      </c>
      <c r="AD37">
        <f>HYPERLINK("https://klasma.github.io/Logging_1862/tillsynsmail/A 14121-2022 tillsynsbegäran mail.docx", "A 14121-2022")</f>
        <v/>
      </c>
    </row>
    <row r="38" ht="15" customHeight="1">
      <c r="A38" t="inlineStr">
        <is>
          <t>A 38907-2023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46324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38907-2023 artfynd.xlsx", "A 38907-2023")</f>
        <v/>
      </c>
      <c r="X38">
        <f>HYPERLINK("https://klasma.github.io/Logging_1862/kartor/A 38907-2023 karta.png", "A 38907-2023")</f>
        <v/>
      </c>
      <c r="Y38">
        <f>HYPERLINK("https://klasma.github.io/Logging_1862/kartor_geotiff/A 38907-2023 georefererad karta.tif", "A 38907-2023")</f>
        <v/>
      </c>
      <c r="AA38">
        <f>HYPERLINK("https://klasma.github.io/Logging_1862/klagomål/A 38907-2023 FSC-klagomål.docx", "A 38907-2023")</f>
        <v/>
      </c>
      <c r="AB38">
        <f>HYPERLINK("https://klasma.github.io/Logging_1862/klagomålsmail/A 38907-2023 FSC-klagomål mail.docx", "A 38907-2023")</f>
        <v/>
      </c>
      <c r="AC38">
        <f>HYPERLINK("https://klasma.github.io/Logging_1862/tillsyn/A 38907-2023 tillsynsbegäran.docx", "A 38907-2023")</f>
        <v/>
      </c>
      <c r="AD38">
        <f>HYPERLINK("https://klasma.github.io/Logging_1862/tillsynsmail/A 38907-2023 tillsynsbegäran mail.docx", "A 38907-2023")</f>
        <v/>
      </c>
      <c r="AE38">
        <f>HYPERLINK("https://klasma.github.io/Logging_1862/fåglar/A 38907-2023 prioriterade fågelarter.docx", "A 38907-2023")</f>
        <v/>
      </c>
    </row>
    <row r="39" ht="15" customHeight="1">
      <c r="A39" t="inlineStr">
        <is>
          <t>A 33297-2023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45116</v>
      </c>
      <c r="E39" s="1" t="n">
        <v>46324</v>
      </c>
      <c r="F39" t="inlineStr">
        <is>
          <t>ÖREBRO LÄN</t>
        </is>
      </c>
      <c r="G39" t="inlineStr">
        <is>
          <t>DEGERFORS</t>
        </is>
      </c>
      <c r="I39" t="n">
        <v>7.2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HYPERLINK("https://klasma.github.io/Logging_1862/artfynd/A 33297-2023 artfynd.xlsx", "A 33297-2023")</f>
        <v/>
      </c>
      <c r="X39">
        <f>HYPERLINK("https://klasma.github.io/Logging_1862/kartor/A 33297-2023 karta.png", "A 33297-2023")</f>
        <v/>
      </c>
      <c r="Y39">
        <f>HYPERLINK("https://klasma.github.io/Logging_1862/kartor_geotiff/A 33297-2023 georefererad karta.tif", "A 33297-2023")</f>
        <v/>
      </c>
      <c r="AA39">
        <f>HYPERLINK("https://klasma.github.io/Logging_1862/klagomål/A 33297-2023 FSC-klagomål.docx", "A 33297-2023")</f>
        <v/>
      </c>
      <c r="AB39">
        <f>HYPERLINK("https://klasma.github.io/Logging_1862/klagomålsmail/A 33297-2023 FSC-klagomål mail.docx", "A 33297-2023")</f>
        <v/>
      </c>
      <c r="AC39">
        <f>HYPERLINK("https://klasma.github.io/Logging_1862/tillsyn/A 33297-2023 tillsynsbegäran.docx", "A 33297-2023")</f>
        <v/>
      </c>
      <c r="AD39">
        <f>HYPERLINK("https://klasma.github.io/Logging_1862/tillsynsmail/A 33297-2023 tillsynsbegäran mail.docx", "A 33297-2023")</f>
        <v/>
      </c>
    </row>
    <row r="40" ht="15" customHeight="1">
      <c r="A40" t="inlineStr">
        <is>
          <t>A 27071-2026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46186</v>
      </c>
      <c r="E40" s="1" t="n">
        <v>46324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HYPERLINK("https://klasma.github.io/Logging_1862/artfynd/A 27071-2026 artfynd.xlsx", "A 27071-2026")</f>
        <v/>
      </c>
      <c r="X40">
        <f>HYPERLINK("https://klasma.github.io/Logging_1862/kartor/A 27071-2026 karta.png", "A 27071-2026")</f>
        <v/>
      </c>
      <c r="Y40">
        <f>HYPERLINK("https://klasma.github.io/Logging_1862/kartor_geotiff/A 27071-2026 georefererad karta.tif", "A 27071-2026")</f>
        <v/>
      </c>
      <c r="AA40">
        <f>HYPERLINK("https://klasma.github.io/Logging_1862/klagomål/A 27071-2026 FSC-klagomål.docx", "A 27071-2026")</f>
        <v/>
      </c>
      <c r="AB40">
        <f>HYPERLINK("https://klasma.github.io/Logging_1862/klagomålsmail/A 27071-2026 FSC-klagomål mail.docx", "A 27071-2026")</f>
        <v/>
      </c>
      <c r="AC40">
        <f>HYPERLINK("https://klasma.github.io/Logging_1862/tillsyn/A 27071-2026 tillsynsbegäran.docx", "A 27071-2026")</f>
        <v/>
      </c>
      <c r="AD40">
        <f>HYPERLINK("https://klasma.github.io/Logging_1862/tillsynsmail/A 27071-2026 tillsynsbegäran mail.docx", "A 27071-2026")</f>
        <v/>
      </c>
    </row>
    <row r="41" ht="15" customHeight="1">
      <c r="A41" t="inlineStr">
        <is>
          <t>A 27072-2026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46186</v>
      </c>
      <c r="E41" s="1" t="n">
        <v>46324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HYPERLINK("https://klasma.github.io/Logging_1862/artfynd/A 27072-2026 artfynd.xlsx", "A 27072-2026")</f>
        <v/>
      </c>
      <c r="X41">
        <f>HYPERLINK("https://klasma.github.io/Logging_1862/kartor/A 27072-2026 karta.png", "A 27072-2026")</f>
        <v/>
      </c>
      <c r="Y41">
        <f>HYPERLINK("https://klasma.github.io/Logging_1862/kartor_geotiff/A 27072-2026 georefererad karta.tif", "A 27072-2026")</f>
        <v/>
      </c>
      <c r="AA41">
        <f>HYPERLINK("https://klasma.github.io/Logging_1862/klagomål/A 27072-2026 FSC-klagomål.docx", "A 27072-2026")</f>
        <v/>
      </c>
      <c r="AB41">
        <f>HYPERLINK("https://klasma.github.io/Logging_1862/klagomålsmail/A 27072-2026 FSC-klagomål mail.docx", "A 27072-2026")</f>
        <v/>
      </c>
      <c r="AC41">
        <f>HYPERLINK("https://klasma.github.io/Logging_1862/tillsyn/A 27072-2026 tillsynsbegäran.docx", "A 27072-2026")</f>
        <v/>
      </c>
      <c r="AD41">
        <f>HYPERLINK("https://klasma.github.io/Logging_1862/tillsynsmail/A 27072-2026 tillsynsbegäran mail.docx", "A 27072-2026")</f>
        <v/>
      </c>
      <c r="AE41">
        <f>HYPERLINK("https://klasma.github.io/Logging_1862/fåglar/A 27072-2026 prioriterade fågelarter.docx", "A 27072-2026")</f>
        <v/>
      </c>
    </row>
    <row r="42" ht="15" customHeight="1">
      <c r="A42" t="inlineStr">
        <is>
          <t>A 38904-2023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46324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38904-2023 artfynd.xlsx", "A 38904-2023")</f>
        <v/>
      </c>
      <c r="X42">
        <f>HYPERLINK("https://klasma.github.io/Logging_1862/kartor/A 38904-2023 karta.png", "A 38904-2023")</f>
        <v/>
      </c>
      <c r="Y42">
        <f>HYPERLINK("https://klasma.github.io/Logging_1862/kartor_geotiff/A 38904-2023 georefererad karta.tif", "A 38904-2023")</f>
        <v/>
      </c>
      <c r="AA42">
        <f>HYPERLINK("https://klasma.github.io/Logging_1862/klagomål/A 38904-2023 FSC-klagomål.docx", "A 38904-2023")</f>
        <v/>
      </c>
      <c r="AB42">
        <f>HYPERLINK("https://klasma.github.io/Logging_1862/klagomålsmail/A 38904-2023 FSC-klagomål mail.docx", "A 38904-2023")</f>
        <v/>
      </c>
      <c r="AC42">
        <f>HYPERLINK("https://klasma.github.io/Logging_1862/tillsyn/A 38904-2023 tillsynsbegäran.docx", "A 38904-2023")</f>
        <v/>
      </c>
      <c r="AD42">
        <f>HYPERLINK("https://klasma.github.io/Logging_1862/tillsynsmail/A 38904-2023 tillsynsbegäran mail.docx", "A 38904-2023")</f>
        <v/>
      </c>
      <c r="AE42">
        <f>HYPERLINK("https://klasma.github.io/Logging_1862/fåglar/A 38904-2023 prioriterade fågelarter.docx", "A 38904-2023")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46324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HYPERLINK("https://klasma.github.io/Logging_1862/artfynd/A 26971-2026 artfynd.xlsx", "A 26971-2026")</f>
        <v/>
      </c>
      <c r="X43">
        <f>HYPERLINK("https://klasma.github.io/Logging_1862/kartor/A 26971-2026 karta.png", "A 26971-2026")</f>
        <v/>
      </c>
      <c r="Y43">
        <f>HYPERLINK("https://klasma.github.io/Logging_1862/kartor_geotiff/A 26971-2026 georefererad karta.tif", "A 26971-2026")</f>
        <v/>
      </c>
      <c r="AA43">
        <f>HYPERLINK("https://klasma.github.io/Logging_1862/klagomål/A 26971-2026 FSC-klagomål.docx", "A 26971-2026")</f>
        <v/>
      </c>
      <c r="AB43">
        <f>HYPERLINK("https://klasma.github.io/Logging_1862/klagomålsmail/A 26971-2026 FSC-klagomål mail.docx", "A 26971-2026")</f>
        <v/>
      </c>
      <c r="AC43">
        <f>HYPERLINK("https://klasma.github.io/Logging_1862/tillsyn/A 26971-2026 tillsynsbegäran.docx", "A 26971-2026")</f>
        <v/>
      </c>
      <c r="AD43">
        <f>HYPERLINK("https://klasma.github.io/Logging_1862/tillsynsmail/A 26971-2026 tillsynsbegäran mail.docx", "A 26971-2026")</f>
        <v/>
      </c>
    </row>
    <row r="44" ht="15" customHeight="1">
      <c r="A44" t="inlineStr">
        <is>
          <t>A 14177-2026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HYPERLINK("https://klasma.github.io/Logging_1862/artfynd/A 14177-2026 artfynd.xlsx", "A 14177-2026")</f>
        <v/>
      </c>
      <c r="X44">
        <f>HYPERLINK("https://klasma.github.io/Logging_1862/kartor/A 14177-2026 karta.png", "A 14177-2026")</f>
        <v/>
      </c>
      <c r="Y44">
        <f>HYPERLINK("https://klasma.github.io/Logging_1862/kartor_geotiff/A 14177-2026 georefererad karta.tif", "A 14177-2026")</f>
        <v/>
      </c>
      <c r="AA44">
        <f>HYPERLINK("https://klasma.github.io/Logging_1862/klagomål/A 14177-2026 FSC-klagomål.docx", "A 14177-2026")</f>
        <v/>
      </c>
      <c r="AB44">
        <f>HYPERLINK("https://klasma.github.io/Logging_1862/klagomålsmail/A 14177-2026 FSC-klagomål mail.docx", "A 14177-2026")</f>
        <v/>
      </c>
      <c r="AC44">
        <f>HYPERLINK("https://klasma.github.io/Logging_1862/tillsyn/A 14177-2026 tillsynsbegäran.docx", "A 14177-2026")</f>
        <v/>
      </c>
      <c r="AD44">
        <f>HYPERLINK("https://klasma.github.io/Logging_1862/tillsynsmail/A 14177-2026 tillsynsbegäran mail.docx", "A 14177-2026")</f>
        <v/>
      </c>
    </row>
    <row r="45" ht="15" customHeight="1">
      <c r="A45" t="inlineStr">
        <is>
          <t>A 27093-2023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46324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27093-2023 artfynd.xlsx", "A 27093-2023")</f>
        <v/>
      </c>
      <c r="X45">
        <f>HYPERLINK("https://klasma.github.io/Logging_1862/kartor/A 27093-2023 karta.png", "A 27093-2023")</f>
        <v/>
      </c>
      <c r="Y45">
        <f>HYPERLINK("https://klasma.github.io/Logging_1862/kartor_geotiff/A 27093-2023 georefererad karta.tif", "A 27093-2023")</f>
        <v/>
      </c>
      <c r="AA45">
        <f>HYPERLINK("https://klasma.github.io/Logging_1862/klagomål/A 27093-2023 FSC-klagomål.docx", "A 27093-2023")</f>
        <v/>
      </c>
      <c r="AB45">
        <f>HYPERLINK("https://klasma.github.io/Logging_1862/klagomålsmail/A 27093-2023 FSC-klagomål mail.docx", "A 27093-2023")</f>
        <v/>
      </c>
      <c r="AC45">
        <f>HYPERLINK("https://klasma.github.io/Logging_1862/tillsyn/A 27093-2023 tillsynsbegäran.docx", "A 27093-2023")</f>
        <v/>
      </c>
      <c r="AD45">
        <f>HYPERLINK("https://klasma.github.io/Logging_1862/tillsynsmail/A 27093-2023 tillsynsbegäran mail.docx", "A 27093-2023")</f>
        <v/>
      </c>
      <c r="AE45">
        <f>HYPERLINK("https://klasma.github.io/Logging_1862/fåglar/A 27093-2023 prioriterade fågelarter.docx", "A 27093-2023")</f>
        <v/>
      </c>
    </row>
    <row r="46" ht="15" customHeight="1">
      <c r="A46" t="inlineStr">
        <is>
          <t>A 53838-2024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45614</v>
      </c>
      <c r="E46" s="1" t="n">
        <v>46324</v>
      </c>
      <c r="F46" t="inlineStr">
        <is>
          <t>ÖREBRO LÄN</t>
        </is>
      </c>
      <c r="G46" t="inlineStr">
        <is>
          <t>DEGERFORS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53838-2024 artfynd.xlsx", "A 53838-2024")</f>
        <v/>
      </c>
      <c r="X46">
        <f>HYPERLINK("https://klasma.github.io/Logging_1862/kartor/A 53838-2024 karta.png", "A 53838-2024")</f>
        <v/>
      </c>
      <c r="Y46">
        <f>HYPERLINK("https://klasma.github.io/Logging_1862/kartor_geotiff/A 53838-2024 georefererad karta.tif", "A 53838-2024")</f>
        <v/>
      </c>
      <c r="AA46">
        <f>HYPERLINK("https://klasma.github.io/Logging_1862/klagomål/A 53838-2024 FSC-klagomål.docx", "A 53838-2024")</f>
        <v/>
      </c>
      <c r="AB46">
        <f>HYPERLINK("https://klasma.github.io/Logging_1862/klagomålsmail/A 53838-2024 FSC-klagomål mail.docx", "A 53838-2024")</f>
        <v/>
      </c>
      <c r="AC46">
        <f>HYPERLINK("https://klasma.github.io/Logging_1862/tillsyn/A 53838-2024 tillsynsbegäran.docx", "A 53838-2024")</f>
        <v/>
      </c>
      <c r="AD46">
        <f>HYPERLINK("https://klasma.github.io/Logging_1862/tillsynsmail/A 53838-2024 tillsynsbegäran mail.docx", "A 53838-2024")</f>
        <v/>
      </c>
      <c r="AE46">
        <f>HYPERLINK("https://klasma.github.io/Logging_1862/fåglar/A 53838-2024 prioriterade fågelarter.docx", "A 53838-2024")</f>
        <v/>
      </c>
    </row>
    <row r="47" ht="15" customHeight="1">
      <c r="A47" t="inlineStr">
        <is>
          <t>A 2357-2022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46324</v>
      </c>
      <c r="F47" t="inlineStr">
        <is>
          <t>ÖREBRO LÄN</t>
        </is>
      </c>
      <c r="G47" t="inlineStr">
        <is>
          <t>DEGERFORS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2357-2022 artfynd.xlsx", "A 2357-2022")</f>
        <v/>
      </c>
      <c r="X47">
        <f>HYPERLINK("https://klasma.github.io/Logging_1862/kartor/A 2357-2022 karta.png", "A 2357-2022")</f>
        <v/>
      </c>
      <c r="Y47">
        <f>HYPERLINK("https://klasma.github.io/Logging_1862/kartor_geotiff/A 2357-2022 georefererad karta.tif", "A 2357-2022")</f>
        <v/>
      </c>
      <c r="AA47">
        <f>HYPERLINK("https://klasma.github.io/Logging_1862/klagomål/A 2357-2022 FSC-klagomål.docx", "A 2357-2022")</f>
        <v/>
      </c>
      <c r="AB47">
        <f>HYPERLINK("https://klasma.github.io/Logging_1862/klagomålsmail/A 2357-2022 FSC-klagomål mail.docx", "A 2357-2022")</f>
        <v/>
      </c>
      <c r="AC47">
        <f>HYPERLINK("https://klasma.github.io/Logging_1862/tillsyn/A 2357-2022 tillsynsbegäran.docx", "A 2357-2022")</f>
        <v/>
      </c>
      <c r="AD47">
        <f>HYPERLINK("https://klasma.github.io/Logging_1862/tillsynsmail/A 2357-2022 tillsynsbegäran mail.docx", "A 2357-2022")</f>
        <v/>
      </c>
      <c r="AE47">
        <f>HYPERLINK("https://klasma.github.io/Logging_1862/fåglar/A 2357-2022 prioriterade fågelarter.docx", "A 2357-2022")</f>
        <v/>
      </c>
    </row>
    <row r="48" ht="15" customHeight="1">
      <c r="A48" t="inlineStr">
        <is>
          <t>A 42337-2026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46307</v>
      </c>
      <c r="E48" s="1" t="n">
        <v>46324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HYPERLINK("https://klasma.github.io/Logging_1862/artfynd/A 42337-2026 artfynd.xlsx", "A 42337-2026")</f>
        <v/>
      </c>
      <c r="X48">
        <f>HYPERLINK("https://klasma.github.io/Logging_1862/kartor/A 42337-2026 karta.png", "A 42337-2026")</f>
        <v/>
      </c>
      <c r="Y48">
        <f>HYPERLINK("https://klasma.github.io/Logging_1862/kartor_geotiff/A 42337-2026 georefererad karta.tif", "A 42337-2026")</f>
        <v/>
      </c>
      <c r="AA48">
        <f>HYPERLINK("https://klasma.github.io/Logging_1862/klagomål/A 42337-2026 FSC-klagomål.docx", "A 42337-2026")</f>
        <v/>
      </c>
      <c r="AB48">
        <f>HYPERLINK("https://klasma.github.io/Logging_1862/klagomålsmail/A 42337-2026 FSC-klagomål mail.docx", "A 42337-2026")</f>
        <v/>
      </c>
      <c r="AC48">
        <f>HYPERLINK("https://klasma.github.io/Logging_1862/tillsyn/A 42337-2026 tillsynsbegäran.docx", "A 42337-2026")</f>
        <v/>
      </c>
      <c r="AD48">
        <f>HYPERLINK("https://klasma.github.io/Logging_1862/tillsynsmail/A 42337-2026 tillsynsbegäran mail.docx", "A 42337-2026")</f>
        <v/>
      </c>
    </row>
    <row r="49" ht="15" customHeight="1">
      <c r="A49" t="inlineStr">
        <is>
          <t>A 48285-2023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46324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HYPERLINK("https://klasma.github.io/Logging_1862/artfynd/A 48285-2023 artfynd.xlsx", "A 48285-2023")</f>
        <v/>
      </c>
      <c r="X49">
        <f>HYPERLINK("https://klasma.github.io/Logging_1862/kartor/A 48285-2023 karta.png", "A 48285-2023")</f>
        <v/>
      </c>
      <c r="Y49">
        <f>HYPERLINK("https://klasma.github.io/Logging_1862/kartor_geotiff/A 48285-2023 georefererad karta.tif", "A 48285-2023")</f>
        <v/>
      </c>
      <c r="AA49">
        <f>HYPERLINK("https://klasma.github.io/Logging_1862/klagomål/A 48285-2023 FSC-klagomål.docx", "A 48285-2023")</f>
        <v/>
      </c>
      <c r="AB49">
        <f>HYPERLINK("https://klasma.github.io/Logging_1862/klagomålsmail/A 48285-2023 FSC-klagomål mail.docx", "A 48285-2023")</f>
        <v/>
      </c>
      <c r="AC49">
        <f>HYPERLINK("https://klasma.github.io/Logging_1862/tillsyn/A 48285-2023 tillsynsbegäran.docx", "A 48285-2023")</f>
        <v/>
      </c>
      <c r="AD49">
        <f>HYPERLINK("https://klasma.github.io/Logging_1862/tillsynsmail/A 48285-2023 tillsynsbegäran mail.docx", "A 48285-2023")</f>
        <v/>
      </c>
      <c r="AE49">
        <f>HYPERLINK("https://klasma.github.io/Logging_1862/fåglar/A 48285-2023 prioriterade fågelarter.docx", "A 48285-2023")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46324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46324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46324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46324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46324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46324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46324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51653-2023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46324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44643</v>
      </c>
      <c r="E58" s="1" t="n">
        <v>46324</v>
      </c>
      <c r="F58" t="inlineStr">
        <is>
          <t>ÖREBRO LÄN</t>
        </is>
      </c>
      <c r="G58" t="inlineStr">
        <is>
          <t>DEGERFORS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20577-2023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45057</v>
      </c>
      <c r="E59" s="1" t="n">
        <v>46324</v>
      </c>
      <c r="F59" t="inlineStr">
        <is>
          <t>ÖREBRO LÄN</t>
        </is>
      </c>
      <c r="G59" t="inlineStr">
        <is>
          <t>DEGERFORS</t>
        </is>
      </c>
      <c r="H59" t="inlineStr">
        <is>
          <t>Sveaskog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46324</v>
      </c>
      <c r="F60" t="inlineStr">
        <is>
          <t>ÖREBRO LÄN</t>
        </is>
      </c>
      <c r="G60" t="inlineStr">
        <is>
          <t>DEGERFORS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46324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46324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45192</v>
      </c>
      <c r="E63" s="1" t="n">
        <v>46324</v>
      </c>
      <c r="F63" t="inlineStr">
        <is>
          <t>ÖREBRO LÄN</t>
        </is>
      </c>
      <c r="G63" t="inlineStr">
        <is>
          <t>DEGERFORS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6387-2024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45338</v>
      </c>
      <c r="E64" s="1" t="n">
        <v>46324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46324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46324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46324</v>
      </c>
      <c r="F67" t="inlineStr">
        <is>
          <t>ÖREBRO LÄN</t>
        </is>
      </c>
      <c r="G67" t="inlineStr">
        <is>
          <t>DEGERFORS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46324</v>
      </c>
      <c r="F68" t="inlineStr">
        <is>
          <t>ÖREBRO LÄN</t>
        </is>
      </c>
      <c r="G68" t="inlineStr">
        <is>
          <t>DEGERFORS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45337</v>
      </c>
      <c r="E69" s="1" t="n">
        <v>46324</v>
      </c>
      <c r="F69" t="inlineStr">
        <is>
          <t>ÖREBRO LÄN</t>
        </is>
      </c>
      <c r="G69" t="inlineStr">
        <is>
          <t>DEGERFORS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45887</v>
      </c>
      <c r="E70" s="1" t="n">
        <v>46324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46324</v>
      </c>
      <c r="F71" t="inlineStr">
        <is>
          <t>ÖREBRO LÄN</t>
        </is>
      </c>
      <c r="G71" t="inlineStr">
        <is>
          <t>DEGERFORS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6394-2024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45338</v>
      </c>
      <c r="E72" s="1" t="n">
        <v>46324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46324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46324</v>
      </c>
      <c r="F74" t="inlineStr">
        <is>
          <t>ÖREBRO LÄN</t>
        </is>
      </c>
      <c r="G74" t="inlineStr">
        <is>
          <t>DEGERFORS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45810</v>
      </c>
      <c r="E75" s="1" t="n">
        <v>46324</v>
      </c>
      <c r="F75" t="inlineStr">
        <is>
          <t>ÖREBRO LÄN</t>
        </is>
      </c>
      <c r="G75" t="inlineStr">
        <is>
          <t>DEGERFORS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26783-2025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46324</v>
      </c>
      <c r="F76" t="inlineStr">
        <is>
          <t>ÖREBRO LÄN</t>
        </is>
      </c>
      <c r="G76" t="inlineStr">
        <is>
          <t>DEGERFORS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46324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46324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46324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46324</v>
      </c>
      <c r="F80" t="inlineStr">
        <is>
          <t>ÖREBRO LÄN</t>
        </is>
      </c>
      <c r="G80" t="inlineStr">
        <is>
          <t>DEGERFORS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46324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45116</v>
      </c>
      <c r="E82" s="1" t="n">
        <v>46324</v>
      </c>
      <c r="F82" t="inlineStr">
        <is>
          <t>ÖREBRO LÄN</t>
        </is>
      </c>
      <c r="G82" t="inlineStr">
        <is>
          <t>DEGERFORS</t>
        </is>
      </c>
      <c r="I82" t="n">
        <v>17.2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45190</v>
      </c>
      <c r="E83" s="1" t="n">
        <v>46324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46324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46324</v>
      </c>
      <c r="F85" t="inlineStr">
        <is>
          <t>ÖREBRO LÄN</t>
        </is>
      </c>
      <c r="G85" t="inlineStr">
        <is>
          <t>DEGERFORS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46324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46324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45763</v>
      </c>
      <c r="E88" s="1" t="n">
        <v>46324</v>
      </c>
      <c r="F88" t="inlineStr">
        <is>
          <t>ÖREBRO LÄN</t>
        </is>
      </c>
      <c r="G88" t="inlineStr">
        <is>
          <t>DEGERFORS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46324</v>
      </c>
      <c r="F89" t="inlineStr">
        <is>
          <t>ÖREBRO LÄN</t>
        </is>
      </c>
      <c r="G89" t="inlineStr">
        <is>
          <t>DEGERFORS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46324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46324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46324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46324</v>
      </c>
      <c r="F93" t="inlineStr">
        <is>
          <t>ÖREBRO LÄN</t>
        </is>
      </c>
      <c r="G93" t="inlineStr">
        <is>
          <t>DEGERFORS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45387</v>
      </c>
      <c r="E94" s="1" t="n">
        <v>46324</v>
      </c>
      <c r="F94" t="inlineStr">
        <is>
          <t>ÖREBRO LÄN</t>
        </is>
      </c>
      <c r="G94" t="inlineStr">
        <is>
          <t>DEGERFORS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46324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46324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46324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33404-2025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46324</v>
      </c>
      <c r="F98" t="inlineStr">
        <is>
          <t>ÖREBRO LÄN</t>
        </is>
      </c>
      <c r="G98" t="inlineStr">
        <is>
          <t>DEGERFORS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46324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46324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37672-2024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45541</v>
      </c>
      <c r="E101" s="1" t="n">
        <v>46324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37333-2025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45876</v>
      </c>
      <c r="E102" s="1" t="n">
        <v>46324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46324</v>
      </c>
      <c r="F103" t="inlineStr">
        <is>
          <t>ÖREBRO LÄN</t>
        </is>
      </c>
      <c r="G103" t="inlineStr">
        <is>
          <t>DEGERFORS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46324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15594-2025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46324</v>
      </c>
      <c r="F105" t="inlineStr">
        <is>
          <t>ÖREBRO LÄN</t>
        </is>
      </c>
      <c r="G105" t="inlineStr">
        <is>
          <t>DEGERFORS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46324</v>
      </c>
      <c r="F106" t="inlineStr">
        <is>
          <t>ÖREBRO LÄN</t>
        </is>
      </c>
      <c r="G106" t="inlineStr">
        <is>
          <t>DEGERFORS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46324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46148</v>
      </c>
      <c r="E108" s="1" t="n">
        <v>46324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46148</v>
      </c>
      <c r="E109" s="1" t="n">
        <v>46324</v>
      </c>
      <c r="F109" t="inlineStr">
        <is>
          <t>ÖREBRO LÄN</t>
        </is>
      </c>
      <c r="G109" t="inlineStr">
        <is>
          <t>DEGERFORS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63905-2021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46324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46324</v>
      </c>
      <c r="F111" t="inlineStr">
        <is>
          <t>ÖREBRO LÄN</t>
        </is>
      </c>
      <c r="G111" t="inlineStr">
        <is>
          <t>DEGERFORS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46324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46324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46324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45190</v>
      </c>
      <c r="E115" s="1" t="n">
        <v>46324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46324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46324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46324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46324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45351</v>
      </c>
      <c r="E120" s="1" t="n">
        <v>46324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46324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46324</v>
      </c>
      <c r="F122" t="inlineStr">
        <is>
          <t>ÖREBRO LÄN</t>
        </is>
      </c>
      <c r="G122" t="inlineStr">
        <is>
          <t>DEGERFORS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59158-2022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44904</v>
      </c>
      <c r="E123" s="1" t="n">
        <v>46324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46162</v>
      </c>
      <c r="E124" s="1" t="n">
        <v>46324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46162</v>
      </c>
      <c r="E125" s="1" t="n">
        <v>46324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18773-2025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46324</v>
      </c>
      <c r="F126" t="inlineStr">
        <is>
          <t>ÖREBRO LÄN</t>
        </is>
      </c>
      <c r="G126" t="inlineStr">
        <is>
          <t>DEGERFORS</t>
        </is>
      </c>
      <c r="I126" t="n">
        <v>13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14678-2025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45742</v>
      </c>
      <c r="E127" s="1" t="n">
        <v>46324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44986</v>
      </c>
      <c r="E128" s="1" t="n">
        <v>46324</v>
      </c>
      <c r="F128" t="inlineStr">
        <is>
          <t>ÖREBRO LÄN</t>
        </is>
      </c>
      <c r="G128" t="inlineStr">
        <is>
          <t>DEGERFORS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46324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46324</v>
      </c>
      <c r="F130" t="inlineStr">
        <is>
          <t>ÖREBRO LÄN</t>
        </is>
      </c>
      <c r="G130" t="inlineStr">
        <is>
          <t>DEGERFORS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45996</v>
      </c>
      <c r="E131" s="1" t="n">
        <v>46324</v>
      </c>
      <c r="F131" t="inlineStr">
        <is>
          <t>ÖREBRO LÄN</t>
        </is>
      </c>
      <c r="G131" t="inlineStr">
        <is>
          <t>DEGERFORS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46324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44989</v>
      </c>
      <c r="E133" s="1" t="n">
        <v>46324</v>
      </c>
      <c r="F133" t="inlineStr">
        <is>
          <t>ÖREBRO LÄN</t>
        </is>
      </c>
      <c r="G133" t="inlineStr">
        <is>
          <t>DEGERFORS</t>
        </is>
      </c>
      <c r="I133" t="n">
        <v>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44986</v>
      </c>
      <c r="E134" s="1" t="n">
        <v>46324</v>
      </c>
      <c r="F134" t="inlineStr">
        <is>
          <t>ÖREBRO LÄN</t>
        </is>
      </c>
      <c r="G134" t="inlineStr">
        <is>
          <t>DEGERFORS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50764-2024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46324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33658-2024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45520</v>
      </c>
      <c r="E136" s="1" t="n">
        <v>46324</v>
      </c>
      <c r="F136" t="inlineStr">
        <is>
          <t>ÖREBRO LÄN</t>
        </is>
      </c>
      <c r="G136" t="inlineStr">
        <is>
          <t>DEGERFORS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45205</v>
      </c>
      <c r="E137" s="1" t="n">
        <v>46324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24460-2026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46170</v>
      </c>
      <c r="E138" s="1" t="n">
        <v>46324</v>
      </c>
      <c r="F138" t="inlineStr">
        <is>
          <t>ÖREBRO LÄN</t>
        </is>
      </c>
      <c r="G138" t="inlineStr">
        <is>
          <t>DEGERFORS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46170</v>
      </c>
      <c r="E139" s="1" t="n">
        <v>46324</v>
      </c>
      <c r="F139" t="inlineStr">
        <is>
          <t>ÖREBRO LÄN</t>
        </is>
      </c>
      <c r="G139" t="inlineStr">
        <is>
          <t>DEGERFORS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45861-2023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45195</v>
      </c>
      <c r="E140" s="1" t="n">
        <v>46324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45569</v>
      </c>
      <c r="E141" s="1" t="n">
        <v>46324</v>
      </c>
      <c r="F141" t="inlineStr">
        <is>
          <t>ÖREBRO LÄN</t>
        </is>
      </c>
      <c r="G141" t="inlineStr">
        <is>
          <t>DEGERFORS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46324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46324</v>
      </c>
      <c r="F143" t="inlineStr">
        <is>
          <t>ÖREBRO LÄN</t>
        </is>
      </c>
      <c r="G143" t="inlineStr">
        <is>
          <t>DEGERFORS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44816</v>
      </c>
      <c r="E144" s="1" t="n">
        <v>46324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44986</v>
      </c>
      <c r="E145" s="1" t="n">
        <v>46324</v>
      </c>
      <c r="F145" t="inlineStr">
        <is>
          <t>ÖREBRO LÄN</t>
        </is>
      </c>
      <c r="G145" t="inlineStr">
        <is>
          <t>DEGERFORS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46185</v>
      </c>
      <c r="E146" s="1" t="n">
        <v>46324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46324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26947-2026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46324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46324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46324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46324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46191</v>
      </c>
      <c r="E152" s="1" t="n">
        <v>46324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45535</v>
      </c>
      <c r="E153" s="1" t="n">
        <v>46324</v>
      </c>
      <c r="F153" t="inlineStr">
        <is>
          <t>ÖREBRO LÄN</t>
        </is>
      </c>
      <c r="G153" t="inlineStr">
        <is>
          <t>DEGERFORS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46324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46324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46324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28695-2026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46324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46324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46324</v>
      </c>
      <c r="F159" t="inlineStr">
        <is>
          <t>ÖREBRO LÄN</t>
        </is>
      </c>
      <c r="G159" t="inlineStr">
        <is>
          <t>DEGERFORS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46324</v>
      </c>
      <c r="F160" t="inlineStr">
        <is>
          <t>ÖREBRO LÄN</t>
        </is>
      </c>
      <c r="G160" t="inlineStr">
        <is>
          <t>DEGERFORS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46086</v>
      </c>
      <c r="E161" s="1" t="n">
        <v>46324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46086</v>
      </c>
      <c r="E162" s="1" t="n">
        <v>46324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46324</v>
      </c>
      <c r="F163" t="inlineStr">
        <is>
          <t>ÖREBRO LÄN</t>
        </is>
      </c>
      <c r="G163" t="inlineStr">
        <is>
          <t>DEGERFORS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46324</v>
      </c>
      <c r="F164" t="inlineStr">
        <is>
          <t>ÖREBRO LÄN</t>
        </is>
      </c>
      <c r="G164" t="inlineStr">
        <is>
          <t>DEGERFORS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46092</v>
      </c>
      <c r="E165" s="1" t="n">
        <v>46324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46094</v>
      </c>
      <c r="E166" s="1" t="n">
        <v>46324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46093</v>
      </c>
      <c r="E167" s="1" t="n">
        <v>46324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46324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46324</v>
      </c>
      <c r="F169" t="inlineStr">
        <is>
          <t>ÖREBRO LÄN</t>
        </is>
      </c>
      <c r="G169" t="inlineStr">
        <is>
          <t>DEGERFORS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46324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46324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46324</v>
      </c>
      <c r="F172" t="inlineStr">
        <is>
          <t>ÖREBRO LÄN</t>
        </is>
      </c>
      <c r="G172" t="inlineStr">
        <is>
          <t>DEGERFORS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46324</v>
      </c>
      <c r="F173" t="inlineStr">
        <is>
          <t>ÖREBRO LÄN</t>
        </is>
      </c>
      <c r="G173" t="inlineStr">
        <is>
          <t>DEGERFORS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45581</v>
      </c>
      <c r="E174" s="1" t="n">
        <v>46324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45223</v>
      </c>
      <c r="E175" s="1" t="n">
        <v>46324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45635</v>
      </c>
      <c r="E176" s="1" t="n">
        <v>46324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46129</v>
      </c>
      <c r="E177" s="1" t="n">
        <v>46324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45215</v>
      </c>
      <c r="E178" s="1" t="n">
        <v>46324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46324</v>
      </c>
      <c r="F179" t="inlineStr">
        <is>
          <t>ÖREBRO LÄN</t>
        </is>
      </c>
      <c r="G179" t="inlineStr">
        <is>
          <t>DEGERFORS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62982-2023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45272</v>
      </c>
      <c r="E180" s="1" t="n">
        <v>46324</v>
      </c>
      <c r="F180" t="inlineStr">
        <is>
          <t>ÖREBRO LÄN</t>
        </is>
      </c>
      <c r="G180" t="inlineStr">
        <is>
          <t>DEGERFORS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46324</v>
      </c>
      <c r="F181" t="inlineStr">
        <is>
          <t>ÖREBRO LÄN</t>
        </is>
      </c>
      <c r="G181" t="inlineStr">
        <is>
          <t>DEGERFORS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19227-2026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46132</v>
      </c>
      <c r="E182" s="1" t="n">
        <v>46324</v>
      </c>
      <c r="F182" t="inlineStr">
        <is>
          <t>ÖREBRO LÄN</t>
        </is>
      </c>
      <c r="G182" t="inlineStr">
        <is>
          <t>DEGERFORS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46324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46324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46324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46324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46324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46282</v>
      </c>
      <c r="E188" s="1" t="n">
        <v>46324</v>
      </c>
      <c r="F188" t="inlineStr">
        <is>
          <t>ÖREBRO LÄN</t>
        </is>
      </c>
      <c r="G188" t="inlineStr">
        <is>
          <t>DEGERFORS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32508-2026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46239</v>
      </c>
      <c r="E189" s="1" t="n">
        <v>46324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46283</v>
      </c>
      <c r="E190" s="1" t="n">
        <v>46324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46324</v>
      </c>
      <c r="F191" t="inlineStr">
        <is>
          <t>ÖREBRO LÄN</t>
        </is>
      </c>
      <c r="G191" t="inlineStr">
        <is>
          <t>DEGERFORS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45616</v>
      </c>
      <c r="E192" s="1" t="n">
        <v>46324</v>
      </c>
      <c r="F192" t="inlineStr">
        <is>
          <t>ÖREBRO LÄN</t>
        </is>
      </c>
      <c r="G192" t="inlineStr">
        <is>
          <t>DEGERFORS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45912</v>
      </c>
      <c r="E193" s="1" t="n">
        <v>46324</v>
      </c>
      <c r="F193" t="inlineStr">
        <is>
          <t>ÖREBRO LÄN</t>
        </is>
      </c>
      <c r="G193" t="inlineStr">
        <is>
          <t>DEGERFORS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60907-2023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45261</v>
      </c>
      <c r="E194" s="1" t="n">
        <v>46324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46324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46324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46324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45468</v>
      </c>
      <c r="E198" s="1" t="n">
        <v>46324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46324</v>
      </c>
      <c r="F199" t="inlineStr">
        <is>
          <t>ÖREBRO LÄN</t>
        </is>
      </c>
      <c r="G199" t="inlineStr">
        <is>
          <t>DEGERFORS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46324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46324</v>
      </c>
      <c r="F201" t="inlineStr">
        <is>
          <t>ÖREBRO LÄN</t>
        </is>
      </c>
      <c r="G201" t="inlineStr">
        <is>
          <t>DEGERFORS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45609</v>
      </c>
      <c r="E202" s="1" t="n">
        <v>46324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46324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45233</v>
      </c>
      <c r="E204" s="1" t="n">
        <v>46324</v>
      </c>
      <c r="F204" t="inlineStr">
        <is>
          <t>ÖREBRO LÄN</t>
        </is>
      </c>
      <c r="G204" t="inlineStr">
        <is>
          <t>DEGERFORS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46324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46303</v>
      </c>
      <c r="E206" s="1" t="n">
        <v>46324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35213-2026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46324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9.5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46324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38233-2023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45160</v>
      </c>
      <c r="E209" s="1" t="n">
        <v>46324</v>
      </c>
      <c r="F209" t="inlineStr">
        <is>
          <t>ÖREBRO LÄN</t>
        </is>
      </c>
      <c r="G209" t="inlineStr">
        <is>
          <t>DEGERFORS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46307</v>
      </c>
      <c r="E210" s="1" t="n">
        <v>46324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10674-2024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45369</v>
      </c>
      <c r="E211" s="1" t="n">
        <v>46324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60933-2024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45645</v>
      </c>
      <c r="E212" s="1" t="n">
        <v>46324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73693-2021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46324</v>
      </c>
      <c r="F213" t="inlineStr">
        <is>
          <t>ÖREBRO LÄN</t>
        </is>
      </c>
      <c r="G213" t="inlineStr">
        <is>
          <t>DEGERFORS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28789-2026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46324</v>
      </c>
      <c r="F214" t="inlineStr">
        <is>
          <t>ÖREBRO LÄN</t>
        </is>
      </c>
      <c r="G214" t="inlineStr">
        <is>
          <t>DEGERFORS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46324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46324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45219</v>
      </c>
      <c r="E217" s="1" t="n">
        <v>46324</v>
      </c>
      <c r="F217" t="inlineStr">
        <is>
          <t>ÖREBRO LÄN</t>
        </is>
      </c>
      <c r="G217" t="inlineStr">
        <is>
          <t>DEGERFORS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46268</v>
      </c>
      <c r="E218" s="1" t="n">
        <v>46324</v>
      </c>
      <c r="F218" t="inlineStr">
        <is>
          <t>ÖREBRO LÄN</t>
        </is>
      </c>
      <c r="G218" t="inlineStr">
        <is>
          <t>DEGERFORS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46268</v>
      </c>
      <c r="E219" s="1" t="n">
        <v>46324</v>
      </c>
      <c r="F219" t="inlineStr">
        <is>
          <t>ÖREBRO LÄN</t>
        </is>
      </c>
      <c r="G219" t="inlineStr">
        <is>
          <t>DEGERFORS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36339-2026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46268</v>
      </c>
      <c r="E220" s="1" t="n">
        <v>46324</v>
      </c>
      <c r="F220" t="inlineStr">
        <is>
          <t>ÖREBRO LÄN</t>
        </is>
      </c>
      <c r="G220" t="inlineStr">
        <is>
          <t>DEGERFORS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41889-2026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46303</v>
      </c>
      <c r="E221" s="1" t="n">
        <v>46324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46324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46324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46320</v>
      </c>
      <c r="E224" s="1" t="n">
        <v>46324</v>
      </c>
      <c r="F224" t="inlineStr">
        <is>
          <t>ÖREBRO LÄN</t>
        </is>
      </c>
      <c r="G224" t="inlineStr">
        <is>
          <t>DEGERFORS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45351</v>
      </c>
      <c r="E225" s="1" t="n">
        <v>46324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21952-2024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45443</v>
      </c>
      <c r="E226" s="1" t="n">
        <v>46324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46281</v>
      </c>
      <c r="E227" s="1" t="n">
        <v>46324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46324</v>
      </c>
      <c r="F228" t="inlineStr">
        <is>
          <t>ÖREBRO LÄN</t>
        </is>
      </c>
      <c r="G228" t="inlineStr">
        <is>
          <t>DEGERFORS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46324</v>
      </c>
      <c r="F229" t="inlineStr">
        <is>
          <t>ÖREBRO LÄN</t>
        </is>
      </c>
      <c r="G229" t="inlineStr">
        <is>
          <t>DEGERFORS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12143-2025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45729</v>
      </c>
      <c r="E230" s="1" t="n">
        <v>46324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46324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46324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46324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46324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46324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46324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46324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46324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2026-10-29T03:12:03Z</dcterms:created>
  <dcterms:modified xmlns:dcterms="http://purl.org/dc/terms/" xmlns:xsi="http://www.w3.org/2001/XMLSchema-instance" xsi:type="dcterms:W3CDTF">2026-10-29T03:12:04Z</dcterms:modified>
</cp:coreProperties>
</file>