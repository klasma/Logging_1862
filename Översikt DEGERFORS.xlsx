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45877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45877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45877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45877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45877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45877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45877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45877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45877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45877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HYPERLINK("https://klasma.github.io/Logging_181862/artfynd/A 36081-2025 artfynd.xlsx", "A 36081-2025")</f>
        <v/>
      </c>
      <c r="T11">
        <f>HYPERLINK("https://klasma.github.io/Logging_181862/kartor/A 36081-2025 karta.png", "A 36081-2025")</f>
        <v/>
      </c>
      <c r="V11">
        <f>HYPERLINK("https://klasma.github.io/Logging_181862/klagomål/A 36081-2025 FSC-klagomål.docx", "A 36081-2025")</f>
        <v/>
      </c>
      <c r="W11">
        <f>HYPERLINK("https://klasma.github.io/Logging_181862/klagomålsmail/A 36081-2025 FSC-klagomål mail.docx", "A 36081-2025")</f>
        <v/>
      </c>
      <c r="X11">
        <f>HYPERLINK("https://klasma.github.io/Logging_181862/tillsyn/A 36081-2025 tillsynsbegäran.docx", "A 36081-2025")</f>
        <v/>
      </c>
      <c r="Y11">
        <f>HYPERLINK("https://klasma.github.io/Logging_181862/tillsynsmail/A 36081-2025 tillsynsbegäran mail.docx", "A 36081-2025")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45877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45877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45877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7384-2023</t>
        </is>
      </c>
      <c r="B15" s="1" t="n">
        <v>44966</v>
      </c>
      <c r="C15" s="1" t="n">
        <v>45877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HYPERLINK("https://klasma.github.io/Logging_1862/artfynd/A 7384-2023 artfynd.xlsx", "A 7384-2023")</f>
        <v/>
      </c>
      <c r="T15">
        <f>HYPERLINK("https://klasma.github.io/Logging_1862/kartor/A 7384-2023 karta.png", "A 7384-2023")</f>
        <v/>
      </c>
      <c r="V15">
        <f>HYPERLINK("https://klasma.github.io/Logging_1862/klagomål/A 7384-2023 FSC-klagomål.docx", "A 7384-2023")</f>
        <v/>
      </c>
      <c r="W15">
        <f>HYPERLINK("https://klasma.github.io/Logging_1862/klagomålsmail/A 7384-2023 FSC-klagomål mail.docx", "A 7384-2023")</f>
        <v/>
      </c>
      <c r="X15">
        <f>HYPERLINK("https://klasma.github.io/Logging_1862/tillsyn/A 7384-2023 tillsynsbegäran.docx", "A 7384-2023")</f>
        <v/>
      </c>
      <c r="Y15">
        <f>HYPERLINK("https://klasma.github.io/Logging_1862/tillsynsmail/A 7384-2023 tillsynsbegäran mail.docx", "A 7384-2023")</f>
        <v/>
      </c>
    </row>
    <row r="16" ht="15" customHeight="1">
      <c r="A16" t="inlineStr">
        <is>
          <t>A 27088-2023</t>
        </is>
      </c>
      <c r="B16" s="1" t="n">
        <v>45096</v>
      </c>
      <c r="C16" s="1" t="n">
        <v>45877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Stubbspretmossa</t>
        </is>
      </c>
      <c r="S16">
        <f>HYPERLINK("https://klasma.github.io/Logging_1862/artfynd/A 27088-2023 artfynd.xlsx", "A 27088-2023")</f>
        <v/>
      </c>
      <c r="T16">
        <f>HYPERLINK("https://klasma.github.io/Logging_1862/kartor/A 27088-2023 karta.png", "A 27088-2023")</f>
        <v/>
      </c>
      <c r="V16">
        <f>HYPERLINK("https://klasma.github.io/Logging_1862/klagomål/A 27088-2023 FSC-klagomål.docx", "A 27088-2023")</f>
        <v/>
      </c>
      <c r="W16">
        <f>HYPERLINK("https://klasma.github.io/Logging_1862/klagomålsmail/A 27088-2023 FSC-klagomål mail.docx", "A 27088-2023")</f>
        <v/>
      </c>
      <c r="X16">
        <f>HYPERLINK("https://klasma.github.io/Logging_1862/tillsyn/A 27088-2023 tillsynsbegäran.docx", "A 27088-2023")</f>
        <v/>
      </c>
      <c r="Y16">
        <f>HYPERLINK("https://klasma.github.io/Logging_1862/tillsynsmail/A 27088-2023 tillsynsbegäran mail.docx", "A 27088-2023")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45877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45877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45877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45877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44858-2023</t>
        </is>
      </c>
      <c r="B21" s="1" t="n">
        <v>45190</v>
      </c>
      <c r="C21" s="1" t="n">
        <v>45877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44858-2023 artfynd.xlsx", "A 44858-2023")</f>
        <v/>
      </c>
      <c r="T21">
        <f>HYPERLINK("https://klasma.github.io/Logging_1862/kartor/A 44858-2023 karta.png", "A 44858-2023")</f>
        <v/>
      </c>
      <c r="V21">
        <f>HYPERLINK("https://klasma.github.io/Logging_1862/klagomål/A 44858-2023 FSC-klagomål.docx", "A 44858-2023")</f>
        <v/>
      </c>
      <c r="W21">
        <f>HYPERLINK("https://klasma.github.io/Logging_1862/klagomålsmail/A 44858-2023 FSC-klagomål mail.docx", "A 44858-2023")</f>
        <v/>
      </c>
      <c r="X21">
        <f>HYPERLINK("https://klasma.github.io/Logging_1862/tillsyn/A 44858-2023 tillsynsbegäran.docx", "A 44858-2023")</f>
        <v/>
      </c>
      <c r="Y21">
        <f>HYPERLINK("https://klasma.github.io/Logging_1862/tillsynsmail/A 44858-2023 tillsynsbegäran mail.docx", "A 44858-2023")</f>
        <v/>
      </c>
      <c r="Z21">
        <f>HYPERLINK("https://klasma.github.io/Logging_1862/fåglar/A 44858-2023 prioriterade fågelarter.docx", "A 44858-2023")</f>
        <v/>
      </c>
    </row>
    <row r="22" ht="15" customHeight="1">
      <c r="A22" t="inlineStr">
        <is>
          <t>A 44862-2023</t>
        </is>
      </c>
      <c r="B22" s="1" t="n">
        <v>45190</v>
      </c>
      <c r="C22" s="1" t="n">
        <v>45877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HYPERLINK("https://klasma.github.io/Logging_1862/artfynd/A 44862-2023 artfynd.xlsx", "A 44862-2023")</f>
        <v/>
      </c>
      <c r="T22">
        <f>HYPERLINK("https://klasma.github.io/Logging_1862/kartor/A 44862-2023 karta.png", "A 44862-2023")</f>
        <v/>
      </c>
      <c r="V22">
        <f>HYPERLINK("https://klasma.github.io/Logging_1862/klagomål/A 44862-2023 FSC-klagomål.docx", "A 44862-2023")</f>
        <v/>
      </c>
      <c r="W22">
        <f>HYPERLINK("https://klasma.github.io/Logging_1862/klagomålsmail/A 44862-2023 FSC-klagomål mail.docx", "A 44862-2023")</f>
        <v/>
      </c>
      <c r="X22">
        <f>HYPERLINK("https://klasma.github.io/Logging_1862/tillsyn/A 44862-2023 tillsynsbegäran.docx", "A 44862-2023")</f>
        <v/>
      </c>
      <c r="Y22">
        <f>HYPERLINK("https://klasma.github.io/Logging_1862/tillsynsmail/A 44862-2023 tillsynsbegäran mail.docx", "A 44862-2023")</f>
        <v/>
      </c>
    </row>
    <row r="23" ht="15" customHeight="1">
      <c r="A23" t="inlineStr">
        <is>
          <t>A 48284-2023</t>
        </is>
      </c>
      <c r="B23" s="1" t="n">
        <v>45205</v>
      </c>
      <c r="C23" s="1" t="n">
        <v>45877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48284-2023 artfynd.xlsx", "A 48284-2023")</f>
        <v/>
      </c>
      <c r="T23">
        <f>HYPERLINK("https://klasma.github.io/Logging_1862/kartor/A 48284-2023 karta.png", "A 48284-2023")</f>
        <v/>
      </c>
      <c r="V23">
        <f>HYPERLINK("https://klasma.github.io/Logging_1862/klagomål/A 48284-2023 FSC-klagomål.docx", "A 48284-2023")</f>
        <v/>
      </c>
      <c r="W23">
        <f>HYPERLINK("https://klasma.github.io/Logging_1862/klagomålsmail/A 48284-2023 FSC-klagomål mail.docx", "A 48284-2023")</f>
        <v/>
      </c>
      <c r="X23">
        <f>HYPERLINK("https://klasma.github.io/Logging_1862/tillsyn/A 48284-2023 tillsynsbegäran.docx", "A 48284-2023")</f>
        <v/>
      </c>
      <c r="Y23">
        <f>HYPERLINK("https://klasma.github.io/Logging_1862/tillsynsmail/A 48284-2023 tillsynsbegäran mail.docx", "A 48284-2023")</f>
        <v/>
      </c>
      <c r="Z23">
        <f>HYPERLINK("https://klasma.github.io/Logging_1862/fåglar/A 48284-2023 prioriterade fågelarter.docx", "A 48284-2023")</f>
        <v/>
      </c>
    </row>
    <row r="24" ht="15" customHeight="1">
      <c r="A24" t="inlineStr">
        <is>
          <t>A 51630-2023</t>
        </is>
      </c>
      <c r="B24" s="1" t="n">
        <v>45222</v>
      </c>
      <c r="C24" s="1" t="n">
        <v>45877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Sångsvan</t>
        </is>
      </c>
      <c r="S24">
        <f>HYPERLINK("https://klasma.github.io/Logging_1862/artfynd/A 51630-2023 artfynd.xlsx", "A 51630-2023")</f>
        <v/>
      </c>
      <c r="T24">
        <f>HYPERLINK("https://klasma.github.io/Logging_1862/kartor/A 51630-2023 karta.png", "A 51630-2023")</f>
        <v/>
      </c>
      <c r="V24">
        <f>HYPERLINK("https://klasma.github.io/Logging_1862/klagomål/A 51630-2023 FSC-klagomål.docx", "A 51630-2023")</f>
        <v/>
      </c>
      <c r="W24">
        <f>HYPERLINK("https://klasma.github.io/Logging_1862/klagomålsmail/A 51630-2023 FSC-klagomål mail.docx", "A 51630-2023")</f>
        <v/>
      </c>
      <c r="X24">
        <f>HYPERLINK("https://klasma.github.io/Logging_1862/tillsyn/A 51630-2023 tillsynsbegäran.docx", "A 51630-2023")</f>
        <v/>
      </c>
      <c r="Y24">
        <f>HYPERLINK("https://klasma.github.io/Logging_1862/tillsynsmail/A 51630-2023 tillsynsbegäran mail.docx", "A 51630-2023")</f>
        <v/>
      </c>
      <c r="Z24">
        <f>HYPERLINK("https://klasma.github.io/Logging_1862/fåglar/A 51630-2023 prioriterade fågelarter.docx", "A 51630-2023")</f>
        <v/>
      </c>
    </row>
    <row r="25" ht="15" customHeight="1">
      <c r="A25" t="inlineStr">
        <is>
          <t>A 53895-2023</t>
        </is>
      </c>
      <c r="B25" s="1" t="n">
        <v>45224</v>
      </c>
      <c r="C25" s="1" t="n">
        <v>45877</v>
      </c>
      <c r="D25" t="inlineStr">
        <is>
          <t>ÖREBRO LÄN</t>
        </is>
      </c>
      <c r="E25" t="inlineStr">
        <is>
          <t>DEGERFORS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HYPERLINK("https://klasma.github.io/Logging_1862/artfynd/A 53895-2023 artfynd.xlsx", "A 53895-2023")</f>
        <v/>
      </c>
      <c r="T25">
        <f>HYPERLINK("https://klasma.github.io/Logging_1862/kartor/A 53895-2023 karta.png", "A 53895-2023")</f>
        <v/>
      </c>
      <c r="V25">
        <f>HYPERLINK("https://klasma.github.io/Logging_1862/klagomål/A 53895-2023 FSC-klagomål.docx", "A 53895-2023")</f>
        <v/>
      </c>
      <c r="W25">
        <f>HYPERLINK("https://klasma.github.io/Logging_1862/klagomålsmail/A 53895-2023 FSC-klagomål mail.docx", "A 53895-2023")</f>
        <v/>
      </c>
      <c r="X25">
        <f>HYPERLINK("https://klasma.github.io/Logging_1862/tillsyn/A 53895-2023 tillsynsbegäran.docx", "A 53895-2023")</f>
        <v/>
      </c>
      <c r="Y25">
        <f>HYPERLINK("https://klasma.github.io/Logging_1862/tillsynsmail/A 53895-2023 tillsynsbegäran mail.docx", "A 53895-2023")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45877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21951-2024</t>
        </is>
      </c>
      <c r="B27" s="1" t="n">
        <v>45443</v>
      </c>
      <c r="C27" s="1" t="n">
        <v>45877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HYPERLINK("https://klasma.github.io/Logging_1862/artfynd/A 21951-2024 artfynd.xlsx", "A 21951-2024")</f>
        <v/>
      </c>
      <c r="T27">
        <f>HYPERLINK("https://klasma.github.io/Logging_1862/kartor/A 21951-2024 karta.png", "A 21951-2024")</f>
        <v/>
      </c>
      <c r="V27">
        <f>HYPERLINK("https://klasma.github.io/Logging_1862/klagomål/A 21951-2024 FSC-klagomål.docx", "A 21951-2024")</f>
        <v/>
      </c>
      <c r="W27">
        <f>HYPERLINK("https://klasma.github.io/Logging_1862/klagomålsmail/A 21951-2024 FSC-klagomål mail.docx", "A 21951-2024")</f>
        <v/>
      </c>
      <c r="X27">
        <f>HYPERLINK("https://klasma.github.io/Logging_1862/tillsyn/A 21951-2024 tillsynsbegäran.docx", "A 21951-2024")</f>
        <v/>
      </c>
      <c r="Y27">
        <f>HYPERLINK("https://klasma.github.io/Logging_1862/tillsynsmail/A 21951-2024 tillsynsbegäran mail.docx", "A 21951-2024")</f>
        <v/>
      </c>
    </row>
    <row r="28" ht="15" customHeight="1">
      <c r="A28" t="inlineStr">
        <is>
          <t>A 47917-2024</t>
        </is>
      </c>
      <c r="B28" s="1" t="n">
        <v>45589</v>
      </c>
      <c r="C28" s="1" t="n">
        <v>45877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47917-2024 artfynd.xlsx", "A 47917-2024")</f>
        <v/>
      </c>
      <c r="T28">
        <f>HYPERLINK("https://klasma.github.io/Logging_1862/kartor/A 47917-2024 karta.png", "A 47917-2024")</f>
        <v/>
      </c>
      <c r="V28">
        <f>HYPERLINK("https://klasma.github.io/Logging_1862/klagomål/A 47917-2024 FSC-klagomål.docx", "A 47917-2024")</f>
        <v/>
      </c>
      <c r="W28">
        <f>HYPERLINK("https://klasma.github.io/Logging_1862/klagomålsmail/A 47917-2024 FSC-klagomål mail.docx", "A 47917-2024")</f>
        <v/>
      </c>
      <c r="X28">
        <f>HYPERLINK("https://klasma.github.io/Logging_1862/tillsyn/A 47917-2024 tillsynsbegäran.docx", "A 47917-2024")</f>
        <v/>
      </c>
      <c r="Y28">
        <f>HYPERLINK("https://klasma.github.io/Logging_1862/tillsynsmail/A 47917-2024 tillsynsbegäran mail.docx", "A 47917-2024")</f>
        <v/>
      </c>
    </row>
    <row r="29" ht="15" customHeight="1">
      <c r="A29" t="inlineStr">
        <is>
          <t>A 47915-2024</t>
        </is>
      </c>
      <c r="B29" s="1" t="n">
        <v>45589</v>
      </c>
      <c r="C29" s="1" t="n">
        <v>45877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17842-2019</t>
        </is>
      </c>
      <c r="B30" s="1" t="n">
        <v>43556</v>
      </c>
      <c r="C30" s="1" t="n">
        <v>45877</v>
      </c>
      <c r="D30" t="inlineStr">
        <is>
          <t>ÖREBRO LÄN</t>
        </is>
      </c>
      <c r="E30" t="inlineStr">
        <is>
          <t>DEGERFORS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20506-2019</t>
        </is>
      </c>
      <c r="B31" s="1" t="n">
        <v>43572</v>
      </c>
      <c r="C31" s="1" t="n">
        <v>45877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20514-2019</t>
        </is>
      </c>
      <c r="B32" s="1" t="n">
        <v>43572</v>
      </c>
      <c r="C32" s="1" t="n">
        <v>45877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25224-2019</t>
        </is>
      </c>
      <c r="B33" s="1" t="n">
        <v>43601</v>
      </c>
      <c r="C33" s="1" t="n">
        <v>45877</v>
      </c>
      <c r="D33" t="inlineStr">
        <is>
          <t>ÖREBRO LÄN</t>
        </is>
      </c>
      <c r="E33" t="inlineStr">
        <is>
          <t>DEGERFORS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25071-2019</t>
        </is>
      </c>
      <c r="B34" s="1" t="n">
        <v>43601</v>
      </c>
      <c r="C34" s="1" t="n">
        <v>45877</v>
      </c>
      <c r="D34" t="inlineStr">
        <is>
          <t>ÖREBRO LÄN</t>
        </is>
      </c>
      <c r="E34" t="inlineStr">
        <is>
          <t>DEGERFORS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26293-2019</t>
        </is>
      </c>
      <c r="B35" s="1" t="n">
        <v>43611</v>
      </c>
      <c r="C35" s="1" t="n">
        <v>45877</v>
      </c>
      <c r="D35" t="inlineStr">
        <is>
          <t>ÖREBRO LÄN</t>
        </is>
      </c>
      <c r="E35" t="inlineStr">
        <is>
          <t>DEGERFORS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28069-2019</t>
        </is>
      </c>
      <c r="B36" s="1" t="n">
        <v>43613</v>
      </c>
      <c r="C36" s="1" t="n">
        <v>45877</v>
      </c>
      <c r="D36" t="inlineStr">
        <is>
          <t>ÖREBRO LÄN</t>
        </is>
      </c>
      <c r="E36" t="inlineStr">
        <is>
          <t>DEGERFORS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28636-2019</t>
        </is>
      </c>
      <c r="B37" s="1" t="n">
        <v>43614</v>
      </c>
      <c r="C37" s="1" t="n">
        <v>45877</v>
      </c>
      <c r="D37" t="inlineStr">
        <is>
          <t>ÖREBRO LÄN</t>
        </is>
      </c>
      <c r="E37" t="inlineStr">
        <is>
          <t>DEGERFORS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29240-2019</t>
        </is>
      </c>
      <c r="B38" s="1" t="n">
        <v>43623</v>
      </c>
      <c r="C38" s="1" t="n">
        <v>45877</v>
      </c>
      <c r="D38" t="inlineStr">
        <is>
          <t>ÖREBRO LÄN</t>
        </is>
      </c>
      <c r="E38" t="inlineStr">
        <is>
          <t>DEGERFORS</t>
        </is>
      </c>
      <c r="G38" t="n">
        <v>23.2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29242-2019</t>
        </is>
      </c>
      <c r="B39" s="1" t="n">
        <v>43623</v>
      </c>
      <c r="C39" s="1" t="n">
        <v>45877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29239-2019</t>
        </is>
      </c>
      <c r="B40" s="1" t="n">
        <v>43623</v>
      </c>
      <c r="C40" s="1" t="n">
        <v>45877</v>
      </c>
      <c r="D40" t="inlineStr">
        <is>
          <t>ÖREBRO LÄN</t>
        </is>
      </c>
      <c r="E40" t="inlineStr">
        <is>
          <t>DEGERFORS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34508-2019</t>
        </is>
      </c>
      <c r="B41" s="1" t="n">
        <v>43647</v>
      </c>
      <c r="C41" s="1" t="n">
        <v>45877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35426-2019</t>
        </is>
      </c>
      <c r="B42" s="1" t="n">
        <v>43654</v>
      </c>
      <c r="C42" s="1" t="n">
        <v>45877</v>
      </c>
      <c r="D42" t="inlineStr">
        <is>
          <t>ÖREBRO LÄN</t>
        </is>
      </c>
      <c r="E42" t="inlineStr">
        <is>
          <t>DEGERFORS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36913-2019</t>
        </is>
      </c>
      <c r="B43" s="1" t="n">
        <v>43675</v>
      </c>
      <c r="C43" s="1" t="n">
        <v>45877</v>
      </c>
      <c r="D43" t="inlineStr">
        <is>
          <t>ÖREBRO LÄN</t>
        </is>
      </c>
      <c r="E43" t="inlineStr">
        <is>
          <t>DEGERFORS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43762-2019</t>
        </is>
      </c>
      <c r="B44" s="1" t="n">
        <v>43706</v>
      </c>
      <c r="C44" s="1" t="n">
        <v>45877</v>
      </c>
      <c r="D44" t="inlineStr">
        <is>
          <t>ÖREBRO LÄN</t>
        </is>
      </c>
      <c r="E44" t="inlineStr">
        <is>
          <t>DEGERFORS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45669-2019</t>
        </is>
      </c>
      <c r="B45" s="1" t="n">
        <v>43717</v>
      </c>
      <c r="C45" s="1" t="n">
        <v>45877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45689-2019</t>
        </is>
      </c>
      <c r="B46" s="1" t="n">
        <v>43717</v>
      </c>
      <c r="C46" s="1" t="n">
        <v>45877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45688-2019</t>
        </is>
      </c>
      <c r="B47" s="1" t="n">
        <v>43717</v>
      </c>
      <c r="C47" s="1" t="n">
        <v>45877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45718-2019</t>
        </is>
      </c>
      <c r="B48" s="1" t="n">
        <v>43717</v>
      </c>
      <c r="C48" s="1" t="n">
        <v>45877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45706-2019</t>
        </is>
      </c>
      <c r="B49" s="1" t="n">
        <v>43717</v>
      </c>
      <c r="C49" s="1" t="n">
        <v>45877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52400-2019</t>
        </is>
      </c>
      <c r="B50" s="1" t="n">
        <v>43745</v>
      </c>
      <c r="C50" s="1" t="n">
        <v>45877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52360-2019</t>
        </is>
      </c>
      <c r="B51" s="1" t="n">
        <v>43745</v>
      </c>
      <c r="C51" s="1" t="n">
        <v>45877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52357-2019</t>
        </is>
      </c>
      <c r="B52" s="1" t="n">
        <v>43745</v>
      </c>
      <c r="C52" s="1" t="n">
        <v>45877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52372-2019</t>
        </is>
      </c>
      <c r="B53" s="1" t="n">
        <v>43745</v>
      </c>
      <c r="C53" s="1" t="n">
        <v>45877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55179-2019</t>
        </is>
      </c>
      <c r="B54" s="1" t="n">
        <v>43756</v>
      </c>
      <c r="C54" s="1" t="n">
        <v>45877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55879-2019</t>
        </is>
      </c>
      <c r="B55" s="1" t="n">
        <v>43759</v>
      </c>
      <c r="C55" s="1" t="n">
        <v>45877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57741-2019</t>
        </is>
      </c>
      <c r="B56" s="1" t="n">
        <v>43763</v>
      </c>
      <c r="C56" s="1" t="n">
        <v>45877</v>
      </c>
      <c r="D56" t="inlineStr">
        <is>
          <t>ÖREBRO LÄN</t>
        </is>
      </c>
      <c r="E56" t="inlineStr">
        <is>
          <t>DEGERFORS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57737-2019</t>
        </is>
      </c>
      <c r="B57" s="1" t="n">
        <v>43763</v>
      </c>
      <c r="C57" s="1" t="n">
        <v>45877</v>
      </c>
      <c r="D57" t="inlineStr">
        <is>
          <t>ÖREBRO LÄN</t>
        </is>
      </c>
      <c r="E57" t="inlineStr">
        <is>
          <t>DEGERFORS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59713-2019</t>
        </is>
      </c>
      <c r="B58" s="1" t="n">
        <v>43776</v>
      </c>
      <c r="C58" s="1" t="n">
        <v>45877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59673-2019</t>
        </is>
      </c>
      <c r="B59" s="1" t="n">
        <v>43776</v>
      </c>
      <c r="C59" s="1" t="n">
        <v>45877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60002-2019</t>
        </is>
      </c>
      <c r="B60" s="1" t="n">
        <v>43777</v>
      </c>
      <c r="C60" s="1" t="n">
        <v>45877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59993-2019</t>
        </is>
      </c>
      <c r="B61" s="1" t="n">
        <v>43777</v>
      </c>
      <c r="C61" s="1" t="n">
        <v>45877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60005-2019</t>
        </is>
      </c>
      <c r="B62" s="1" t="n">
        <v>43777</v>
      </c>
      <c r="C62" s="1" t="n">
        <v>45877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60004-2019</t>
        </is>
      </c>
      <c r="B63" s="1" t="n">
        <v>43777</v>
      </c>
      <c r="C63" s="1" t="n">
        <v>45877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59986-2019</t>
        </is>
      </c>
      <c r="B64" s="1" t="n">
        <v>43777</v>
      </c>
      <c r="C64" s="1" t="n">
        <v>45877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62821-2019</t>
        </is>
      </c>
      <c r="B65" s="1" t="n">
        <v>43783</v>
      </c>
      <c r="C65" s="1" t="n">
        <v>45877</v>
      </c>
      <c r="D65" t="inlineStr">
        <is>
          <t>ÖREBRO LÄN</t>
        </is>
      </c>
      <c r="E65" t="inlineStr">
        <is>
          <t>DEGERFORS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61579-2019</t>
        </is>
      </c>
      <c r="B66" s="1" t="n">
        <v>43784</v>
      </c>
      <c r="C66" s="1" t="n">
        <v>45877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63600-2019</t>
        </is>
      </c>
      <c r="B67" s="1" t="n">
        <v>43789</v>
      </c>
      <c r="C67" s="1" t="n">
        <v>45877</v>
      </c>
      <c r="D67" t="inlineStr">
        <is>
          <t>ÖREBRO LÄN</t>
        </is>
      </c>
      <c r="E67" t="inlineStr">
        <is>
          <t>DEGERFORS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64828-2019</t>
        </is>
      </c>
      <c r="B68" s="1" t="n">
        <v>43801</v>
      </c>
      <c r="C68" s="1" t="n">
        <v>45877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66547-2019</t>
        </is>
      </c>
      <c r="B69" s="1" t="n">
        <v>43809</v>
      </c>
      <c r="C69" s="1" t="n">
        <v>45877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66546-2019</t>
        </is>
      </c>
      <c r="B70" s="1" t="n">
        <v>43809</v>
      </c>
      <c r="C70" s="1" t="n">
        <v>45877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332-2020</t>
        </is>
      </c>
      <c r="B71" s="1" t="n">
        <v>43816</v>
      </c>
      <c r="C71" s="1" t="n">
        <v>45877</v>
      </c>
      <c r="D71" t="inlineStr">
        <is>
          <t>ÖREBRO LÄN</t>
        </is>
      </c>
      <c r="E71" t="inlineStr">
        <is>
          <t>DEGERFORS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68270-2019</t>
        </is>
      </c>
      <c r="B72" s="1" t="n">
        <v>43817</v>
      </c>
      <c r="C72" s="1" t="n">
        <v>45877</v>
      </c>
      <c r="D72" t="inlineStr">
        <is>
          <t>ÖREBRO LÄN</t>
        </is>
      </c>
      <c r="E72" t="inlineStr">
        <is>
          <t>DEGERFORS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3680-2020</t>
        </is>
      </c>
      <c r="B73" s="1" t="n">
        <v>43845</v>
      </c>
      <c r="C73" s="1" t="n">
        <v>45877</v>
      </c>
      <c r="D73" t="inlineStr">
        <is>
          <t>ÖREBRO LÄN</t>
        </is>
      </c>
      <c r="E73" t="inlineStr">
        <is>
          <t>DEGERFORS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2188-2020</t>
        </is>
      </c>
      <c r="B74" s="1" t="n">
        <v>43846</v>
      </c>
      <c r="C74" s="1" t="n">
        <v>45877</v>
      </c>
      <c r="D74" t="inlineStr">
        <is>
          <t>ÖREBRO LÄN</t>
        </is>
      </c>
      <c r="E74" t="inlineStr">
        <is>
          <t>DEGERFORS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5477-2020</t>
        </is>
      </c>
      <c r="B75" s="1" t="n">
        <v>43858</v>
      </c>
      <c r="C75" s="1" t="n">
        <v>45877</v>
      </c>
      <c r="D75" t="inlineStr">
        <is>
          <t>ÖREBRO LÄN</t>
        </is>
      </c>
      <c r="E75" t="inlineStr">
        <is>
          <t>DEGERFORS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7369-2020</t>
        </is>
      </c>
      <c r="B76" s="1" t="n">
        <v>43871</v>
      </c>
      <c r="C76" s="1" t="n">
        <v>45877</v>
      </c>
      <c r="D76" t="inlineStr">
        <is>
          <t>ÖREBRO LÄN</t>
        </is>
      </c>
      <c r="E76" t="inlineStr">
        <is>
          <t>DEGERFORS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8157-2020</t>
        </is>
      </c>
      <c r="B77" s="1" t="n">
        <v>43873</v>
      </c>
      <c r="C77" s="1" t="n">
        <v>45877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12471-2020</t>
        </is>
      </c>
      <c r="B78" s="1" t="n">
        <v>43896</v>
      </c>
      <c r="C78" s="1" t="n">
        <v>45877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16990-2020</t>
        </is>
      </c>
      <c r="B79" s="1" t="n">
        <v>43913</v>
      </c>
      <c r="C79" s="1" t="n">
        <v>45877</v>
      </c>
      <c r="D79" t="inlineStr">
        <is>
          <t>ÖREBRO LÄN</t>
        </is>
      </c>
      <c r="E79" t="inlineStr">
        <is>
          <t>DEGERFORS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15609-2020</t>
        </is>
      </c>
      <c r="B80" s="1" t="n">
        <v>43914</v>
      </c>
      <c r="C80" s="1" t="n">
        <v>45877</v>
      </c>
      <c r="D80" t="inlineStr">
        <is>
          <t>ÖREBRO LÄN</t>
        </is>
      </c>
      <c r="E80" t="inlineStr">
        <is>
          <t>DEGERFORS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15923-2020</t>
        </is>
      </c>
      <c r="B81" s="1" t="n">
        <v>43916</v>
      </c>
      <c r="C81" s="1" t="n">
        <v>45877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15921-2020</t>
        </is>
      </c>
      <c r="B82" s="1" t="n">
        <v>43916</v>
      </c>
      <c r="C82" s="1" t="n">
        <v>45877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15922-2020</t>
        </is>
      </c>
      <c r="B83" s="1" t="n">
        <v>43916</v>
      </c>
      <c r="C83" s="1" t="n">
        <v>45877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15924-2020</t>
        </is>
      </c>
      <c r="B84" s="1" t="n">
        <v>43916</v>
      </c>
      <c r="C84" s="1" t="n">
        <v>45877</v>
      </c>
      <c r="D84" t="inlineStr">
        <is>
          <t>ÖREBRO LÄN</t>
        </is>
      </c>
      <c r="E84" t="inlineStr">
        <is>
          <t>DEGERFORS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15926-2020</t>
        </is>
      </c>
      <c r="B85" s="1" t="n">
        <v>43916</v>
      </c>
      <c r="C85" s="1" t="n">
        <v>45877</v>
      </c>
      <c r="D85" t="inlineStr">
        <is>
          <t>ÖREBRO LÄN</t>
        </is>
      </c>
      <c r="E85" t="inlineStr">
        <is>
          <t>DEGERFORS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17449-2020</t>
        </is>
      </c>
      <c r="B86" s="1" t="n">
        <v>43923</v>
      </c>
      <c r="C86" s="1" t="n">
        <v>45877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17575-2020</t>
        </is>
      </c>
      <c r="B87" s="1" t="n">
        <v>43923</v>
      </c>
      <c r="C87" s="1" t="n">
        <v>45877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17466-2020</t>
        </is>
      </c>
      <c r="B88" s="1" t="n">
        <v>43923</v>
      </c>
      <c r="C88" s="1" t="n">
        <v>45877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17579-2020</t>
        </is>
      </c>
      <c r="B89" s="1" t="n">
        <v>43923</v>
      </c>
      <c r="C89" s="1" t="n">
        <v>45877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19815-2020</t>
        </is>
      </c>
      <c r="B90" s="1" t="n">
        <v>43942</v>
      </c>
      <c r="C90" s="1" t="n">
        <v>45877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20350-2020</t>
        </is>
      </c>
      <c r="B91" s="1" t="n">
        <v>43945</v>
      </c>
      <c r="C91" s="1" t="n">
        <v>45877</v>
      </c>
      <c r="D91" t="inlineStr">
        <is>
          <t>ÖREBRO LÄN</t>
        </is>
      </c>
      <c r="E91" t="inlineStr">
        <is>
          <t>DEGERFORS</t>
        </is>
      </c>
      <c r="G91" t="n">
        <v>58.8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21855-2020</t>
        </is>
      </c>
      <c r="B92" s="1" t="n">
        <v>43945</v>
      </c>
      <c r="C92" s="1" t="n">
        <v>45877</v>
      </c>
      <c r="D92" t="inlineStr">
        <is>
          <t>ÖREBRO LÄN</t>
        </is>
      </c>
      <c r="E92" t="inlineStr">
        <is>
          <t>DEGERFORS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20595-2020</t>
        </is>
      </c>
      <c r="B93" s="1" t="n">
        <v>43948</v>
      </c>
      <c r="C93" s="1" t="n">
        <v>45877</v>
      </c>
      <c r="D93" t="inlineStr">
        <is>
          <t>ÖREBRO LÄN</t>
        </is>
      </c>
      <c r="E93" t="inlineStr">
        <is>
          <t>DEGERFORS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21850-2020</t>
        </is>
      </c>
      <c r="B94" s="1" t="n">
        <v>43958</v>
      </c>
      <c r="C94" s="1" t="n">
        <v>45877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25043-2020</t>
        </is>
      </c>
      <c r="B95" s="1" t="n">
        <v>43979</v>
      </c>
      <c r="C95" s="1" t="n">
        <v>45877</v>
      </c>
      <c r="D95" t="inlineStr">
        <is>
          <t>ÖREBRO LÄN</t>
        </is>
      </c>
      <c r="E95" t="inlineStr">
        <is>
          <t>DEGERFORS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31435-2020</t>
        </is>
      </c>
      <c r="B96" s="1" t="n">
        <v>44013</v>
      </c>
      <c r="C96" s="1" t="n">
        <v>45877</v>
      </c>
      <c r="D96" t="inlineStr">
        <is>
          <t>ÖREBRO LÄN</t>
        </is>
      </c>
      <c r="E96" t="inlineStr">
        <is>
          <t>DEGERFORS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31440-2020</t>
        </is>
      </c>
      <c r="B97" s="1" t="n">
        <v>44013</v>
      </c>
      <c r="C97" s="1" t="n">
        <v>45877</v>
      </c>
      <c r="D97" t="inlineStr">
        <is>
          <t>ÖREBRO LÄN</t>
        </is>
      </c>
      <c r="E97" t="inlineStr">
        <is>
          <t>DEGERFORS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31450-2020</t>
        </is>
      </c>
      <c r="B98" s="1" t="n">
        <v>44013</v>
      </c>
      <c r="C98" s="1" t="n">
        <v>45877</v>
      </c>
      <c r="D98" t="inlineStr">
        <is>
          <t>ÖREBRO LÄN</t>
        </is>
      </c>
      <c r="E98" t="inlineStr">
        <is>
          <t>DEGERFORS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31446-2020</t>
        </is>
      </c>
      <c r="B99" s="1" t="n">
        <v>44013</v>
      </c>
      <c r="C99" s="1" t="n">
        <v>45877</v>
      </c>
      <c r="D99" t="inlineStr">
        <is>
          <t>ÖREBRO LÄN</t>
        </is>
      </c>
      <c r="E99" t="inlineStr">
        <is>
          <t>DEGERFORS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32899-2020</t>
        </is>
      </c>
      <c r="B100" s="1" t="n">
        <v>44020</v>
      </c>
      <c r="C100" s="1" t="n">
        <v>45877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40383-2020</t>
        </is>
      </c>
      <c r="B101" s="1" t="n">
        <v>44068</v>
      </c>
      <c r="C101" s="1" t="n">
        <v>45877</v>
      </c>
      <c r="D101" t="inlineStr">
        <is>
          <t>ÖREBRO LÄN</t>
        </is>
      </c>
      <c r="E101" t="inlineStr">
        <is>
          <t>DEGERFORS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41056-2020</t>
        </is>
      </c>
      <c r="B102" s="1" t="n">
        <v>44069</v>
      </c>
      <c r="C102" s="1" t="n">
        <v>45877</v>
      </c>
      <c r="D102" t="inlineStr">
        <is>
          <t>ÖREBRO LÄN</t>
        </is>
      </c>
      <c r="E102" t="inlineStr">
        <is>
          <t>DEGERFORS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40810-2020</t>
        </is>
      </c>
      <c r="B103" s="1" t="n">
        <v>44070</v>
      </c>
      <c r="C103" s="1" t="n">
        <v>45877</v>
      </c>
      <c r="D103" t="inlineStr">
        <is>
          <t>ÖREBRO LÄN</t>
        </is>
      </c>
      <c r="E103" t="inlineStr">
        <is>
          <t>DEGERFORS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48197-2020</t>
        </is>
      </c>
      <c r="B104" s="1" t="n">
        <v>44102</v>
      </c>
      <c r="C104" s="1" t="n">
        <v>45877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50358-2020</t>
        </is>
      </c>
      <c r="B105" s="1" t="n">
        <v>44110</v>
      </c>
      <c r="C105" s="1" t="n">
        <v>45877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51130-2020</t>
        </is>
      </c>
      <c r="B106" s="1" t="n">
        <v>44112</v>
      </c>
      <c r="C106" s="1" t="n">
        <v>45877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66667-2020</t>
        </is>
      </c>
      <c r="B107" s="1" t="n">
        <v>44179</v>
      </c>
      <c r="C107" s="1" t="n">
        <v>45877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5735-2021</t>
        </is>
      </c>
      <c r="B108" s="1" t="n">
        <v>44230</v>
      </c>
      <c r="C108" s="1" t="n">
        <v>45877</v>
      </c>
      <c r="D108" t="inlineStr">
        <is>
          <t>ÖREBRO LÄN</t>
        </is>
      </c>
      <c r="E108" t="inlineStr">
        <is>
          <t>DEGERFORS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19070-2021</t>
        </is>
      </c>
      <c r="B109" s="1" t="n">
        <v>44308</v>
      </c>
      <c r="C109" s="1" t="n">
        <v>45877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19084-2021</t>
        </is>
      </c>
      <c r="B110" s="1" t="n">
        <v>44308</v>
      </c>
      <c r="C110" s="1" t="n">
        <v>45877</v>
      </c>
      <c r="D110" t="inlineStr">
        <is>
          <t>ÖREBRO LÄN</t>
        </is>
      </c>
      <c r="E110" t="inlineStr">
        <is>
          <t>DEGERFORS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32582-2021</t>
        </is>
      </c>
      <c r="B111" s="1" t="n">
        <v>44375</v>
      </c>
      <c r="C111" s="1" t="n">
        <v>45877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32590-2021</t>
        </is>
      </c>
      <c r="B112" s="1" t="n">
        <v>44375</v>
      </c>
      <c r="C112" s="1" t="n">
        <v>45877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32729-2021</t>
        </is>
      </c>
      <c r="B113" s="1" t="n">
        <v>44375</v>
      </c>
      <c r="C113" s="1" t="n">
        <v>45877</v>
      </c>
      <c r="D113" t="inlineStr">
        <is>
          <t>ÖREBRO LÄN</t>
        </is>
      </c>
      <c r="E113" t="inlineStr">
        <is>
          <t>DEGERFORS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34690-2021</t>
        </is>
      </c>
      <c r="B114" s="1" t="n">
        <v>44382</v>
      </c>
      <c r="C114" s="1" t="n">
        <v>45877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34695-2021</t>
        </is>
      </c>
      <c r="B115" s="1" t="n">
        <v>44382</v>
      </c>
      <c r="C115" s="1" t="n">
        <v>45877</v>
      </c>
      <c r="D115" t="inlineStr">
        <is>
          <t>ÖREBRO LÄN</t>
        </is>
      </c>
      <c r="E115" t="inlineStr">
        <is>
          <t>DEGERFORS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36963-2021</t>
        </is>
      </c>
      <c r="B116" s="1" t="n">
        <v>44393</v>
      </c>
      <c r="C116" s="1" t="n">
        <v>45877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37122-2021</t>
        </is>
      </c>
      <c r="B117" s="1" t="n">
        <v>44396</v>
      </c>
      <c r="C117" s="1" t="n">
        <v>45877</v>
      </c>
      <c r="D117" t="inlineStr">
        <is>
          <t>ÖREBRO LÄN</t>
        </is>
      </c>
      <c r="E117" t="inlineStr">
        <is>
          <t>DEGERFORS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37302-2021</t>
        </is>
      </c>
      <c r="B118" s="1" t="n">
        <v>44397</v>
      </c>
      <c r="C118" s="1" t="n">
        <v>45877</v>
      </c>
      <c r="D118" t="inlineStr">
        <is>
          <t>ÖREBRO LÄN</t>
        </is>
      </c>
      <c r="E118" t="inlineStr">
        <is>
          <t>DEGERFORS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38421-2021</t>
        </is>
      </c>
      <c r="B119" s="1" t="n">
        <v>44407</v>
      </c>
      <c r="C119" s="1" t="n">
        <v>45877</v>
      </c>
      <c r="D119" t="inlineStr">
        <is>
          <t>ÖREBRO LÄN</t>
        </is>
      </c>
      <c r="E119" t="inlineStr">
        <is>
          <t>DEGERFORS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42122-2021</t>
        </is>
      </c>
      <c r="B120" s="1" t="n">
        <v>44426</v>
      </c>
      <c r="C120" s="1" t="n">
        <v>45877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43393-2021</t>
        </is>
      </c>
      <c r="B121" s="1" t="n">
        <v>44432</v>
      </c>
      <c r="C121" s="1" t="n">
        <v>45877</v>
      </c>
      <c r="D121" t="inlineStr">
        <is>
          <t>ÖREBRO LÄN</t>
        </is>
      </c>
      <c r="E121" t="inlineStr">
        <is>
          <t>DEGERFORS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44735-2021</t>
        </is>
      </c>
      <c r="B122" s="1" t="n">
        <v>44438</v>
      </c>
      <c r="C122" s="1" t="n">
        <v>45877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52126-2021</t>
        </is>
      </c>
      <c r="B123" s="1" t="n">
        <v>44463</v>
      </c>
      <c r="C123" s="1" t="n">
        <v>45877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52131-2021</t>
        </is>
      </c>
      <c r="B124" s="1" t="n">
        <v>44463</v>
      </c>
      <c r="C124" s="1" t="n">
        <v>45877</v>
      </c>
      <c r="D124" t="inlineStr">
        <is>
          <t>ÖREBRO LÄN</t>
        </is>
      </c>
      <c r="E124" t="inlineStr">
        <is>
          <t>DEGERFORS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52457-2021</t>
        </is>
      </c>
      <c r="B125" s="1" t="n">
        <v>44466</v>
      </c>
      <c r="C125" s="1" t="n">
        <v>45877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54137-2021</t>
        </is>
      </c>
      <c r="B126" s="1" t="n">
        <v>44470</v>
      </c>
      <c r="C126" s="1" t="n">
        <v>45877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54130-2021</t>
        </is>
      </c>
      <c r="B127" s="1" t="n">
        <v>44470</v>
      </c>
      <c r="C127" s="1" t="n">
        <v>45877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54139-2021</t>
        </is>
      </c>
      <c r="B128" s="1" t="n">
        <v>44470</v>
      </c>
      <c r="C128" s="1" t="n">
        <v>45877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60889-2021</t>
        </is>
      </c>
      <c r="B129" s="1" t="n">
        <v>44497</v>
      </c>
      <c r="C129" s="1" t="n">
        <v>45877</v>
      </c>
      <c r="D129" t="inlineStr">
        <is>
          <t>ÖREBRO LÄN</t>
        </is>
      </c>
      <c r="E129" t="inlineStr">
        <is>
          <t>DEGERFORS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61750-2021</t>
        </is>
      </c>
      <c r="B130" s="1" t="n">
        <v>44501</v>
      </c>
      <c r="C130" s="1" t="n">
        <v>45877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63010-2021</t>
        </is>
      </c>
      <c r="B131" s="1" t="n">
        <v>44505</v>
      </c>
      <c r="C131" s="1" t="n">
        <v>45877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63906-2021</t>
        </is>
      </c>
      <c r="B132" s="1" t="n">
        <v>44509</v>
      </c>
      <c r="C132" s="1" t="n">
        <v>45877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63904-2021</t>
        </is>
      </c>
      <c r="B133" s="1" t="n">
        <v>44509</v>
      </c>
      <c r="C133" s="1" t="n">
        <v>45877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63905-2021</t>
        </is>
      </c>
      <c r="B134" s="1" t="n">
        <v>44509</v>
      </c>
      <c r="C134" s="1" t="n">
        <v>45877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65456-2021</t>
        </is>
      </c>
      <c r="B135" s="1" t="n">
        <v>44515</v>
      </c>
      <c r="C135" s="1" t="n">
        <v>45877</v>
      </c>
      <c r="D135" t="inlineStr">
        <is>
          <t>ÖREBRO LÄN</t>
        </is>
      </c>
      <c r="E135" t="inlineStr">
        <is>
          <t>DEGERFORS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67499-2021</t>
        </is>
      </c>
      <c r="B136" s="1" t="n">
        <v>44524</v>
      </c>
      <c r="C136" s="1" t="n">
        <v>45877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67998-2021</t>
        </is>
      </c>
      <c r="B137" s="1" t="n">
        <v>44525</v>
      </c>
      <c r="C137" s="1" t="n">
        <v>45877</v>
      </c>
      <c r="D137" t="inlineStr">
        <is>
          <t>ÖREBRO LÄN</t>
        </is>
      </c>
      <c r="E137" t="inlineStr">
        <is>
          <t>DEGERFORS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68578-2021</t>
        </is>
      </c>
      <c r="B138" s="1" t="n">
        <v>44529</v>
      </c>
      <c r="C138" s="1" t="n">
        <v>45877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68576-2021</t>
        </is>
      </c>
      <c r="B139" s="1" t="n">
        <v>44529</v>
      </c>
      <c r="C139" s="1" t="n">
        <v>45877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68581-2021</t>
        </is>
      </c>
      <c r="B140" s="1" t="n">
        <v>44529</v>
      </c>
      <c r="C140" s="1" t="n">
        <v>45877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68582-2021</t>
        </is>
      </c>
      <c r="B141" s="1" t="n">
        <v>44529</v>
      </c>
      <c r="C141" s="1" t="n">
        <v>45877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73321-2021</t>
        </is>
      </c>
      <c r="B142" s="1" t="n">
        <v>44550</v>
      </c>
      <c r="C142" s="1" t="n">
        <v>45877</v>
      </c>
      <c r="D142" t="inlineStr">
        <is>
          <t>ÖREBRO LÄN</t>
        </is>
      </c>
      <c r="E142" t="inlineStr">
        <is>
          <t>DEGERFORS</t>
        </is>
      </c>
      <c r="G142" t="n">
        <v>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73693-2021</t>
        </is>
      </c>
      <c r="B143" s="1" t="n">
        <v>44552</v>
      </c>
      <c r="C143" s="1" t="n">
        <v>45877</v>
      </c>
      <c r="D143" t="inlineStr">
        <is>
          <t>ÖREBRO LÄN</t>
        </is>
      </c>
      <c r="E143" t="inlineStr">
        <is>
          <t>DEGERFORS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2357-2022</t>
        </is>
      </c>
      <c r="B144" s="1" t="n">
        <v>44578</v>
      </c>
      <c r="C144" s="1" t="n">
        <v>45877</v>
      </c>
      <c r="D144" t="inlineStr">
        <is>
          <t>ÖREBRO LÄN</t>
        </is>
      </c>
      <c r="E144" t="inlineStr">
        <is>
          <t>DEGERFORS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2565-2022</t>
        </is>
      </c>
      <c r="B145" s="1" t="n">
        <v>44579</v>
      </c>
      <c r="C145" s="1" t="n">
        <v>45877</v>
      </c>
      <c r="D145" t="inlineStr">
        <is>
          <t>ÖREBRO LÄN</t>
        </is>
      </c>
      <c r="E145" t="inlineStr">
        <is>
          <t>DEGERFORS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3177-2022</t>
        </is>
      </c>
      <c r="B146" s="1" t="n">
        <v>44582</v>
      </c>
      <c r="C146" s="1" t="n">
        <v>45877</v>
      </c>
      <c r="D146" t="inlineStr">
        <is>
          <t>ÖREBRO LÄN</t>
        </is>
      </c>
      <c r="E146" t="inlineStr">
        <is>
          <t>DEGERFORS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5319-2022</t>
        </is>
      </c>
      <c r="B147" s="1" t="n">
        <v>44594</v>
      </c>
      <c r="C147" s="1" t="n">
        <v>45877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7510-2022</t>
        </is>
      </c>
      <c r="B148" s="1" t="n">
        <v>44607</v>
      </c>
      <c r="C148" s="1" t="n">
        <v>45877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45877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8186-2022</t>
        </is>
      </c>
      <c r="B150" s="1" t="n">
        <v>44609</v>
      </c>
      <c r="C150" s="1" t="n">
        <v>45877</v>
      </c>
      <c r="D150" t="inlineStr">
        <is>
          <t>ÖREBRO LÄN</t>
        </is>
      </c>
      <c r="E150" t="inlineStr">
        <is>
          <t>DEGERFORS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12977-2022</t>
        </is>
      </c>
      <c r="B151" s="1" t="n">
        <v>44643</v>
      </c>
      <c r="C151" s="1" t="n">
        <v>45877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14121-2022</t>
        </is>
      </c>
      <c r="B152" s="1" t="n">
        <v>44651</v>
      </c>
      <c r="C152" s="1" t="n">
        <v>45877</v>
      </c>
      <c r="D152" t="inlineStr">
        <is>
          <t>ÖREBRO LÄN</t>
        </is>
      </c>
      <c r="E152" t="inlineStr">
        <is>
          <t>DEGERFORS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16451-2022</t>
        </is>
      </c>
      <c r="B153" s="1" t="n">
        <v>44671</v>
      </c>
      <c r="C153" s="1" t="n">
        <v>45877</v>
      </c>
      <c r="D153" t="inlineStr">
        <is>
          <t>ÖREBRO LÄN</t>
        </is>
      </c>
      <c r="E153" t="inlineStr">
        <is>
          <t>DEGERFORS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19371-2022</t>
        </is>
      </c>
      <c r="B154" s="1" t="n">
        <v>44692</v>
      </c>
      <c r="C154" s="1" t="n">
        <v>45877</v>
      </c>
      <c r="D154" t="inlineStr">
        <is>
          <t>ÖREBRO LÄN</t>
        </is>
      </c>
      <c r="E154" t="inlineStr">
        <is>
          <t>DEGERFORS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21529-2022</t>
        </is>
      </c>
      <c r="B155" s="1" t="n">
        <v>44706</v>
      </c>
      <c r="C155" s="1" t="n">
        <v>45877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21512-2022</t>
        </is>
      </c>
      <c r="B156" s="1" t="n">
        <v>44706</v>
      </c>
      <c r="C156" s="1" t="n">
        <v>45877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23064-2022</t>
        </is>
      </c>
      <c r="B157" s="1" t="n">
        <v>44719</v>
      </c>
      <c r="C157" s="1" t="n">
        <v>45877</v>
      </c>
      <c r="D157" t="inlineStr">
        <is>
          <t>ÖREBRO LÄN</t>
        </is>
      </c>
      <c r="E157" t="inlineStr">
        <is>
          <t>DEGERFORS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23066-2022</t>
        </is>
      </c>
      <c r="B158" s="1" t="n">
        <v>44719</v>
      </c>
      <c r="C158" s="1" t="n">
        <v>45877</v>
      </c>
      <c r="D158" t="inlineStr">
        <is>
          <t>ÖREBRO LÄN</t>
        </is>
      </c>
      <c r="E158" t="inlineStr">
        <is>
          <t>DEGERFORS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23058-2022</t>
        </is>
      </c>
      <c r="B159" s="1" t="n">
        <v>44719</v>
      </c>
      <c r="C159" s="1" t="n">
        <v>45877</v>
      </c>
      <c r="D159" t="inlineStr">
        <is>
          <t>ÖREBRO LÄN</t>
        </is>
      </c>
      <c r="E159" t="inlineStr">
        <is>
          <t>DEGERFORS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29605-2022</t>
        </is>
      </c>
      <c r="B160" s="1" t="n">
        <v>44754</v>
      </c>
      <c r="C160" s="1" t="n">
        <v>45877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29607-2022</t>
        </is>
      </c>
      <c r="B161" s="1" t="n">
        <v>44754</v>
      </c>
      <c r="C161" s="1" t="n">
        <v>45877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32211-2022</t>
        </is>
      </c>
      <c r="B162" s="1" t="n">
        <v>44781</v>
      </c>
      <c r="C162" s="1" t="n">
        <v>45877</v>
      </c>
      <c r="D162" t="inlineStr">
        <is>
          <t>ÖREBRO LÄN</t>
        </is>
      </c>
      <c r="E162" t="inlineStr">
        <is>
          <t>DEGERFORS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34884-2022</t>
        </is>
      </c>
      <c r="B163" s="1" t="n">
        <v>44796</v>
      </c>
      <c r="C163" s="1" t="n">
        <v>45877</v>
      </c>
      <c r="D163" t="inlineStr">
        <is>
          <t>ÖREBRO LÄN</t>
        </is>
      </c>
      <c r="E163" t="inlineStr">
        <is>
          <t>DEGERFORS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35107-2022</t>
        </is>
      </c>
      <c r="B164" s="1" t="n">
        <v>44797</v>
      </c>
      <c r="C164" s="1" t="n">
        <v>45877</v>
      </c>
      <c r="D164" t="inlineStr">
        <is>
          <t>ÖREBRO LÄN</t>
        </is>
      </c>
      <c r="E164" t="inlineStr">
        <is>
          <t>DEGERFORS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36784-2022</t>
        </is>
      </c>
      <c r="B165" s="1" t="n">
        <v>44805</v>
      </c>
      <c r="C165" s="1" t="n">
        <v>45877</v>
      </c>
      <c r="D165" t="inlineStr">
        <is>
          <t>ÖREBRO LÄN</t>
        </is>
      </c>
      <c r="E165" t="inlineStr">
        <is>
          <t>DEGERFORS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36798-2022</t>
        </is>
      </c>
      <c r="B166" s="1" t="n">
        <v>44805</v>
      </c>
      <c r="C166" s="1" t="n">
        <v>45877</v>
      </c>
      <c r="D166" t="inlineStr">
        <is>
          <t>ÖREBRO LÄN</t>
        </is>
      </c>
      <c r="E166" t="inlineStr">
        <is>
          <t>DEGERFORS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38738-2022</t>
        </is>
      </c>
      <c r="B167" s="1" t="n">
        <v>44816</v>
      </c>
      <c r="C167" s="1" t="n">
        <v>45877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38746-2022</t>
        </is>
      </c>
      <c r="B168" s="1" t="n">
        <v>44816</v>
      </c>
      <c r="C168" s="1" t="n">
        <v>45877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38743-2022</t>
        </is>
      </c>
      <c r="B169" s="1" t="n">
        <v>44816</v>
      </c>
      <c r="C169" s="1" t="n">
        <v>45877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38748-2022</t>
        </is>
      </c>
      <c r="B170" s="1" t="n">
        <v>44816</v>
      </c>
      <c r="C170" s="1" t="n">
        <v>45877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38747-2022</t>
        </is>
      </c>
      <c r="B171" s="1" t="n">
        <v>44816</v>
      </c>
      <c r="C171" s="1" t="n">
        <v>45877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45877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45166-2022</t>
        </is>
      </c>
      <c r="B173" s="1" t="n">
        <v>44844</v>
      </c>
      <c r="C173" s="1" t="n">
        <v>45877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45292-2022</t>
        </is>
      </c>
      <c r="B174" s="1" t="n">
        <v>44844</v>
      </c>
      <c r="C174" s="1" t="n">
        <v>45877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45291-2022</t>
        </is>
      </c>
      <c r="B175" s="1" t="n">
        <v>44844</v>
      </c>
      <c r="C175" s="1" t="n">
        <v>45877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45298-2022</t>
        </is>
      </c>
      <c r="B176" s="1" t="n">
        <v>44844</v>
      </c>
      <c r="C176" s="1" t="n">
        <v>45877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45296-2022</t>
        </is>
      </c>
      <c r="B177" s="1" t="n">
        <v>44844</v>
      </c>
      <c r="C177" s="1" t="n">
        <v>45877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48216-2022</t>
        </is>
      </c>
      <c r="B178" s="1" t="n">
        <v>44858</v>
      </c>
      <c r="C178" s="1" t="n">
        <v>45877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49282-2022</t>
        </is>
      </c>
      <c r="B179" s="1" t="n">
        <v>44861</v>
      </c>
      <c r="C179" s="1" t="n">
        <v>45877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50600-2022</t>
        </is>
      </c>
      <c r="B180" s="1" t="n">
        <v>44861</v>
      </c>
      <c r="C180" s="1" t="n">
        <v>45877</v>
      </c>
      <c r="D180" t="inlineStr">
        <is>
          <t>ÖREBRO LÄN</t>
        </is>
      </c>
      <c r="E180" t="inlineStr">
        <is>
          <t>DEGERFORS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50599-2022</t>
        </is>
      </c>
      <c r="B181" s="1" t="n">
        <v>44861</v>
      </c>
      <c r="C181" s="1" t="n">
        <v>45877</v>
      </c>
      <c r="D181" t="inlineStr">
        <is>
          <t>ÖREBRO LÄN</t>
        </is>
      </c>
      <c r="E181" t="inlineStr">
        <is>
          <t>DEGERFORS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50416-2022</t>
        </is>
      </c>
      <c r="B182" s="1" t="n">
        <v>44866</v>
      </c>
      <c r="C182" s="1" t="n">
        <v>45877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51468-2022</t>
        </is>
      </c>
      <c r="B183" s="1" t="n">
        <v>44869</v>
      </c>
      <c r="C183" s="1" t="n">
        <v>45877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55443-2022</t>
        </is>
      </c>
      <c r="B184" s="1" t="n">
        <v>44887</v>
      </c>
      <c r="C184" s="1" t="n">
        <v>45877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55446-2022</t>
        </is>
      </c>
      <c r="B185" s="1" t="n">
        <v>44887</v>
      </c>
      <c r="C185" s="1" t="n">
        <v>45877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59158-2022</t>
        </is>
      </c>
      <c r="B186" s="1" t="n">
        <v>44904</v>
      </c>
      <c r="C186" s="1" t="n">
        <v>45877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59390-2022</t>
        </is>
      </c>
      <c r="B187" s="1" t="n">
        <v>44906</v>
      </c>
      <c r="C187" s="1" t="n">
        <v>45877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2997-2023</t>
        </is>
      </c>
      <c r="B188" s="1" t="n">
        <v>44945</v>
      </c>
      <c r="C188" s="1" t="n">
        <v>45877</v>
      </c>
      <c r="D188" t="inlineStr">
        <is>
          <t>ÖREBRO LÄN</t>
        </is>
      </c>
      <c r="E188" t="inlineStr">
        <is>
          <t>DEGERFORS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7909-2023</t>
        </is>
      </c>
      <c r="B189" s="1" t="n">
        <v>44973</v>
      </c>
      <c r="C189" s="1" t="n">
        <v>45877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8993-2023</t>
        </is>
      </c>
      <c r="B190" s="1" t="n">
        <v>44979</v>
      </c>
      <c r="C190" s="1" t="n">
        <v>45877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8992-2023</t>
        </is>
      </c>
      <c r="B191" s="1" t="n">
        <v>44979</v>
      </c>
      <c r="C191" s="1" t="n">
        <v>45877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8994-2023</t>
        </is>
      </c>
      <c r="B192" s="1" t="n">
        <v>44979</v>
      </c>
      <c r="C192" s="1" t="n">
        <v>45877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9501-2023</t>
        </is>
      </c>
      <c r="B193" s="1" t="n">
        <v>44981</v>
      </c>
      <c r="C193" s="1" t="n">
        <v>45877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10321-2023</t>
        </is>
      </c>
      <c r="B194" s="1" t="n">
        <v>44987</v>
      </c>
      <c r="C194" s="1" t="n">
        <v>45877</v>
      </c>
      <c r="D194" t="inlineStr">
        <is>
          <t>ÖREBRO LÄN</t>
        </is>
      </c>
      <c r="E194" t="inlineStr">
        <is>
          <t>DEGERFORS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11085-2023</t>
        </is>
      </c>
      <c r="B195" s="1" t="n">
        <v>44986</v>
      </c>
      <c r="C195" s="1" t="n">
        <v>45877</v>
      </c>
      <c r="D195" t="inlineStr">
        <is>
          <t>ÖREBRO LÄN</t>
        </is>
      </c>
      <c r="E195" t="inlineStr">
        <is>
          <t>DEGERFORS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10320-2023</t>
        </is>
      </c>
      <c r="B196" s="1" t="n">
        <v>44986</v>
      </c>
      <c r="C196" s="1" t="n">
        <v>45877</v>
      </c>
      <c r="D196" t="inlineStr">
        <is>
          <t>ÖREBRO LÄN</t>
        </is>
      </c>
      <c r="E196" t="inlineStr">
        <is>
          <t>DEGERFORS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11084-2023</t>
        </is>
      </c>
      <c r="B197" s="1" t="n">
        <v>44986</v>
      </c>
      <c r="C197" s="1" t="n">
        <v>45877</v>
      </c>
      <c r="D197" t="inlineStr">
        <is>
          <t>ÖREBRO LÄN</t>
        </is>
      </c>
      <c r="E197" t="inlineStr">
        <is>
          <t>DEGERFORS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10322-2023</t>
        </is>
      </c>
      <c r="B198" s="1" t="n">
        <v>44986</v>
      </c>
      <c r="C198" s="1" t="n">
        <v>45877</v>
      </c>
      <c r="D198" t="inlineStr">
        <is>
          <t>ÖREBRO LÄN</t>
        </is>
      </c>
      <c r="E198" t="inlineStr">
        <is>
          <t>DEGERFORS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10765-2023</t>
        </is>
      </c>
      <c r="B199" s="1" t="n">
        <v>44988</v>
      </c>
      <c r="C199" s="1" t="n">
        <v>45877</v>
      </c>
      <c r="D199" t="inlineStr">
        <is>
          <t>ÖREBRO LÄN</t>
        </is>
      </c>
      <c r="E199" t="inlineStr">
        <is>
          <t>DEGERFORS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10781-2023</t>
        </is>
      </c>
      <c r="B200" s="1" t="n">
        <v>44988</v>
      </c>
      <c r="C200" s="1" t="n">
        <v>45877</v>
      </c>
      <c r="D200" t="inlineStr">
        <is>
          <t>ÖREBRO LÄN</t>
        </is>
      </c>
      <c r="E200" t="inlineStr">
        <is>
          <t>DEGERFORS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10797-2023</t>
        </is>
      </c>
      <c r="B201" s="1" t="n">
        <v>44989</v>
      </c>
      <c r="C201" s="1" t="n">
        <v>45877</v>
      </c>
      <c r="D201" t="inlineStr">
        <is>
          <t>ÖREBRO LÄN</t>
        </is>
      </c>
      <c r="E201" t="inlineStr">
        <is>
          <t>DEGERFORS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10796-2023</t>
        </is>
      </c>
      <c r="B202" s="1" t="n">
        <v>44989</v>
      </c>
      <c r="C202" s="1" t="n">
        <v>45877</v>
      </c>
      <c r="D202" t="inlineStr">
        <is>
          <t>ÖREBRO LÄN</t>
        </is>
      </c>
      <c r="E202" t="inlineStr">
        <is>
          <t>DEGERFORS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12143-2023</t>
        </is>
      </c>
      <c r="B203" s="1" t="n">
        <v>44995</v>
      </c>
      <c r="C203" s="1" t="n">
        <v>45877</v>
      </c>
      <c r="D203" t="inlineStr">
        <is>
          <t>ÖREBRO LÄN</t>
        </is>
      </c>
      <c r="E203" t="inlineStr">
        <is>
          <t>DEGERFORS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12859-2023</t>
        </is>
      </c>
      <c r="B204" s="1" t="n">
        <v>45001</v>
      </c>
      <c r="C204" s="1" t="n">
        <v>45877</v>
      </c>
      <c r="D204" t="inlineStr">
        <is>
          <t>ÖREBRO LÄN</t>
        </is>
      </c>
      <c r="E204" t="inlineStr">
        <is>
          <t>DEGERFORS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14725-2023</t>
        </is>
      </c>
      <c r="B205" s="1" t="n">
        <v>45014</v>
      </c>
      <c r="C205" s="1" t="n">
        <v>45877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14723-2023</t>
        </is>
      </c>
      <c r="B206" s="1" t="n">
        <v>45014</v>
      </c>
      <c r="C206" s="1" t="n">
        <v>45877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16257-2023</t>
        </is>
      </c>
      <c r="B207" s="1" t="n">
        <v>45028</v>
      </c>
      <c r="C207" s="1" t="n">
        <v>45877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19305-2023</t>
        </is>
      </c>
      <c r="B208" s="1" t="n">
        <v>45049</v>
      </c>
      <c r="C208" s="1" t="n">
        <v>45877</v>
      </c>
      <c r="D208" t="inlineStr">
        <is>
          <t>ÖREBRO LÄN</t>
        </is>
      </c>
      <c r="E208" t="inlineStr">
        <is>
          <t>DEGERFORS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20383-2023</t>
        </is>
      </c>
      <c r="B209" s="1" t="n">
        <v>45056</v>
      </c>
      <c r="C209" s="1" t="n">
        <v>45877</v>
      </c>
      <c r="D209" t="inlineStr">
        <is>
          <t>ÖREBRO LÄN</t>
        </is>
      </c>
      <c r="E209" t="inlineStr">
        <is>
          <t>DEGERFORS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20578-2023</t>
        </is>
      </c>
      <c r="B210" s="1" t="n">
        <v>45057</v>
      </c>
      <c r="C210" s="1" t="n">
        <v>45877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20577-2023</t>
        </is>
      </c>
      <c r="B211" s="1" t="n">
        <v>45057</v>
      </c>
      <c r="C211" s="1" t="n">
        <v>45877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20576-2023</t>
        </is>
      </c>
      <c r="B212" s="1" t="n">
        <v>45057</v>
      </c>
      <c r="C212" s="1" t="n">
        <v>45877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20575-2023</t>
        </is>
      </c>
      <c r="B213" s="1" t="n">
        <v>45057</v>
      </c>
      <c r="C213" s="1" t="n">
        <v>45877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22201-2023</t>
        </is>
      </c>
      <c r="B214" s="1" t="n">
        <v>45069</v>
      </c>
      <c r="C214" s="1" t="n">
        <v>45877</v>
      </c>
      <c r="D214" t="inlineStr">
        <is>
          <t>ÖREBRO LÄN</t>
        </is>
      </c>
      <c r="E214" t="inlineStr">
        <is>
          <t>DEGERFORS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22653-2023</t>
        </is>
      </c>
      <c r="B215" s="1" t="n">
        <v>45071</v>
      </c>
      <c r="C215" s="1" t="n">
        <v>45877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22652-2023</t>
        </is>
      </c>
      <c r="B216" s="1" t="n">
        <v>45071</v>
      </c>
      <c r="C216" s="1" t="n">
        <v>45877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23082-2023</t>
        </is>
      </c>
      <c r="B217" s="1" t="n">
        <v>45075</v>
      </c>
      <c r="C217" s="1" t="n">
        <v>45877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23076-2023</t>
        </is>
      </c>
      <c r="B218" s="1" t="n">
        <v>45075</v>
      </c>
      <c r="C218" s="1" t="n">
        <v>45877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23081-2023</t>
        </is>
      </c>
      <c r="B219" s="1" t="n">
        <v>45075</v>
      </c>
      <c r="C219" s="1" t="n">
        <v>45877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29108-2023</t>
        </is>
      </c>
      <c r="B220" s="1" t="n">
        <v>45105</v>
      </c>
      <c r="C220" s="1" t="n">
        <v>45877</v>
      </c>
      <c r="D220" t="inlineStr">
        <is>
          <t>ÖREBRO LÄN</t>
        </is>
      </c>
      <c r="E220" t="inlineStr">
        <is>
          <t>DEGERFORS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29482-2023</t>
        </is>
      </c>
      <c r="B221" s="1" t="n">
        <v>45106</v>
      </c>
      <c r="C221" s="1" t="n">
        <v>45877</v>
      </c>
      <c r="D221" t="inlineStr">
        <is>
          <t>ÖREBRO LÄN</t>
        </is>
      </c>
      <c r="E221" t="inlineStr">
        <is>
          <t>DEGERFORS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33293-2023</t>
        </is>
      </c>
      <c r="B222" s="1" t="n">
        <v>45116</v>
      </c>
      <c r="C222" s="1" t="n">
        <v>45877</v>
      </c>
      <c r="D222" t="inlineStr">
        <is>
          <t>ÖREBRO LÄN</t>
        </is>
      </c>
      <c r="E222" t="inlineStr">
        <is>
          <t>DEGERFORS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33297-2023</t>
        </is>
      </c>
      <c r="B223" s="1" t="n">
        <v>45116</v>
      </c>
      <c r="C223" s="1" t="n">
        <v>45877</v>
      </c>
      <c r="D223" t="inlineStr">
        <is>
          <t>ÖREBRO LÄN</t>
        </is>
      </c>
      <c r="E223" t="inlineStr">
        <is>
          <t>DEGERFORS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32154-2023</t>
        </is>
      </c>
      <c r="B224" s="1" t="n">
        <v>45119</v>
      </c>
      <c r="C224" s="1" t="n">
        <v>45877</v>
      </c>
      <c r="D224" t="inlineStr">
        <is>
          <t>ÖREBRO LÄN</t>
        </is>
      </c>
      <c r="E224" t="inlineStr">
        <is>
          <t>DEGERFORS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32885-2023</t>
        </is>
      </c>
      <c r="B225" s="1" t="n">
        <v>45124</v>
      </c>
      <c r="C225" s="1" t="n">
        <v>45877</v>
      </c>
      <c r="D225" t="inlineStr">
        <is>
          <t>ÖREBRO LÄN</t>
        </is>
      </c>
      <c r="E225" t="inlineStr">
        <is>
          <t>DEGERFORS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34301-2023</t>
        </is>
      </c>
      <c r="B226" s="1" t="n">
        <v>45138</v>
      </c>
      <c r="C226" s="1" t="n">
        <v>45877</v>
      </c>
      <c r="D226" t="inlineStr">
        <is>
          <t>ÖREBRO LÄN</t>
        </is>
      </c>
      <c r="E226" t="inlineStr">
        <is>
          <t>DEGERFORS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35907-2023</t>
        </is>
      </c>
      <c r="B227" s="1" t="n">
        <v>45148</v>
      </c>
      <c r="C227" s="1" t="n">
        <v>45877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37895-2023</t>
        </is>
      </c>
      <c r="B228" s="1" t="n">
        <v>45160</v>
      </c>
      <c r="C228" s="1" t="n">
        <v>45877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37896-2023</t>
        </is>
      </c>
      <c r="B229" s="1" t="n">
        <v>45160</v>
      </c>
      <c r="C229" s="1" t="n">
        <v>45877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38233-2023</t>
        </is>
      </c>
      <c r="B230" s="1" t="n">
        <v>45160</v>
      </c>
      <c r="C230" s="1" t="n">
        <v>45877</v>
      </c>
      <c r="D230" t="inlineStr">
        <is>
          <t>ÖREBRO LÄN</t>
        </is>
      </c>
      <c r="E230" t="inlineStr">
        <is>
          <t>DEGERFORS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38891-2023</t>
        </is>
      </c>
      <c r="B231" s="1" t="n">
        <v>45163</v>
      </c>
      <c r="C231" s="1" t="n">
        <v>45877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38903-2023</t>
        </is>
      </c>
      <c r="B232" s="1" t="n">
        <v>45163</v>
      </c>
      <c r="C232" s="1" t="n">
        <v>45877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38917-2023</t>
        </is>
      </c>
      <c r="B233" s="1" t="n">
        <v>45163</v>
      </c>
      <c r="C233" s="1" t="n">
        <v>45877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38887-2023</t>
        </is>
      </c>
      <c r="B234" s="1" t="n">
        <v>45163</v>
      </c>
      <c r="C234" s="1" t="n">
        <v>45877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38896-2023</t>
        </is>
      </c>
      <c r="B235" s="1" t="n">
        <v>45163</v>
      </c>
      <c r="C235" s="1" t="n">
        <v>45877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38904-2023</t>
        </is>
      </c>
      <c r="B236" s="1" t="n">
        <v>45163</v>
      </c>
      <c r="C236" s="1" t="n">
        <v>45877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38901-2023</t>
        </is>
      </c>
      <c r="B237" s="1" t="n">
        <v>45163</v>
      </c>
      <c r="C237" s="1" t="n">
        <v>45877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38910-2023</t>
        </is>
      </c>
      <c r="B238" s="1" t="n">
        <v>45163</v>
      </c>
      <c r="C238" s="1" t="n">
        <v>45877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38915-2023</t>
        </is>
      </c>
      <c r="B239" s="1" t="n">
        <v>45163</v>
      </c>
      <c r="C239" s="1" t="n">
        <v>45877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38907-2023</t>
        </is>
      </c>
      <c r="B240" s="1" t="n">
        <v>45163</v>
      </c>
      <c r="C240" s="1" t="n">
        <v>45877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38921-2023</t>
        </is>
      </c>
      <c r="B241" s="1" t="n">
        <v>45163</v>
      </c>
      <c r="C241" s="1" t="n">
        <v>45877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39593-2023</t>
        </is>
      </c>
      <c r="B242" s="1" t="n">
        <v>45163</v>
      </c>
      <c r="C242" s="1" t="n">
        <v>45877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39600-2023</t>
        </is>
      </c>
      <c r="B243" s="1" t="n">
        <v>45163</v>
      </c>
      <c r="C243" s="1" t="n">
        <v>45877</v>
      </c>
      <c r="D243" t="inlineStr">
        <is>
          <t>ÖREBRO LÄN</t>
        </is>
      </c>
      <c r="E243" t="inlineStr">
        <is>
          <t>DEGERFORS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40596-2023</t>
        </is>
      </c>
      <c r="B244" s="1" t="n">
        <v>45170</v>
      </c>
      <c r="C244" s="1" t="n">
        <v>45877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41286-2023</t>
        </is>
      </c>
      <c r="B245" s="1" t="n">
        <v>45174</v>
      </c>
      <c r="C245" s="1" t="n">
        <v>45877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41518-2023</t>
        </is>
      </c>
      <c r="B246" s="1" t="n">
        <v>45175</v>
      </c>
      <c r="C246" s="1" t="n">
        <v>45877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43587-2023</t>
        </is>
      </c>
      <c r="B247" s="1" t="n">
        <v>45181</v>
      </c>
      <c r="C247" s="1" t="n">
        <v>45877</v>
      </c>
      <c r="D247" t="inlineStr">
        <is>
          <t>ÖREBRO LÄN</t>
        </is>
      </c>
      <c r="E247" t="inlineStr">
        <is>
          <t>DEGERFORS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43331-2023</t>
        </is>
      </c>
      <c r="B248" s="1" t="n">
        <v>45183</v>
      </c>
      <c r="C248" s="1" t="n">
        <v>45877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43330-2023</t>
        </is>
      </c>
      <c r="B249" s="1" t="n">
        <v>45183</v>
      </c>
      <c r="C249" s="1" t="n">
        <v>45877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44807-2023</t>
        </is>
      </c>
      <c r="B250" s="1" t="n">
        <v>45190</v>
      </c>
      <c r="C250" s="1" t="n">
        <v>45877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44841-2023</t>
        </is>
      </c>
      <c r="B251" s="1" t="n">
        <v>45190</v>
      </c>
      <c r="C251" s="1" t="n">
        <v>45877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44806-2023</t>
        </is>
      </c>
      <c r="B252" s="1" t="n">
        <v>45190</v>
      </c>
      <c r="C252" s="1" t="n">
        <v>45877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44840-2023</t>
        </is>
      </c>
      <c r="B253" s="1" t="n">
        <v>45190</v>
      </c>
      <c r="C253" s="1" t="n">
        <v>45877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45365-2023</t>
        </is>
      </c>
      <c r="B254" s="1" t="n">
        <v>45192</v>
      </c>
      <c r="C254" s="1" t="n">
        <v>45877</v>
      </c>
      <c r="D254" t="inlineStr">
        <is>
          <t>ÖREBRO LÄN</t>
        </is>
      </c>
      <c r="E254" t="inlineStr">
        <is>
          <t>DEGERFORS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45861-2023</t>
        </is>
      </c>
      <c r="B255" s="1" t="n">
        <v>45195</v>
      </c>
      <c r="C255" s="1" t="n">
        <v>45877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48118-2023</t>
        </is>
      </c>
      <c r="B256" s="1" t="n">
        <v>45205</v>
      </c>
      <c r="C256" s="1" t="n">
        <v>45877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48232-2023</t>
        </is>
      </c>
      <c r="B257" s="1" t="n">
        <v>45205</v>
      </c>
      <c r="C257" s="1" t="n">
        <v>45877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48240-2023</t>
        </is>
      </c>
      <c r="B258" s="1" t="n">
        <v>45205</v>
      </c>
      <c r="C258" s="1" t="n">
        <v>45877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48234-2023</t>
        </is>
      </c>
      <c r="B259" s="1" t="n">
        <v>45205</v>
      </c>
      <c r="C259" s="1" t="n">
        <v>45877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48285-2023</t>
        </is>
      </c>
      <c r="B260" s="1" t="n">
        <v>45205</v>
      </c>
      <c r="C260" s="1" t="n">
        <v>45877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48238-2023</t>
        </is>
      </c>
      <c r="B261" s="1" t="n">
        <v>45205</v>
      </c>
      <c r="C261" s="1" t="n">
        <v>45877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48278-2023</t>
        </is>
      </c>
      <c r="B262" s="1" t="n">
        <v>45205</v>
      </c>
      <c r="C262" s="1" t="n">
        <v>45877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48286-2023</t>
        </is>
      </c>
      <c r="B263" s="1" t="n">
        <v>45205</v>
      </c>
      <c r="C263" s="1" t="n">
        <v>45877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50102-2023</t>
        </is>
      </c>
      <c r="B264" s="1" t="n">
        <v>45215</v>
      </c>
      <c r="C264" s="1" t="n">
        <v>45877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52566-2023</t>
        </is>
      </c>
      <c r="B265" s="1" t="n">
        <v>45219</v>
      </c>
      <c r="C265" s="1" t="n">
        <v>45877</v>
      </c>
      <c r="D265" t="inlineStr">
        <is>
          <t>ÖREBRO LÄN</t>
        </is>
      </c>
      <c r="E265" t="inlineStr">
        <is>
          <t>DEGERFORS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51635-2023</t>
        </is>
      </c>
      <c r="B266" s="1" t="n">
        <v>45222</v>
      </c>
      <c r="C266" s="1" t="n">
        <v>45877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51632-2023</t>
        </is>
      </c>
      <c r="B267" s="1" t="n">
        <v>45222</v>
      </c>
      <c r="C267" s="1" t="n">
        <v>45877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51636-2023</t>
        </is>
      </c>
      <c r="B268" s="1" t="n">
        <v>45222</v>
      </c>
      <c r="C268" s="1" t="n">
        <v>45877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51652-2023</t>
        </is>
      </c>
      <c r="B269" s="1" t="n">
        <v>45222</v>
      </c>
      <c r="C269" s="1" t="n">
        <v>45877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51634-2023</t>
        </is>
      </c>
      <c r="B270" s="1" t="n">
        <v>45222</v>
      </c>
      <c r="C270" s="1" t="n">
        <v>45877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51653-2023</t>
        </is>
      </c>
      <c r="B271" s="1" t="n">
        <v>45222</v>
      </c>
      <c r="C271" s="1" t="n">
        <v>45877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51992-2023</t>
        </is>
      </c>
      <c r="B272" s="1" t="n">
        <v>45223</v>
      </c>
      <c r="C272" s="1" t="n">
        <v>45877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51996-2023</t>
        </is>
      </c>
      <c r="B273" s="1" t="n">
        <v>45223</v>
      </c>
      <c r="C273" s="1" t="n">
        <v>45877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51991-2023</t>
        </is>
      </c>
      <c r="B274" s="1" t="n">
        <v>45223</v>
      </c>
      <c r="C274" s="1" t="n">
        <v>45877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51995-2023</t>
        </is>
      </c>
      <c r="B275" s="1" t="n">
        <v>45223</v>
      </c>
      <c r="C275" s="1" t="n">
        <v>45877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54517-2023</t>
        </is>
      </c>
      <c r="B276" s="1" t="n">
        <v>45233</v>
      </c>
      <c r="C276" s="1" t="n">
        <v>45877</v>
      </c>
      <c r="D276" t="inlineStr">
        <is>
          <t>ÖREBRO LÄN</t>
        </is>
      </c>
      <c r="E276" t="inlineStr">
        <is>
          <t>DEGERFORS</t>
        </is>
      </c>
      <c r="G276" t="n">
        <v>14.6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54515-2023</t>
        </is>
      </c>
      <c r="B277" s="1" t="n">
        <v>45233</v>
      </c>
      <c r="C277" s="1" t="n">
        <v>45877</v>
      </c>
      <c r="D277" t="inlineStr">
        <is>
          <t>ÖREBRO LÄN</t>
        </is>
      </c>
      <c r="E277" t="inlineStr">
        <is>
          <t>DEGERFORS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56566-2023</t>
        </is>
      </c>
      <c r="B278" s="1" t="n">
        <v>45238</v>
      </c>
      <c r="C278" s="1" t="n">
        <v>45877</v>
      </c>
      <c r="D278" t="inlineStr">
        <is>
          <t>ÖREBRO LÄN</t>
        </is>
      </c>
      <c r="E278" t="inlineStr">
        <is>
          <t>DEGERFORS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55595-2023</t>
        </is>
      </c>
      <c r="B279" s="1" t="n">
        <v>45238</v>
      </c>
      <c r="C279" s="1" t="n">
        <v>45877</v>
      </c>
      <c r="D279" t="inlineStr">
        <is>
          <t>ÖREBRO LÄN</t>
        </is>
      </c>
      <c r="E279" t="inlineStr">
        <is>
          <t>DEGERFORS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59131-2023</t>
        </is>
      </c>
      <c r="B280" s="1" t="n">
        <v>45253</v>
      </c>
      <c r="C280" s="1" t="n">
        <v>45877</v>
      </c>
      <c r="D280" t="inlineStr">
        <is>
          <t>ÖREBRO LÄN</t>
        </is>
      </c>
      <c r="E280" t="inlineStr">
        <is>
          <t>DEGERFORS</t>
        </is>
      </c>
      <c r="F280" t="inlineStr">
        <is>
          <t>Kommuner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60135-2023</t>
        </is>
      </c>
      <c r="B281" s="1" t="n">
        <v>45258</v>
      </c>
      <c r="C281" s="1" t="n">
        <v>45877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60137-2023</t>
        </is>
      </c>
      <c r="B282" s="1" t="n">
        <v>45258</v>
      </c>
      <c r="C282" s="1" t="n">
        <v>45877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60145-2023</t>
        </is>
      </c>
      <c r="B283" s="1" t="n">
        <v>45258</v>
      </c>
      <c r="C283" s="1" t="n">
        <v>45877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60146-2023</t>
        </is>
      </c>
      <c r="B284" s="1" t="n">
        <v>45258</v>
      </c>
      <c r="C284" s="1" t="n">
        <v>45877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60907-2023</t>
        </is>
      </c>
      <c r="B285" s="1" t="n">
        <v>45261</v>
      </c>
      <c r="C285" s="1" t="n">
        <v>45877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62211-2023</t>
        </is>
      </c>
      <c r="B286" s="1" t="n">
        <v>45267</v>
      </c>
      <c r="C286" s="1" t="n">
        <v>45877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62982-2023</t>
        </is>
      </c>
      <c r="B287" s="1" t="n">
        <v>45272</v>
      </c>
      <c r="C287" s="1" t="n">
        <v>45877</v>
      </c>
      <c r="D287" t="inlineStr">
        <is>
          <t>ÖREBRO LÄN</t>
        </is>
      </c>
      <c r="E287" t="inlineStr">
        <is>
          <t>DEGERFORS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62972-2023</t>
        </is>
      </c>
      <c r="B288" s="1" t="n">
        <v>45272</v>
      </c>
      <c r="C288" s="1" t="n">
        <v>45877</v>
      </c>
      <c r="D288" t="inlineStr">
        <is>
          <t>ÖREBRO LÄN</t>
        </is>
      </c>
      <c r="E288" t="inlineStr">
        <is>
          <t>DEGERFORS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63914-2023</t>
        </is>
      </c>
      <c r="B289" s="1" t="n">
        <v>45278</v>
      </c>
      <c r="C289" s="1" t="n">
        <v>45877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63912-2023</t>
        </is>
      </c>
      <c r="B290" s="1" t="n">
        <v>45278</v>
      </c>
      <c r="C290" s="1" t="n">
        <v>45877</v>
      </c>
      <c r="D290" t="inlineStr">
        <is>
          <t>ÖREBRO LÄN</t>
        </is>
      </c>
      <c r="E290" t="inlineStr">
        <is>
          <t>DEGERFORS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64076-2023</t>
        </is>
      </c>
      <c r="B291" s="1" t="n">
        <v>45279</v>
      </c>
      <c r="C291" s="1" t="n">
        <v>45877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65110-2023</t>
        </is>
      </c>
      <c r="B292" s="1" t="n">
        <v>45287</v>
      </c>
      <c r="C292" s="1" t="n">
        <v>45877</v>
      </c>
      <c r="D292" t="inlineStr">
        <is>
          <t>ÖREBRO LÄN</t>
        </is>
      </c>
      <c r="E292" t="inlineStr">
        <is>
          <t>DEGERFORS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1302-2024</t>
        </is>
      </c>
      <c r="B293" s="1" t="n">
        <v>45303</v>
      </c>
      <c r="C293" s="1" t="n">
        <v>45877</v>
      </c>
      <c r="D293" t="inlineStr">
        <is>
          <t>ÖREBRO LÄN</t>
        </is>
      </c>
      <c r="E293" t="inlineStr">
        <is>
          <t>DEGERFORS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2873-2024</t>
        </is>
      </c>
      <c r="B294" s="1" t="n">
        <v>45315</v>
      </c>
      <c r="C294" s="1" t="n">
        <v>45877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4280-2024</t>
        </is>
      </c>
      <c r="B295" s="1" t="n">
        <v>45324</v>
      </c>
      <c r="C295" s="1" t="n">
        <v>45877</v>
      </c>
      <c r="D295" t="inlineStr">
        <is>
          <t>ÖREBRO LÄN</t>
        </is>
      </c>
      <c r="E295" t="inlineStr">
        <is>
          <t>DEGERFORS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5276-2024</t>
        </is>
      </c>
      <c r="B296" s="1" t="n">
        <v>45330</v>
      </c>
      <c r="C296" s="1" t="n">
        <v>45877</v>
      </c>
      <c r="D296" t="inlineStr">
        <is>
          <t>ÖREBRO LÄN</t>
        </is>
      </c>
      <c r="E296" t="inlineStr">
        <is>
          <t>DEGERFORS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5219-2024</t>
        </is>
      </c>
      <c r="B297" s="1" t="n">
        <v>45330</v>
      </c>
      <c r="C297" s="1" t="n">
        <v>45877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5218-2024</t>
        </is>
      </c>
      <c r="B298" s="1" t="n">
        <v>45330</v>
      </c>
      <c r="C298" s="1" t="n">
        <v>45877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5277-2024</t>
        </is>
      </c>
      <c r="B299" s="1" t="n">
        <v>45330</v>
      </c>
      <c r="C299" s="1" t="n">
        <v>45877</v>
      </c>
      <c r="D299" t="inlineStr">
        <is>
          <t>ÖREBRO LÄN</t>
        </is>
      </c>
      <c r="E299" t="inlineStr">
        <is>
          <t>DEGERFORS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6195-2024</t>
        </is>
      </c>
      <c r="B300" s="1" t="n">
        <v>45337</v>
      </c>
      <c r="C300" s="1" t="n">
        <v>45877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6240-2024</t>
        </is>
      </c>
      <c r="B301" s="1" t="n">
        <v>45337</v>
      </c>
      <c r="C301" s="1" t="n">
        <v>45877</v>
      </c>
      <c r="D301" t="inlineStr">
        <is>
          <t>ÖREBRO LÄN</t>
        </is>
      </c>
      <c r="E301" t="inlineStr">
        <is>
          <t>DEGERFORS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6387-2024</t>
        </is>
      </c>
      <c r="B302" s="1" t="n">
        <v>45338</v>
      </c>
      <c r="C302" s="1" t="n">
        <v>45877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6394-2024</t>
        </is>
      </c>
      <c r="B303" s="1" t="n">
        <v>45338</v>
      </c>
      <c r="C303" s="1" t="n">
        <v>45877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8072-2024</t>
        </is>
      </c>
      <c r="B304" s="1" t="n">
        <v>45351</v>
      </c>
      <c r="C304" s="1" t="n">
        <v>45877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8104-2024</t>
        </is>
      </c>
      <c r="B305" s="1" t="n">
        <v>45351</v>
      </c>
      <c r="C305" s="1" t="n">
        <v>45877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8062-2024</t>
        </is>
      </c>
      <c r="B306" s="1" t="n">
        <v>45351</v>
      </c>
      <c r="C306" s="1" t="n">
        <v>45877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8059-2024</t>
        </is>
      </c>
      <c r="B307" s="1" t="n">
        <v>45351</v>
      </c>
      <c r="C307" s="1" t="n">
        <v>45877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8075-2024</t>
        </is>
      </c>
      <c r="B308" s="1" t="n">
        <v>45351</v>
      </c>
      <c r="C308" s="1" t="n">
        <v>45877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8105-2024</t>
        </is>
      </c>
      <c r="B309" s="1" t="n">
        <v>45351</v>
      </c>
      <c r="C309" s="1" t="n">
        <v>45877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8074-2024</t>
        </is>
      </c>
      <c r="B310" s="1" t="n">
        <v>45351</v>
      </c>
      <c r="C310" s="1" t="n">
        <v>45877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8106-2024</t>
        </is>
      </c>
      <c r="B311" s="1" t="n">
        <v>45351</v>
      </c>
      <c r="C311" s="1" t="n">
        <v>45877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10672-2024</t>
        </is>
      </c>
      <c r="B312" s="1" t="n">
        <v>45369</v>
      </c>
      <c r="C312" s="1" t="n">
        <v>45877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10676-2024</t>
        </is>
      </c>
      <c r="B313" s="1" t="n">
        <v>45369</v>
      </c>
      <c r="C313" s="1" t="n">
        <v>45877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10674-2024</t>
        </is>
      </c>
      <c r="B314" s="1" t="n">
        <v>45369</v>
      </c>
      <c r="C314" s="1" t="n">
        <v>45877</v>
      </c>
      <c r="D314" t="inlineStr">
        <is>
          <t>ÖREBRO LÄN</t>
        </is>
      </c>
      <c r="E314" t="inlineStr">
        <is>
          <t>DEGERFORS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12089-2024</t>
        </is>
      </c>
      <c r="B315" s="1" t="n">
        <v>45376</v>
      </c>
      <c r="C315" s="1" t="n">
        <v>45877</v>
      </c>
      <c r="D315" t="inlineStr">
        <is>
          <t>ÖREBRO LÄN</t>
        </is>
      </c>
      <c r="E315" t="inlineStr">
        <is>
          <t>DEGERFORS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12100-2024</t>
        </is>
      </c>
      <c r="B316" s="1" t="n">
        <v>45376</v>
      </c>
      <c r="C316" s="1" t="n">
        <v>45877</v>
      </c>
      <c r="D316" t="inlineStr">
        <is>
          <t>ÖREBRO LÄN</t>
        </is>
      </c>
      <c r="E316" t="inlineStr">
        <is>
          <t>DEGERFORS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12108-2024</t>
        </is>
      </c>
      <c r="B317" s="1" t="n">
        <v>45376</v>
      </c>
      <c r="C317" s="1" t="n">
        <v>45877</v>
      </c>
      <c r="D317" t="inlineStr">
        <is>
          <t>ÖREBRO LÄN</t>
        </is>
      </c>
      <c r="E317" t="inlineStr">
        <is>
          <t>DEGERFORS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12117-2024</t>
        </is>
      </c>
      <c r="B318" s="1" t="n">
        <v>45376</v>
      </c>
      <c r="C318" s="1" t="n">
        <v>45877</v>
      </c>
      <c r="D318" t="inlineStr">
        <is>
          <t>ÖREBRO LÄN</t>
        </is>
      </c>
      <c r="E318" t="inlineStr">
        <is>
          <t>DEGERFORS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12067-2024</t>
        </is>
      </c>
      <c r="B319" s="1" t="n">
        <v>45377</v>
      </c>
      <c r="C319" s="1" t="n">
        <v>45877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12724-2024</t>
        </is>
      </c>
      <c r="B320" s="1" t="n">
        <v>45384</v>
      </c>
      <c r="C320" s="1" t="n">
        <v>45877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12732-2024</t>
        </is>
      </c>
      <c r="B321" s="1" t="n">
        <v>45384</v>
      </c>
      <c r="C321" s="1" t="n">
        <v>45877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12730-2024</t>
        </is>
      </c>
      <c r="B322" s="1" t="n">
        <v>45384</v>
      </c>
      <c r="C322" s="1" t="n">
        <v>45877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12725-2024</t>
        </is>
      </c>
      <c r="B323" s="1" t="n">
        <v>45384</v>
      </c>
      <c r="C323" s="1" t="n">
        <v>45877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12729-2024</t>
        </is>
      </c>
      <c r="B324" s="1" t="n">
        <v>45384</v>
      </c>
      <c r="C324" s="1" t="n">
        <v>45877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12731-2024</t>
        </is>
      </c>
      <c r="B325" s="1" t="n">
        <v>45384</v>
      </c>
      <c r="C325" s="1" t="n">
        <v>45877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13405-2024</t>
        </is>
      </c>
      <c r="B326" s="1" t="n">
        <v>45387</v>
      </c>
      <c r="C326" s="1" t="n">
        <v>45877</v>
      </c>
      <c r="D326" t="inlineStr">
        <is>
          <t>ÖREBRO LÄN</t>
        </is>
      </c>
      <c r="E326" t="inlineStr">
        <is>
          <t>DEGERFORS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15833-2024</t>
        </is>
      </c>
      <c r="B327" s="1" t="n">
        <v>45404</v>
      </c>
      <c r="C327" s="1" t="n">
        <v>45877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16440-2024</t>
        </is>
      </c>
      <c r="B328" s="1" t="n">
        <v>45407</v>
      </c>
      <c r="C328" s="1" t="n">
        <v>45877</v>
      </c>
      <c r="D328" t="inlineStr">
        <is>
          <t>ÖREBRO LÄN</t>
        </is>
      </c>
      <c r="E328" t="inlineStr">
        <is>
          <t>DEGERFORS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18074-2024</t>
        </is>
      </c>
      <c r="B329" s="1" t="n">
        <v>45420</v>
      </c>
      <c r="C329" s="1" t="n">
        <v>45877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18077-2024</t>
        </is>
      </c>
      <c r="B330" s="1" t="n">
        <v>45420</v>
      </c>
      <c r="C330" s="1" t="n">
        <v>45877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19106-2024</t>
        </is>
      </c>
      <c r="B331" s="1" t="n">
        <v>45428</v>
      </c>
      <c r="C331" s="1" t="n">
        <v>45877</v>
      </c>
      <c r="D331" t="inlineStr">
        <is>
          <t>ÖREBRO LÄN</t>
        </is>
      </c>
      <c r="E331" t="inlineStr">
        <is>
          <t>DEGERFORS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20727-2024</t>
        </is>
      </c>
      <c r="B332" s="1" t="n">
        <v>45436</v>
      </c>
      <c r="C332" s="1" t="n">
        <v>45877</v>
      </c>
      <c r="D332" t="inlineStr">
        <is>
          <t>ÖREBRO LÄN</t>
        </is>
      </c>
      <c r="E332" t="inlineStr">
        <is>
          <t>DEGERFORS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20650-2024</t>
        </is>
      </c>
      <c r="B333" s="1" t="n">
        <v>45436</v>
      </c>
      <c r="C333" s="1" t="n">
        <v>45877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21561-2024</t>
        </is>
      </c>
      <c r="B334" s="1" t="n">
        <v>45441</v>
      </c>
      <c r="C334" s="1" t="n">
        <v>45877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21558-2024</t>
        </is>
      </c>
      <c r="B335" s="1" t="n">
        <v>45441</v>
      </c>
      <c r="C335" s="1" t="n">
        <v>45877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21562-2024</t>
        </is>
      </c>
      <c r="B336" s="1" t="n">
        <v>45441</v>
      </c>
      <c r="C336" s="1" t="n">
        <v>45877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21408-2024</t>
        </is>
      </c>
      <c r="B337" s="1" t="n">
        <v>45441</v>
      </c>
      <c r="C337" s="1" t="n">
        <v>45877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21411-2024</t>
        </is>
      </c>
      <c r="B338" s="1" t="n">
        <v>45441</v>
      </c>
      <c r="C338" s="1" t="n">
        <v>45877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21649-2024</t>
        </is>
      </c>
      <c r="B339" s="1" t="n">
        <v>45442</v>
      </c>
      <c r="C339" s="1" t="n">
        <v>45877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21929-2024</t>
        </is>
      </c>
      <c r="B340" s="1" t="n">
        <v>45443</v>
      </c>
      <c r="C340" s="1" t="n">
        <v>45877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21933-2024</t>
        </is>
      </c>
      <c r="B341" s="1" t="n">
        <v>45443</v>
      </c>
      <c r="C341" s="1" t="n">
        <v>45877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21931-2024</t>
        </is>
      </c>
      <c r="B342" s="1" t="n">
        <v>45443</v>
      </c>
      <c r="C342" s="1" t="n">
        <v>45877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21935-2024</t>
        </is>
      </c>
      <c r="B343" s="1" t="n">
        <v>45443</v>
      </c>
      <c r="C343" s="1" t="n">
        <v>45877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21953-2024</t>
        </is>
      </c>
      <c r="B344" s="1" t="n">
        <v>45443</v>
      </c>
      <c r="C344" s="1" t="n">
        <v>45877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21928-2024</t>
        </is>
      </c>
      <c r="B345" s="1" t="n">
        <v>45443</v>
      </c>
      <c r="C345" s="1" t="n">
        <v>45877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21952-2024</t>
        </is>
      </c>
      <c r="B346" s="1" t="n">
        <v>45443</v>
      </c>
      <c r="C346" s="1" t="n">
        <v>45877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21948-2024</t>
        </is>
      </c>
      <c r="B347" s="1" t="n">
        <v>45443</v>
      </c>
      <c r="C347" s="1" t="n">
        <v>45877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22659-2024</t>
        </is>
      </c>
      <c r="B348" s="1" t="n">
        <v>45447</v>
      </c>
      <c r="C348" s="1" t="n">
        <v>45877</v>
      </c>
      <c r="D348" t="inlineStr">
        <is>
          <t>ÖREBRO LÄN</t>
        </is>
      </c>
      <c r="E348" t="inlineStr">
        <is>
          <t>DEGERFORS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23460-2024</t>
        </is>
      </c>
      <c r="B349" s="1" t="n">
        <v>45453</v>
      </c>
      <c r="C349" s="1" t="n">
        <v>45877</v>
      </c>
      <c r="D349" t="inlineStr">
        <is>
          <t>ÖREBRO LÄN</t>
        </is>
      </c>
      <c r="E349" t="inlineStr">
        <is>
          <t>DEGERFORS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23786-2024</t>
        </is>
      </c>
      <c r="B350" s="1" t="n">
        <v>45455</v>
      </c>
      <c r="C350" s="1" t="n">
        <v>45877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24750-2024</t>
        </is>
      </c>
      <c r="B351" s="1" t="n">
        <v>45460</v>
      </c>
      <c r="C351" s="1" t="n">
        <v>45877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24749-2024</t>
        </is>
      </c>
      <c r="B352" s="1" t="n">
        <v>45460</v>
      </c>
      <c r="C352" s="1" t="n">
        <v>45877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24753-2024</t>
        </is>
      </c>
      <c r="B353" s="1" t="n">
        <v>45460</v>
      </c>
      <c r="C353" s="1" t="n">
        <v>45877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45877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25169-2024</t>
        </is>
      </c>
      <c r="B355" s="1" t="n">
        <v>45462</v>
      </c>
      <c r="C355" s="1" t="n">
        <v>45877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25175-2024</t>
        </is>
      </c>
      <c r="B356" s="1" t="n">
        <v>45462</v>
      </c>
      <c r="C356" s="1" t="n">
        <v>45877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25167-2024</t>
        </is>
      </c>
      <c r="B357" s="1" t="n">
        <v>45462</v>
      </c>
      <c r="C357" s="1" t="n">
        <v>45877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26182-2024</t>
        </is>
      </c>
      <c r="B358" s="1" t="n">
        <v>45468</v>
      </c>
      <c r="C358" s="1" t="n">
        <v>45877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26177-2024</t>
        </is>
      </c>
      <c r="B359" s="1" t="n">
        <v>45468</v>
      </c>
      <c r="C359" s="1" t="n">
        <v>45877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26173-2024</t>
        </is>
      </c>
      <c r="B360" s="1" t="n">
        <v>45468</v>
      </c>
      <c r="C360" s="1" t="n">
        <v>45877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26169-2024</t>
        </is>
      </c>
      <c r="B361" s="1" t="n">
        <v>45468</v>
      </c>
      <c r="C361" s="1" t="n">
        <v>45877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26151-2024</t>
        </is>
      </c>
      <c r="B362" s="1" t="n">
        <v>45468</v>
      </c>
      <c r="C362" s="1" t="n">
        <v>45877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26180-2024</t>
        </is>
      </c>
      <c r="B363" s="1" t="n">
        <v>45468</v>
      </c>
      <c r="C363" s="1" t="n">
        <v>45877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26176-2024</t>
        </is>
      </c>
      <c r="B364" s="1" t="n">
        <v>45468</v>
      </c>
      <c r="C364" s="1" t="n">
        <v>45877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26185-2024</t>
        </is>
      </c>
      <c r="B365" s="1" t="n">
        <v>45468</v>
      </c>
      <c r="C365" s="1" t="n">
        <v>45877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26171-2024</t>
        </is>
      </c>
      <c r="B366" s="1" t="n">
        <v>45468</v>
      </c>
      <c r="C366" s="1" t="n">
        <v>45877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26153-2024</t>
        </is>
      </c>
      <c r="B367" s="1" t="n">
        <v>45468</v>
      </c>
      <c r="C367" s="1" t="n">
        <v>45877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26168-2024</t>
        </is>
      </c>
      <c r="B368" s="1" t="n">
        <v>45468</v>
      </c>
      <c r="C368" s="1" t="n">
        <v>45877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26154-2024</t>
        </is>
      </c>
      <c r="B369" s="1" t="n">
        <v>45468</v>
      </c>
      <c r="C369" s="1" t="n">
        <v>45877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26150-2024</t>
        </is>
      </c>
      <c r="B370" s="1" t="n">
        <v>45468</v>
      </c>
      <c r="C370" s="1" t="n">
        <v>45877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26174-2024</t>
        </is>
      </c>
      <c r="B371" s="1" t="n">
        <v>45468</v>
      </c>
      <c r="C371" s="1" t="n">
        <v>45877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26152-2024</t>
        </is>
      </c>
      <c r="B372" s="1" t="n">
        <v>45468</v>
      </c>
      <c r="C372" s="1" t="n">
        <v>45877</v>
      </c>
      <c r="D372" t="inlineStr">
        <is>
          <t>ÖREBRO LÄN</t>
        </is>
      </c>
      <c r="E372" t="inlineStr">
        <is>
          <t>DEGERFORS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27438-2024</t>
        </is>
      </c>
      <c r="B373" s="1" t="n">
        <v>45474</v>
      </c>
      <c r="C373" s="1" t="n">
        <v>45877</v>
      </c>
      <c r="D373" t="inlineStr">
        <is>
          <t>ÖREBRO LÄN</t>
        </is>
      </c>
      <c r="E373" t="inlineStr">
        <is>
          <t>DEGERFORS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29945-2024</t>
        </is>
      </c>
      <c r="B374" s="1" t="n">
        <v>45488</v>
      </c>
      <c r="C374" s="1" t="n">
        <v>45877</v>
      </c>
      <c r="D374" t="inlineStr">
        <is>
          <t>ÖREBRO LÄN</t>
        </is>
      </c>
      <c r="E374" t="inlineStr">
        <is>
          <t>DEGERFORS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29949-2024</t>
        </is>
      </c>
      <c r="B375" s="1" t="n">
        <v>45488</v>
      </c>
      <c r="C375" s="1" t="n">
        <v>45877</v>
      </c>
      <c r="D375" t="inlineStr">
        <is>
          <t>ÖREBRO LÄN</t>
        </is>
      </c>
      <c r="E375" t="inlineStr">
        <is>
          <t>DEGERFORS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30813-2024</t>
        </is>
      </c>
      <c r="B376" s="1" t="n">
        <v>45497</v>
      </c>
      <c r="C376" s="1" t="n">
        <v>45877</v>
      </c>
      <c r="D376" t="inlineStr">
        <is>
          <t>ÖREBRO LÄN</t>
        </is>
      </c>
      <c r="E376" t="inlineStr">
        <is>
          <t>DEGERFORS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30811-2024</t>
        </is>
      </c>
      <c r="B377" s="1" t="n">
        <v>45497</v>
      </c>
      <c r="C377" s="1" t="n">
        <v>45877</v>
      </c>
      <c r="D377" t="inlineStr">
        <is>
          <t>ÖREBRO LÄN</t>
        </is>
      </c>
      <c r="E377" t="inlineStr">
        <is>
          <t>DEGERFORS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31598-2024</t>
        </is>
      </c>
      <c r="B378" s="1" t="n">
        <v>45506</v>
      </c>
      <c r="C378" s="1" t="n">
        <v>45877</v>
      </c>
      <c r="D378" t="inlineStr">
        <is>
          <t>ÖREBRO LÄN</t>
        </is>
      </c>
      <c r="E378" t="inlineStr">
        <is>
          <t>DEGERFORS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32551-2024</t>
        </is>
      </c>
      <c r="B379" s="1" t="n">
        <v>45513</v>
      </c>
      <c r="C379" s="1" t="n">
        <v>45877</v>
      </c>
      <c r="D379" t="inlineStr">
        <is>
          <t>ÖREBRO LÄN</t>
        </is>
      </c>
      <c r="E379" t="inlineStr">
        <is>
          <t>DEGERFORS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32824-2024</t>
        </is>
      </c>
      <c r="B380" s="1" t="n">
        <v>45516</v>
      </c>
      <c r="C380" s="1" t="n">
        <v>45877</v>
      </c>
      <c r="D380" t="inlineStr">
        <is>
          <t>ÖREBRO LÄN</t>
        </is>
      </c>
      <c r="E380" t="inlineStr">
        <is>
          <t>DEGERFORS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32816-2024</t>
        </is>
      </c>
      <c r="B381" s="1" t="n">
        <v>45516</v>
      </c>
      <c r="C381" s="1" t="n">
        <v>45877</v>
      </c>
      <c r="D381" t="inlineStr">
        <is>
          <t>ÖREBRO LÄN</t>
        </is>
      </c>
      <c r="E381" t="inlineStr">
        <is>
          <t>DEGERFORS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33658-2024</t>
        </is>
      </c>
      <c r="B382" s="1" t="n">
        <v>45520</v>
      </c>
      <c r="C382" s="1" t="n">
        <v>45877</v>
      </c>
      <c r="D382" t="inlineStr">
        <is>
          <t>ÖREBRO LÄN</t>
        </is>
      </c>
      <c r="E382" t="inlineStr">
        <is>
          <t>DEGERFORS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36437-2024</t>
        </is>
      </c>
      <c r="B383" s="1" t="n">
        <v>45535</v>
      </c>
      <c r="C383" s="1" t="n">
        <v>45877</v>
      </c>
      <c r="D383" t="inlineStr">
        <is>
          <t>ÖREBRO LÄN</t>
        </is>
      </c>
      <c r="E383" t="inlineStr">
        <is>
          <t>DEGERFORS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36439-2024</t>
        </is>
      </c>
      <c r="B384" s="1" t="n">
        <v>45535</v>
      </c>
      <c r="C384" s="1" t="n">
        <v>45877</v>
      </c>
      <c r="D384" t="inlineStr">
        <is>
          <t>ÖREBRO LÄN</t>
        </is>
      </c>
      <c r="E384" t="inlineStr">
        <is>
          <t>DEGERFORS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37672-2024</t>
        </is>
      </c>
      <c r="B385" s="1" t="n">
        <v>45541</v>
      </c>
      <c r="C385" s="1" t="n">
        <v>45877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38574-2024</t>
        </is>
      </c>
      <c r="B386" s="1" t="n">
        <v>45546</v>
      </c>
      <c r="C386" s="1" t="n">
        <v>45877</v>
      </c>
      <c r="D386" t="inlineStr">
        <is>
          <t>ÖREBRO LÄN</t>
        </is>
      </c>
      <c r="E386" t="inlineStr">
        <is>
          <t>DEGERFORS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45877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45877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40391-2024</t>
        </is>
      </c>
      <c r="B389" s="1" t="n">
        <v>45555</v>
      </c>
      <c r="C389" s="1" t="n">
        <v>45877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40390-2024</t>
        </is>
      </c>
      <c r="B390" s="1" t="n">
        <v>45555</v>
      </c>
      <c r="C390" s="1" t="n">
        <v>45877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40406-2024</t>
        </is>
      </c>
      <c r="B391" s="1" t="n">
        <v>45555</v>
      </c>
      <c r="C391" s="1" t="n">
        <v>45877</v>
      </c>
      <c r="D391" t="inlineStr">
        <is>
          <t>ÖREBRO LÄN</t>
        </is>
      </c>
      <c r="E391" t="inlineStr">
        <is>
          <t>DEGERFORS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40870-2024</t>
        </is>
      </c>
      <c r="B392" s="1" t="n">
        <v>45558</v>
      </c>
      <c r="C392" s="1" t="n">
        <v>45877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45877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45877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41565-2024</t>
        </is>
      </c>
      <c r="B395" s="1" t="n">
        <v>45560</v>
      </c>
      <c r="C395" s="1" t="n">
        <v>45877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41569-2024</t>
        </is>
      </c>
      <c r="B396" s="1" t="n">
        <v>45560</v>
      </c>
      <c r="C396" s="1" t="n">
        <v>45877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41567-2024</t>
        </is>
      </c>
      <c r="B397" s="1" t="n">
        <v>45560</v>
      </c>
      <c r="C397" s="1" t="n">
        <v>45877</v>
      </c>
      <c r="D397" t="inlineStr">
        <is>
          <t>ÖREBRO LÄN</t>
        </is>
      </c>
      <c r="E397" t="inlineStr">
        <is>
          <t>DEGERFORS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42367-2024</t>
        </is>
      </c>
      <c r="B398" s="1" t="n">
        <v>45564</v>
      </c>
      <c r="C398" s="1" t="n">
        <v>45877</v>
      </c>
      <c r="D398" t="inlineStr">
        <is>
          <t>ÖREBRO LÄN</t>
        </is>
      </c>
      <c r="E398" t="inlineStr">
        <is>
          <t>DEGERFORS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43768-2024</t>
        </is>
      </c>
      <c r="B399" s="1" t="n">
        <v>45569</v>
      </c>
      <c r="C399" s="1" t="n">
        <v>45877</v>
      </c>
      <c r="D399" t="inlineStr">
        <is>
          <t>ÖREBRO LÄN</t>
        </is>
      </c>
      <c r="E399" t="inlineStr">
        <is>
          <t>DEGERFORS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43769-2024</t>
        </is>
      </c>
      <c r="B400" s="1" t="n">
        <v>45569</v>
      </c>
      <c r="C400" s="1" t="n">
        <v>45877</v>
      </c>
      <c r="D400" t="inlineStr">
        <is>
          <t>ÖREBRO LÄN</t>
        </is>
      </c>
      <c r="E400" t="inlineStr">
        <is>
          <t>DEGERFORS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43943-2024</t>
        </is>
      </c>
      <c r="B401" s="1" t="n">
        <v>45572</v>
      </c>
      <c r="C401" s="1" t="n">
        <v>45877</v>
      </c>
      <c r="D401" t="inlineStr">
        <is>
          <t>ÖREBRO LÄN</t>
        </is>
      </c>
      <c r="E401" t="inlineStr">
        <is>
          <t>DEGERFORS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45384-2024</t>
        </is>
      </c>
      <c r="B402" s="1" t="n">
        <v>45576</v>
      </c>
      <c r="C402" s="1" t="n">
        <v>45877</v>
      </c>
      <c r="D402" t="inlineStr">
        <is>
          <t>ÖREBRO LÄN</t>
        </is>
      </c>
      <c r="E402" t="inlineStr">
        <is>
          <t>DEGERFORS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46288-2024</t>
        </is>
      </c>
      <c r="B403" s="1" t="n">
        <v>45581</v>
      </c>
      <c r="C403" s="1" t="n">
        <v>45877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46148-2024</t>
        </is>
      </c>
      <c r="B404" s="1" t="n">
        <v>45581</v>
      </c>
      <c r="C404" s="1" t="n">
        <v>45877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46213-2024</t>
        </is>
      </c>
      <c r="B405" s="1" t="n">
        <v>45581</v>
      </c>
      <c r="C405" s="1" t="n">
        <v>45877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46219-2024</t>
        </is>
      </c>
      <c r="B406" s="1" t="n">
        <v>45581</v>
      </c>
      <c r="C406" s="1" t="n">
        <v>45877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46220-2024</t>
        </is>
      </c>
      <c r="B407" s="1" t="n">
        <v>45581</v>
      </c>
      <c r="C407" s="1" t="n">
        <v>45877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46216-2024</t>
        </is>
      </c>
      <c r="B408" s="1" t="n">
        <v>45581</v>
      </c>
      <c r="C408" s="1" t="n">
        <v>45877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46222-2024</t>
        </is>
      </c>
      <c r="B409" s="1" t="n">
        <v>45581</v>
      </c>
      <c r="C409" s="1" t="n">
        <v>45877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46158-2024</t>
        </is>
      </c>
      <c r="B410" s="1" t="n">
        <v>45581</v>
      </c>
      <c r="C410" s="1" t="n">
        <v>45877</v>
      </c>
      <c r="D410" t="inlineStr">
        <is>
          <t>ÖREBRO LÄN</t>
        </is>
      </c>
      <c r="E410" t="inlineStr">
        <is>
          <t>DEGERFORS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46154-2024</t>
        </is>
      </c>
      <c r="B411" s="1" t="n">
        <v>45581</v>
      </c>
      <c r="C411" s="1" t="n">
        <v>45877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46147-2024</t>
        </is>
      </c>
      <c r="B412" s="1" t="n">
        <v>45581</v>
      </c>
      <c r="C412" s="1" t="n">
        <v>45877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46150-2024</t>
        </is>
      </c>
      <c r="B413" s="1" t="n">
        <v>45581</v>
      </c>
      <c r="C413" s="1" t="n">
        <v>45877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46289-2024</t>
        </is>
      </c>
      <c r="B414" s="1" t="n">
        <v>45581</v>
      </c>
      <c r="C414" s="1" t="n">
        <v>45877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46290-2024</t>
        </is>
      </c>
      <c r="B415" s="1" t="n">
        <v>45581</v>
      </c>
      <c r="C415" s="1" t="n">
        <v>45877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46287-2024</t>
        </is>
      </c>
      <c r="B416" s="1" t="n">
        <v>45581</v>
      </c>
      <c r="C416" s="1" t="n">
        <v>45877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47216-2024</t>
        </is>
      </c>
      <c r="B417" s="1" t="n">
        <v>45586</v>
      </c>
      <c r="C417" s="1" t="n">
        <v>45877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47930-2024</t>
        </is>
      </c>
      <c r="B418" s="1" t="n">
        <v>45589</v>
      </c>
      <c r="C418" s="1" t="n">
        <v>45877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47941-2024</t>
        </is>
      </c>
      <c r="B419" s="1" t="n">
        <v>45589</v>
      </c>
      <c r="C419" s="1" t="n">
        <v>45877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47937-2024</t>
        </is>
      </c>
      <c r="B420" s="1" t="n">
        <v>45589</v>
      </c>
      <c r="C420" s="1" t="n">
        <v>45877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47933-2024</t>
        </is>
      </c>
      <c r="B421" s="1" t="n">
        <v>45589</v>
      </c>
      <c r="C421" s="1" t="n">
        <v>45877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47925-2024</t>
        </is>
      </c>
      <c r="B422" s="1" t="n">
        <v>45589</v>
      </c>
      <c r="C422" s="1" t="n">
        <v>45877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47939-2024</t>
        </is>
      </c>
      <c r="B423" s="1" t="n">
        <v>45589</v>
      </c>
      <c r="C423" s="1" t="n">
        <v>45877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47935-2024</t>
        </is>
      </c>
      <c r="B424" s="1" t="n">
        <v>45589</v>
      </c>
      <c r="C424" s="1" t="n">
        <v>45877</v>
      </c>
      <c r="D424" t="inlineStr">
        <is>
          <t>ÖREBRO LÄN</t>
        </is>
      </c>
      <c r="E424" t="inlineStr">
        <is>
          <t>DEGERFORS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45877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50208-2024</t>
        </is>
      </c>
      <c r="B426" s="1" t="n">
        <v>45600</v>
      </c>
      <c r="C426" s="1" t="n">
        <v>45877</v>
      </c>
      <c r="D426" t="inlineStr">
        <is>
          <t>ÖREBRO LÄN</t>
        </is>
      </c>
      <c r="E426" t="inlineStr">
        <is>
          <t>DEGERFORS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45877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50377-2024</t>
        </is>
      </c>
      <c r="B428" s="1" t="n">
        <v>45601</v>
      </c>
      <c r="C428" s="1" t="n">
        <v>45877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45877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50766-2024</t>
        </is>
      </c>
      <c r="B430" s="1" t="n">
        <v>45602</v>
      </c>
      <c r="C430" s="1" t="n">
        <v>45877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45877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52528-2024</t>
        </is>
      </c>
      <c r="B432" s="1" t="n">
        <v>45609</v>
      </c>
      <c r="C432" s="1" t="n">
        <v>45877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52490-2024</t>
        </is>
      </c>
      <c r="B433" s="1" t="n">
        <v>45609</v>
      </c>
      <c r="C433" s="1" t="n">
        <v>45877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52506-2024</t>
        </is>
      </c>
      <c r="B434" s="1" t="n">
        <v>45609</v>
      </c>
      <c r="C434" s="1" t="n">
        <v>45877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52523-2024</t>
        </is>
      </c>
      <c r="B435" s="1" t="n">
        <v>45609</v>
      </c>
      <c r="C435" s="1" t="n">
        <v>45877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45877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53406-2024</t>
        </is>
      </c>
      <c r="B437" s="1" t="n">
        <v>45614</v>
      </c>
      <c r="C437" s="1" t="n">
        <v>45877</v>
      </c>
      <c r="D437" t="inlineStr">
        <is>
          <t>ÖREBRO LÄN</t>
        </is>
      </c>
      <c r="E437" t="inlineStr">
        <is>
          <t>DEGERFORS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45877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54082-2024</t>
        </is>
      </c>
      <c r="B439" s="1" t="n">
        <v>45616</v>
      </c>
      <c r="C439" s="1" t="n">
        <v>45877</v>
      </c>
      <c r="D439" t="inlineStr">
        <is>
          <t>ÖREBRO LÄN</t>
        </is>
      </c>
      <c r="E439" t="inlineStr">
        <is>
          <t>DEGERFORS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55185-2024</t>
        </is>
      </c>
      <c r="B440" s="1" t="n">
        <v>45619</v>
      </c>
      <c r="C440" s="1" t="n">
        <v>45877</v>
      </c>
      <c r="D440" t="inlineStr">
        <is>
          <t>ÖREBRO LÄN</t>
        </is>
      </c>
      <c r="E440" t="inlineStr">
        <is>
          <t>DEGERFORS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54994-2024</t>
        </is>
      </c>
      <c r="B441" s="1" t="n">
        <v>45621</v>
      </c>
      <c r="C441" s="1" t="n">
        <v>45877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45877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55009-2024</t>
        </is>
      </c>
      <c r="B443" s="1" t="n">
        <v>45621</v>
      </c>
      <c r="C443" s="1" t="n">
        <v>45877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45877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55008-2024</t>
        </is>
      </c>
      <c r="B445" s="1" t="n">
        <v>45621</v>
      </c>
      <c r="C445" s="1" t="n">
        <v>45877</v>
      </c>
      <c r="D445" t="inlineStr">
        <is>
          <t>ÖREBRO LÄN</t>
        </is>
      </c>
      <c r="E445" t="inlineStr">
        <is>
          <t>DEGERFORS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45877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45877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56464-2024</t>
        </is>
      </c>
      <c r="B448" s="1" t="n">
        <v>45624</v>
      </c>
      <c r="C448" s="1" t="n">
        <v>45877</v>
      </c>
      <c r="D448" t="inlineStr">
        <is>
          <t>ÖREBRO LÄN</t>
        </is>
      </c>
      <c r="E448" t="inlineStr">
        <is>
          <t>DEGERFORS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56886-2024</t>
        </is>
      </c>
      <c r="B449" s="1" t="n">
        <v>45628</v>
      </c>
      <c r="C449" s="1" t="n">
        <v>45877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57234-2024</t>
        </is>
      </c>
      <c r="B450" s="1" t="n">
        <v>45629</v>
      </c>
      <c r="C450" s="1" t="n">
        <v>45877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45877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57860-2024</t>
        </is>
      </c>
      <c r="B452" s="1" t="n">
        <v>45631</v>
      </c>
      <c r="C452" s="1" t="n">
        <v>45877</v>
      </c>
      <c r="D452" t="inlineStr">
        <is>
          <t>ÖREBRO LÄN</t>
        </is>
      </c>
      <c r="E452" t="inlineStr">
        <is>
          <t>DEGERFORS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58125-2024</t>
        </is>
      </c>
      <c r="B453" s="1" t="n">
        <v>45632</v>
      </c>
      <c r="C453" s="1" t="n">
        <v>45877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58120-2024</t>
        </is>
      </c>
      <c r="B454" s="1" t="n">
        <v>45632</v>
      </c>
      <c r="C454" s="1" t="n">
        <v>45877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45877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58164-2024</t>
        </is>
      </c>
      <c r="B456" s="1" t="n">
        <v>45632</v>
      </c>
      <c r="C456" s="1" t="n">
        <v>45877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58628-2024</t>
        </is>
      </c>
      <c r="B457" s="1" t="n">
        <v>45635</v>
      </c>
      <c r="C457" s="1" t="n">
        <v>45877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58477-2024</t>
        </is>
      </c>
      <c r="B458" s="1" t="n">
        <v>45635</v>
      </c>
      <c r="C458" s="1" t="n">
        <v>45877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58629-2024</t>
        </is>
      </c>
      <c r="B459" s="1" t="n">
        <v>45635</v>
      </c>
      <c r="C459" s="1" t="n">
        <v>45877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58471-2024</t>
        </is>
      </c>
      <c r="B460" s="1" t="n">
        <v>45635</v>
      </c>
      <c r="C460" s="1" t="n">
        <v>45877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58479-2024</t>
        </is>
      </c>
      <c r="B461" s="1" t="n">
        <v>45635</v>
      </c>
      <c r="C461" s="1" t="n">
        <v>45877</v>
      </c>
      <c r="D461" t="inlineStr">
        <is>
          <t>ÖREBRO LÄN</t>
        </is>
      </c>
      <c r="E461" t="inlineStr">
        <is>
          <t>DEGERFORS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59206-2024</t>
        </is>
      </c>
      <c r="B462" s="1" t="n">
        <v>45636</v>
      </c>
      <c r="C462" s="1" t="n">
        <v>45877</v>
      </c>
      <c r="D462" t="inlineStr">
        <is>
          <t>ÖREBRO LÄN</t>
        </is>
      </c>
      <c r="E462" t="inlineStr">
        <is>
          <t>DEGERFORS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59863-2024</t>
        </is>
      </c>
      <c r="B463" s="1" t="n">
        <v>45639</v>
      </c>
      <c r="C463" s="1" t="n">
        <v>45877</v>
      </c>
      <c r="D463" t="inlineStr">
        <is>
          <t>ÖREBRO LÄN</t>
        </is>
      </c>
      <c r="E463" t="inlineStr">
        <is>
          <t>DEGERFORS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60933-2024</t>
        </is>
      </c>
      <c r="B464" s="1" t="n">
        <v>45645</v>
      </c>
      <c r="C464" s="1" t="n">
        <v>45877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60937-2024</t>
        </is>
      </c>
      <c r="B465" s="1" t="n">
        <v>45645</v>
      </c>
      <c r="C465" s="1" t="n">
        <v>45877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61196-2024</t>
        </is>
      </c>
      <c r="B466" s="1" t="n">
        <v>45645</v>
      </c>
      <c r="C466" s="1" t="n">
        <v>45877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60940-2024</t>
        </is>
      </c>
      <c r="B467" s="1" t="n">
        <v>45645</v>
      </c>
      <c r="C467" s="1" t="n">
        <v>45877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61171-2024</t>
        </is>
      </c>
      <c r="B468" s="1" t="n">
        <v>45645</v>
      </c>
      <c r="C468" s="1" t="n">
        <v>45877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61177-2024</t>
        </is>
      </c>
      <c r="B469" s="1" t="n">
        <v>45645</v>
      </c>
      <c r="C469" s="1" t="n">
        <v>45877</v>
      </c>
      <c r="D469" t="inlineStr">
        <is>
          <t>ÖREBRO LÄN</t>
        </is>
      </c>
      <c r="E469" t="inlineStr">
        <is>
          <t>DEGERFORS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62091-2024</t>
        </is>
      </c>
      <c r="B470" s="1" t="n">
        <v>45656</v>
      </c>
      <c r="C470" s="1" t="n">
        <v>45877</v>
      </c>
      <c r="D470" t="inlineStr">
        <is>
          <t>ÖREBRO LÄN</t>
        </is>
      </c>
      <c r="E470" t="inlineStr">
        <is>
          <t>DEGERFORS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7472-2025</t>
        </is>
      </c>
      <c r="B471" s="1" t="n">
        <v>45705</v>
      </c>
      <c r="C471" s="1" t="n">
        <v>45877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7975-2025</t>
        </is>
      </c>
      <c r="B472" s="1" t="n">
        <v>45707</v>
      </c>
      <c r="C472" s="1" t="n">
        <v>45877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45877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8747-2025</t>
        </is>
      </c>
      <c r="B474" s="1" t="n">
        <v>45712</v>
      </c>
      <c r="C474" s="1" t="n">
        <v>45877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45877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45877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45877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9525-2025</t>
        </is>
      </c>
      <c r="B478" s="1" t="n">
        <v>45715</v>
      </c>
      <c r="C478" s="1" t="n">
        <v>45877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9527-2025</t>
        </is>
      </c>
      <c r="B479" s="1" t="n">
        <v>45715</v>
      </c>
      <c r="C479" s="1" t="n">
        <v>45877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45877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12148-2025</t>
        </is>
      </c>
      <c r="B481" s="1" t="n">
        <v>45729</v>
      </c>
      <c r="C481" s="1" t="n">
        <v>45877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12678-2025</t>
        </is>
      </c>
      <c r="B482" s="1" t="n">
        <v>45733</v>
      </c>
      <c r="C482" s="1" t="n">
        <v>45877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45877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13174-2025</t>
        </is>
      </c>
      <c r="B484" s="1" t="n">
        <v>45735</v>
      </c>
      <c r="C484" s="1" t="n">
        <v>45877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13414-2025</t>
        </is>
      </c>
      <c r="B485" s="1" t="n">
        <v>45736</v>
      </c>
      <c r="C485" s="1" t="n">
        <v>45877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13415-2025</t>
        </is>
      </c>
      <c r="B486" s="1" t="n">
        <v>45736</v>
      </c>
      <c r="C486" s="1" t="n">
        <v>45877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13412-2025</t>
        </is>
      </c>
      <c r="B487" s="1" t="n">
        <v>45736</v>
      </c>
      <c r="C487" s="1" t="n">
        <v>45877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13413-2025</t>
        </is>
      </c>
      <c r="B488" s="1" t="n">
        <v>45736</v>
      </c>
      <c r="C488" s="1" t="n">
        <v>45877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14452-2025</t>
        </is>
      </c>
      <c r="B489" s="1" t="n">
        <v>45741</v>
      </c>
      <c r="C489" s="1" t="n">
        <v>45877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14678-2025</t>
        </is>
      </c>
      <c r="B490" s="1" t="n">
        <v>45742</v>
      </c>
      <c r="C490" s="1" t="n">
        <v>45877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14680-2025</t>
        </is>
      </c>
      <c r="B491" s="1" t="n">
        <v>45742</v>
      </c>
      <c r="C491" s="1" t="n">
        <v>45877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14677-2025</t>
        </is>
      </c>
      <c r="B492" s="1" t="n">
        <v>45742</v>
      </c>
      <c r="C492" s="1" t="n">
        <v>45877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14681-2025</t>
        </is>
      </c>
      <c r="B493" s="1" t="n">
        <v>45742</v>
      </c>
      <c r="C493" s="1" t="n">
        <v>45877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14679-2025</t>
        </is>
      </c>
      <c r="B494" s="1" t="n">
        <v>45742</v>
      </c>
      <c r="C494" s="1" t="n">
        <v>45877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45877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14633-2025</t>
        </is>
      </c>
      <c r="B496" s="1" t="n">
        <v>45742</v>
      </c>
      <c r="C496" s="1" t="n">
        <v>45877</v>
      </c>
      <c r="D496" t="inlineStr">
        <is>
          <t>ÖREBRO LÄN</t>
        </is>
      </c>
      <c r="E496" t="inlineStr">
        <is>
          <t>DEGERFORS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15594-2025</t>
        </is>
      </c>
      <c r="B497" s="1" t="n">
        <v>45747</v>
      </c>
      <c r="C497" s="1" t="n">
        <v>45877</v>
      </c>
      <c r="D497" t="inlineStr">
        <is>
          <t>ÖREBRO LÄN</t>
        </is>
      </c>
      <c r="E497" t="inlineStr">
        <is>
          <t>DEGERFORS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15596-2025</t>
        </is>
      </c>
      <c r="B498" s="1" t="n">
        <v>45747</v>
      </c>
      <c r="C498" s="1" t="n">
        <v>45877</v>
      </c>
      <c r="D498" t="inlineStr">
        <is>
          <t>ÖREBRO LÄN</t>
        </is>
      </c>
      <c r="E498" t="inlineStr">
        <is>
          <t>DEGERFORS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15595-2025</t>
        </is>
      </c>
      <c r="B499" s="1" t="n">
        <v>45747</v>
      </c>
      <c r="C499" s="1" t="n">
        <v>45877</v>
      </c>
      <c r="D499" t="inlineStr">
        <is>
          <t>ÖREBRO LÄN</t>
        </is>
      </c>
      <c r="E499" t="inlineStr">
        <is>
          <t>DEGERFORS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15998-2025</t>
        </is>
      </c>
      <c r="B500" s="1" t="n">
        <v>45749</v>
      </c>
      <c r="C500" s="1" t="n">
        <v>45877</v>
      </c>
      <c r="D500" t="inlineStr">
        <is>
          <t>ÖREBRO LÄN</t>
        </is>
      </c>
      <c r="E500" t="inlineStr">
        <is>
          <t>DEGERFORS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16480-2025</t>
        </is>
      </c>
      <c r="B501" s="1" t="n">
        <v>45751</v>
      </c>
      <c r="C501" s="1" t="n">
        <v>45877</v>
      </c>
      <c r="D501" t="inlineStr">
        <is>
          <t>ÖREBRO LÄN</t>
        </is>
      </c>
      <c r="E501" t="inlineStr">
        <is>
          <t>DEGERFORS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17355-2025</t>
        </is>
      </c>
      <c r="B502" s="1" t="n">
        <v>45756</v>
      </c>
      <c r="C502" s="1" t="n">
        <v>45877</v>
      </c>
      <c r="D502" t="inlineStr">
        <is>
          <t>ÖREBRO LÄN</t>
        </is>
      </c>
      <c r="E502" t="inlineStr">
        <is>
          <t>DEGERFORS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17558-2025</t>
        </is>
      </c>
      <c r="B503" s="1" t="n">
        <v>45757</v>
      </c>
      <c r="C503" s="1" t="n">
        <v>45877</v>
      </c>
      <c r="D503" t="inlineStr">
        <is>
          <t>ÖREBRO LÄN</t>
        </is>
      </c>
      <c r="E503" t="inlineStr">
        <is>
          <t>DEGERFORS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45877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17798-2025</t>
        </is>
      </c>
      <c r="B505" s="1" t="n">
        <v>45758</v>
      </c>
      <c r="C505" s="1" t="n">
        <v>45877</v>
      </c>
      <c r="D505" t="inlineStr">
        <is>
          <t>ÖREBRO LÄN</t>
        </is>
      </c>
      <c r="E505" t="inlineStr">
        <is>
          <t>DEGERFORS</t>
        </is>
      </c>
      <c r="F505" t="inlineStr">
        <is>
          <t>Sveaskog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45877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18675-2025</t>
        </is>
      </c>
      <c r="B507" s="1" t="n">
        <v>45763</v>
      </c>
      <c r="C507" s="1" t="n">
        <v>45877</v>
      </c>
      <c r="D507" t="inlineStr">
        <is>
          <t>ÖREBRO LÄN</t>
        </is>
      </c>
      <c r="E507" t="inlineStr">
        <is>
          <t>DEGERFORS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18831-2025</t>
        </is>
      </c>
      <c r="B508" s="1" t="n">
        <v>45764</v>
      </c>
      <c r="C508" s="1" t="n">
        <v>45877</v>
      </c>
      <c r="D508" t="inlineStr">
        <is>
          <t>ÖREBRO LÄN</t>
        </is>
      </c>
      <c r="E508" t="inlineStr">
        <is>
          <t>DEGERFORS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45877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23683-2025</t>
        </is>
      </c>
      <c r="B510" s="1" t="n">
        <v>45793</v>
      </c>
      <c r="C510" s="1" t="n">
        <v>45877</v>
      </c>
      <c r="D510" t="inlineStr">
        <is>
          <t>ÖREBRO LÄN</t>
        </is>
      </c>
      <c r="E510" t="inlineStr">
        <is>
          <t>DEGERFORS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24707-2025</t>
        </is>
      </c>
      <c r="B511" s="1" t="n">
        <v>45798</v>
      </c>
      <c r="C511" s="1" t="n">
        <v>45877</v>
      </c>
      <c r="D511" t="inlineStr">
        <is>
          <t>ÖREBRO LÄN</t>
        </is>
      </c>
      <c r="E511" t="inlineStr">
        <is>
          <t>DEGERFORS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45877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25744-2025</t>
        </is>
      </c>
      <c r="B513" s="1" t="n">
        <v>45804</v>
      </c>
      <c r="C513" s="1" t="n">
        <v>45877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45877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45877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26147-2025</t>
        </is>
      </c>
      <c r="B516" s="1" t="n">
        <v>45805</v>
      </c>
      <c r="C516" s="1" t="n">
        <v>45877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26301-2025</t>
        </is>
      </c>
      <c r="B517" s="1" t="n">
        <v>45805</v>
      </c>
      <c r="C517" s="1" t="n">
        <v>45877</v>
      </c>
      <c r="D517" t="inlineStr">
        <is>
          <t>ÖREBRO LÄN</t>
        </is>
      </c>
      <c r="E517" t="inlineStr">
        <is>
          <t>DEGERFORS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26783-2025</t>
        </is>
      </c>
      <c r="B518" s="1" t="n">
        <v>45810</v>
      </c>
      <c r="C518" s="1" t="n">
        <v>45877</v>
      </c>
      <c r="D518" t="inlineStr">
        <is>
          <t>ÖREBRO LÄN</t>
        </is>
      </c>
      <c r="E518" t="inlineStr">
        <is>
          <t>DEGERFORS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26820-2025</t>
        </is>
      </c>
      <c r="B519" s="1" t="n">
        <v>45810</v>
      </c>
      <c r="C519" s="1" t="n">
        <v>45877</v>
      </c>
      <c r="D519" t="inlineStr">
        <is>
          <t>ÖREBRO LÄN</t>
        </is>
      </c>
      <c r="E519" t="inlineStr">
        <is>
          <t>DEGERFORS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45877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45877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28370-2025</t>
        </is>
      </c>
      <c r="B522" s="1" t="n">
        <v>45819</v>
      </c>
      <c r="C522" s="1" t="n">
        <v>45877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28367-2025</t>
        </is>
      </c>
      <c r="B523" s="1" t="n">
        <v>45819</v>
      </c>
      <c r="C523" s="1" t="n">
        <v>45877</v>
      </c>
      <c r="D523" t="inlineStr">
        <is>
          <t>ÖREBRO LÄN</t>
        </is>
      </c>
      <c r="E523" t="inlineStr">
        <is>
          <t>DEGERFORS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31603-2025</t>
        </is>
      </c>
      <c r="B524" s="1" t="n">
        <v>45833</v>
      </c>
      <c r="C524" s="1" t="n">
        <v>45877</v>
      </c>
      <c r="D524" t="inlineStr">
        <is>
          <t>ÖREBRO LÄN</t>
        </is>
      </c>
      <c r="E524" t="inlineStr">
        <is>
          <t>DEGERFORS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32300-2025</t>
        </is>
      </c>
      <c r="B525" s="1" t="n">
        <v>45835</v>
      </c>
      <c r="C525" s="1" t="n">
        <v>45877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32717-2025</t>
        </is>
      </c>
      <c r="B526" s="1" t="n">
        <v>45839</v>
      </c>
      <c r="C526" s="1" t="n">
        <v>45877</v>
      </c>
      <c r="D526" t="inlineStr">
        <is>
          <t>ÖREBRO LÄN</t>
        </is>
      </c>
      <c r="E526" t="inlineStr">
        <is>
          <t>DEGERFORS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33404-2025</t>
        </is>
      </c>
      <c r="B527" s="1" t="n">
        <v>45841</v>
      </c>
      <c r="C527" s="1" t="n">
        <v>45877</v>
      </c>
      <c r="D527" t="inlineStr">
        <is>
          <t>ÖREBRO LÄN</t>
        </is>
      </c>
      <c r="E527" t="inlineStr">
        <is>
          <t>DEGERFORS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35706-2025</t>
        </is>
      </c>
      <c r="B528" s="1" t="n">
        <v>45860</v>
      </c>
      <c r="C528" s="1" t="n">
        <v>45877</v>
      </c>
      <c r="D528" t="inlineStr">
        <is>
          <t>ÖREBRO LÄN</t>
        </is>
      </c>
      <c r="E528" t="inlineStr">
        <is>
          <t>DEGERFORS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36768-2025</t>
        </is>
      </c>
      <c r="B529" s="1" t="n">
        <v>45873</v>
      </c>
      <c r="C529" s="1" t="n">
        <v>45877</v>
      </c>
      <c r="D529" t="inlineStr">
        <is>
          <t>ÖREBRO LÄN</t>
        </is>
      </c>
      <c r="E529" t="inlineStr">
        <is>
          <t>DEGERFORS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36769-2025</t>
        </is>
      </c>
      <c r="B530" s="1" t="n">
        <v>45873</v>
      </c>
      <c r="C530" s="1" t="n">
        <v>45877</v>
      </c>
      <c r="D530" t="inlineStr">
        <is>
          <t>ÖREBRO LÄN</t>
        </is>
      </c>
      <c r="E530" t="inlineStr">
        <is>
          <t>DEGERFORS</t>
        </is>
      </c>
      <c r="F530" t="inlineStr">
        <is>
          <t>Sveaskog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37265-2025</t>
        </is>
      </c>
      <c r="B531" s="1" t="n">
        <v>45876</v>
      </c>
      <c r="C531" s="1" t="n">
        <v>45877</v>
      </c>
      <c r="D531" t="inlineStr">
        <is>
          <t>ÖREBRO LÄN</t>
        </is>
      </c>
      <c r="E531" t="inlineStr">
        <is>
          <t>DEGERFORS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37333-2025</t>
        </is>
      </c>
      <c r="B532" s="1" t="n">
        <v>45876</v>
      </c>
      <c r="C532" s="1" t="n">
        <v>45877</v>
      </c>
      <c r="D532" t="inlineStr">
        <is>
          <t>ÖREBRO LÄN</t>
        </is>
      </c>
      <c r="E532" t="inlineStr">
        <is>
          <t>DEGERFORS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2025-08-09T00:56:36Z</dcterms:created>
  <dcterms:modified xmlns:dcterms="http://purl.org/dc/terms/" xmlns:xsi="http://www.w3.org/2001/XMLSchema-instance" xsi:type="dcterms:W3CDTF">2025-08-09T00:56:36Z</dcterms:modified>
</cp:coreProperties>
</file>