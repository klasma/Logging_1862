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46326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46326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46326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46326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46326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46326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46326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46326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46326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46326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46326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46326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46326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36081-2025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45866</v>
      </c>
      <c r="E17" s="1" t="n">
        <v>46326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1.5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Jungfrulin
Skogsklocka
Svinrot
Springkorn</t>
        </is>
      </c>
      <c r="W17">
        <f>HYPERLINK("https://klasma.github.io/Logging_1862/artfynd/A 36081-2025 artfynd.xlsx", "A 36081-2025")</f>
        <v/>
      </c>
      <c r="X17">
        <f>HYPERLINK("https://klasma.github.io/Logging_1862/kartor/A 36081-2025 karta.png", "A 36081-2025")</f>
        <v/>
      </c>
      <c r="Y17">
        <f>HYPERLINK("https://klasma.github.io/Logging_1862/kartor_geotiff/A 36081-2025 georefererad karta.tif", "A 36081-2025")</f>
        <v/>
      </c>
      <c r="AA17">
        <f>HYPERLINK("https://klasma.github.io/Logging_1862/klagomål/A 36081-2025 FSC-klagomål.docx", "A 36081-2025")</f>
        <v/>
      </c>
      <c r="AB17">
        <f>HYPERLINK("https://klasma.github.io/Logging_1862/klagomålsmail/A 36081-2025 FSC-klagomål mail.docx", "A 36081-2025")</f>
        <v/>
      </c>
      <c r="AC17">
        <f>HYPERLINK("https://klasma.github.io/Logging_1862/tillsyn/A 36081-2025 tillsynsbegäran.docx", "A 36081-2025")</f>
        <v/>
      </c>
      <c r="AD17">
        <f>HYPERLINK("https://klasma.github.io/Logging_1862/tillsynsmail/A 36081-2025 tillsynsbegäran mail.docx", "A 36081-2025")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46326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46326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46326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12720-2024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45384</v>
      </c>
      <c r="E21" s="1" t="n">
        <v>46326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5.1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7</v>
      </c>
      <c r="U21" t="n">
        <v>7</v>
      </c>
      <c r="V21" s="2" t="inlineStr">
        <is>
          <t>Nordfladdermus
Svinrot
Tretåig hackspett
Fläcknycklar</t>
        </is>
      </c>
      <c r="W21">
        <f>HYPERLINK("https://klasma.github.io/Logging_1862/artfynd/A 12720-2024 artfynd.xlsx", "A 12720-2024")</f>
        <v/>
      </c>
      <c r="X21">
        <f>HYPERLINK("https://klasma.github.io/Logging_1862/kartor/A 12720-2024 karta.png", "A 12720-2024")</f>
        <v/>
      </c>
      <c r="Y21">
        <f>HYPERLINK("https://klasma.github.io/Logging_1862/kartor_geotiff/A 12720-2024 georefererad karta.tif", "A 12720-2024")</f>
        <v/>
      </c>
      <c r="AA21">
        <f>HYPERLINK("https://klasma.github.io/Logging_1862/klagomål/A 12720-2024 FSC-klagomål.docx", "A 12720-2024")</f>
        <v/>
      </c>
      <c r="AB21">
        <f>HYPERLINK("https://klasma.github.io/Logging_1862/klagomålsmail/A 12720-2024 FSC-klagomål mail.docx", "A 12720-2024")</f>
        <v/>
      </c>
      <c r="AC21">
        <f>HYPERLINK("https://klasma.github.io/Logging_1862/tillsyn/A 12720-2024 tillsynsbegäran.docx", "A 12720-2024")</f>
        <v/>
      </c>
      <c r="AD21">
        <f>HYPERLINK("https://klasma.github.io/Logging_1862/tillsynsmail/A 12720-2024 tillsynsbegäran mail.docx", "A 12720-2024")</f>
        <v/>
      </c>
      <c r="AE21">
        <f>HYPERLINK("https://klasma.github.io/Logging_1862/fåglar/A 12720-2024 prioriterade fågelarter.docx", "A 12720-2024")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46326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46326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46326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46326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4256-2026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46326</v>
      </c>
      <c r="F26" t="inlineStr">
        <is>
          <t>ÖREBRO LÄN</t>
        </is>
      </c>
      <c r="G26" t="inlineStr">
        <is>
          <t>DEGERFORS</t>
        </is>
      </c>
      <c r="I26" t="n">
        <v>2.9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Skogsklocka
Slåtterfibbla</t>
        </is>
      </c>
      <c r="W26">
        <f>HYPERLINK("https://klasma.github.io/Logging_1862/artfynd/A 4256-2026 artfynd.xlsx", "A 4256-2026")</f>
        <v/>
      </c>
      <c r="X26">
        <f>HYPERLINK("https://klasma.github.io/Logging_1862/kartor/A 4256-2026 karta.png", "A 4256-2026")</f>
        <v/>
      </c>
      <c r="Y26">
        <f>HYPERLINK("https://klasma.github.io/Logging_1862/kartor_geotiff/A 4256-2026 georefererad karta.tif", "A 4256-2026")</f>
        <v/>
      </c>
      <c r="AA26">
        <f>HYPERLINK("https://klasma.github.io/Logging_1862/klagomål/A 4256-2026 FSC-klagomål.docx", "A 4256-2026")</f>
        <v/>
      </c>
      <c r="AB26">
        <f>HYPERLINK("https://klasma.github.io/Logging_1862/klagomålsmail/A 4256-2026 FSC-klagomål mail.docx", "A 4256-2026")</f>
        <v/>
      </c>
      <c r="AC26">
        <f>HYPERLINK("https://klasma.github.io/Logging_1862/tillsyn/A 4256-2026 tillsynsbegäran.docx", "A 4256-2026")</f>
        <v/>
      </c>
      <c r="AD26">
        <f>HYPERLINK("https://klasma.github.io/Logging_1862/tillsynsmail/A 4256-2026 tillsynsbegäran mail.docx", "A 4256-2026")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46326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46326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46326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46326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46326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46326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33297-2023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45116</v>
      </c>
      <c r="E33" s="1" t="n">
        <v>46326</v>
      </c>
      <c r="F33" t="inlineStr">
        <is>
          <t>ÖREBRO LÄN</t>
        </is>
      </c>
      <c r="G33" t="inlineStr">
        <is>
          <t>DEGERFORS</t>
        </is>
      </c>
      <c r="I33" t="n">
        <v>7.2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HYPERLINK("https://klasma.github.io/Logging_1862/artfynd/A 33297-2023 artfynd.xlsx", "A 33297-2023")</f>
        <v/>
      </c>
      <c r="X33">
        <f>HYPERLINK("https://klasma.github.io/Logging_1862/kartor/A 33297-2023 karta.png", "A 33297-2023")</f>
        <v/>
      </c>
      <c r="Y33">
        <f>HYPERLINK("https://klasma.github.io/Logging_1862/kartor_geotiff/A 33297-2023 georefererad karta.tif", "A 33297-2023")</f>
        <v/>
      </c>
      <c r="AA33">
        <f>HYPERLINK("https://klasma.github.io/Logging_1862/klagomål/A 33297-2023 FSC-klagomål.docx", "A 33297-2023")</f>
        <v/>
      </c>
      <c r="AB33">
        <f>HYPERLINK("https://klasma.github.io/Logging_1862/klagomålsmail/A 33297-2023 FSC-klagomål mail.docx", "A 33297-2023")</f>
        <v/>
      </c>
      <c r="AC33">
        <f>HYPERLINK("https://klasma.github.io/Logging_1862/tillsyn/A 33297-2023 tillsynsbegäran.docx", "A 33297-2023")</f>
        <v/>
      </c>
      <c r="AD33">
        <f>HYPERLINK("https://klasma.github.io/Logging_1862/tillsynsmail/A 33297-2023 tillsynsbegäran mail.docx", "A 33297-2023")</f>
        <v/>
      </c>
    </row>
    <row r="34" ht="15" customHeight="1">
      <c r="A34" t="inlineStr">
        <is>
          <t>A 38904-2023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46326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HYPERLINK("https://klasma.github.io/Logging_1862/artfynd/A 38904-2023 artfynd.xlsx", "A 38904-2023")</f>
        <v/>
      </c>
      <c r="X34">
        <f>HYPERLINK("https://klasma.github.io/Logging_1862/kartor/A 38904-2023 karta.png", "A 38904-2023")</f>
        <v/>
      </c>
      <c r="Y34">
        <f>HYPERLINK("https://klasma.github.io/Logging_1862/kartor_geotiff/A 38904-2023 georefererad karta.tif", "A 38904-2023")</f>
        <v/>
      </c>
      <c r="AA34">
        <f>HYPERLINK("https://klasma.github.io/Logging_1862/klagomål/A 38904-2023 FSC-klagomål.docx", "A 38904-2023")</f>
        <v/>
      </c>
      <c r="AB34">
        <f>HYPERLINK("https://klasma.github.io/Logging_1862/klagomålsmail/A 38904-2023 FSC-klagomål mail.docx", "A 38904-2023")</f>
        <v/>
      </c>
      <c r="AC34">
        <f>HYPERLINK("https://klasma.github.io/Logging_1862/tillsyn/A 38904-2023 tillsynsbegäran.docx", "A 38904-2023")</f>
        <v/>
      </c>
      <c r="AD34">
        <f>HYPERLINK("https://klasma.github.io/Logging_1862/tillsynsmail/A 38904-2023 tillsynsbegäran mail.docx", "A 38904-2023")</f>
        <v/>
      </c>
      <c r="AE34">
        <f>HYPERLINK("https://klasma.github.io/Logging_1862/fåglar/A 38904-2023 prioriterade fågelarter.docx", "A 38904-2023")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46326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27093-2023 artfynd.xlsx", "A 27093-2023")</f>
        <v/>
      </c>
      <c r="X35">
        <f>HYPERLINK("https://klasma.github.io/Logging_1862/kartor/A 27093-2023 karta.png", "A 27093-2023")</f>
        <v/>
      </c>
      <c r="Y35">
        <f>HYPERLINK("https://klasma.github.io/Logging_1862/kartor_geotiff/A 27093-2023 georefererad karta.tif", "A 27093-2023")</f>
        <v/>
      </c>
      <c r="AA35">
        <f>HYPERLINK("https://klasma.github.io/Logging_1862/klagomål/A 27093-2023 FSC-klagomål.docx", "A 27093-2023")</f>
        <v/>
      </c>
      <c r="AB35">
        <f>HYPERLINK("https://klasma.github.io/Logging_1862/klagomålsmail/A 27093-2023 FSC-klagomål mail.docx", "A 27093-2023")</f>
        <v/>
      </c>
      <c r="AC35">
        <f>HYPERLINK("https://klasma.github.io/Logging_1862/tillsyn/A 27093-2023 tillsynsbegäran.docx", "A 27093-2023")</f>
        <v/>
      </c>
      <c r="AD35">
        <f>HYPERLINK("https://klasma.github.io/Logging_1862/tillsynsmail/A 27093-2023 tillsynsbegäran mail.docx", "A 27093-2023")</f>
        <v/>
      </c>
      <c r="AE35">
        <f>HYPERLINK("https://klasma.github.io/Logging_1862/fåglar/A 27093-2023 prioriterade fågelarter.docx", "A 27093-2023")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46326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HYPERLINK("https://klasma.github.io/Logging_1862/artfynd/A 49306-2025 artfynd.xlsx", "A 49306-2025")</f>
        <v/>
      </c>
      <c r="X36">
        <f>HYPERLINK("https://klasma.github.io/Logging_1862/kartor/A 49306-2025 karta.png", "A 49306-2025")</f>
        <v/>
      </c>
      <c r="Y36">
        <f>HYPERLINK("https://klasma.github.io/Logging_1862/kartor_geotiff/A 49306-2025 georefererad karta.tif", "A 49306-2025")</f>
        <v/>
      </c>
      <c r="AA36">
        <f>HYPERLINK("https://klasma.github.io/Logging_1862/klagomål/A 49306-2025 FSC-klagomål.docx", "A 49306-2025")</f>
        <v/>
      </c>
      <c r="AB36">
        <f>HYPERLINK("https://klasma.github.io/Logging_1862/klagomålsmail/A 49306-2025 FSC-klagomål mail.docx", "A 49306-2025")</f>
        <v/>
      </c>
      <c r="AC36">
        <f>HYPERLINK("https://klasma.github.io/Logging_1862/tillsyn/A 49306-2025 tillsynsbegäran.docx", "A 49306-2025")</f>
        <v/>
      </c>
      <c r="AD36">
        <f>HYPERLINK("https://klasma.github.io/Logging_1862/tillsynsmail/A 49306-2025 tillsynsbegäran mail.docx", "A 49306-2025")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46326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Tretåig hackspett</t>
        </is>
      </c>
      <c r="W37">
        <f>HYPERLINK("https://klasma.github.io/Logging_1862/artfynd/A 47787-2025 artfynd.xlsx", "A 47787-2025")</f>
        <v/>
      </c>
      <c r="X37">
        <f>HYPERLINK("https://klasma.github.io/Logging_1862/kartor/A 47787-2025 karta.png", "A 47787-2025")</f>
        <v/>
      </c>
      <c r="Y37">
        <f>HYPERLINK("https://klasma.github.io/Logging_1862/kartor_geotiff/A 47787-2025 georefererad karta.tif", "A 47787-2025")</f>
        <v/>
      </c>
      <c r="AA37">
        <f>HYPERLINK("https://klasma.github.io/Logging_1862/klagomål/A 47787-2025 FSC-klagomål.docx", "A 47787-2025")</f>
        <v/>
      </c>
      <c r="AB37">
        <f>HYPERLINK("https://klasma.github.io/Logging_1862/klagomålsmail/A 47787-2025 FSC-klagomål mail.docx", "A 47787-2025")</f>
        <v/>
      </c>
      <c r="AC37">
        <f>HYPERLINK("https://klasma.github.io/Logging_1862/tillsyn/A 47787-2025 tillsynsbegäran.docx", "A 47787-2025")</f>
        <v/>
      </c>
      <c r="AD37">
        <f>HYPERLINK("https://klasma.github.io/Logging_1862/tillsynsmail/A 47787-2025 tillsynsbegäran mail.docx", "A 47787-2025")</f>
        <v/>
      </c>
      <c r="AE37">
        <f>HYPERLINK("https://klasma.github.io/Logging_1862/fåglar/A 47787-2025 prioriterade fågelarter.docx", "A 47787-2025")</f>
        <v/>
      </c>
    </row>
    <row r="38" ht="15" customHeight="1">
      <c r="A38" t="inlineStr">
        <is>
          <t>A 48285-2023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45205</v>
      </c>
      <c r="E38" s="1" t="n">
        <v>46326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48285-2023 artfynd.xlsx", "A 48285-2023")</f>
        <v/>
      </c>
      <c r="X38">
        <f>HYPERLINK("https://klasma.github.io/Logging_1862/kartor/A 48285-2023 karta.png", "A 48285-2023")</f>
        <v/>
      </c>
      <c r="Y38">
        <f>HYPERLINK("https://klasma.github.io/Logging_1862/kartor_geotiff/A 48285-2023 georefererad karta.tif", "A 48285-2023")</f>
        <v/>
      </c>
      <c r="AA38">
        <f>HYPERLINK("https://klasma.github.io/Logging_1862/klagomål/A 48285-2023 FSC-klagomål.docx", "A 48285-2023")</f>
        <v/>
      </c>
      <c r="AB38">
        <f>HYPERLINK("https://klasma.github.io/Logging_1862/klagomålsmail/A 48285-2023 FSC-klagomål mail.docx", "A 48285-2023")</f>
        <v/>
      </c>
      <c r="AC38">
        <f>HYPERLINK("https://klasma.github.io/Logging_1862/tillsyn/A 48285-2023 tillsynsbegäran.docx", "A 48285-2023")</f>
        <v/>
      </c>
      <c r="AD38">
        <f>HYPERLINK("https://klasma.github.io/Logging_1862/tillsynsmail/A 48285-2023 tillsynsbegäran mail.docx", "A 48285-2023")</f>
        <v/>
      </c>
      <c r="AE38">
        <f>HYPERLINK("https://klasma.github.io/Logging_1862/fåglar/A 48285-2023 prioriterade fågelarter.docx", "A 48285-2023")</f>
        <v/>
      </c>
    </row>
    <row r="39" ht="15" customHeight="1">
      <c r="A39" t="inlineStr">
        <is>
          <t>A 38907-2023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46326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38907-2023 artfynd.xlsx", "A 38907-2023")</f>
        <v/>
      </c>
      <c r="X39">
        <f>HYPERLINK("https://klasma.github.io/Logging_1862/kartor/A 38907-2023 karta.png", "A 38907-2023")</f>
        <v/>
      </c>
      <c r="Y39">
        <f>HYPERLINK("https://klasma.github.io/Logging_1862/kartor_geotiff/A 38907-2023 georefererad karta.tif", "A 38907-2023")</f>
        <v/>
      </c>
      <c r="AA39">
        <f>HYPERLINK("https://klasma.github.io/Logging_1862/klagomål/A 38907-2023 FSC-klagomål.docx", "A 38907-2023")</f>
        <v/>
      </c>
      <c r="AB39">
        <f>HYPERLINK("https://klasma.github.io/Logging_1862/klagomålsmail/A 38907-2023 FSC-klagomål mail.docx", "A 38907-2023")</f>
        <v/>
      </c>
      <c r="AC39">
        <f>HYPERLINK("https://klasma.github.io/Logging_1862/tillsyn/A 38907-2023 tillsynsbegäran.docx", "A 38907-2023")</f>
        <v/>
      </c>
      <c r="AD39">
        <f>HYPERLINK("https://klasma.github.io/Logging_1862/tillsynsmail/A 38907-2023 tillsynsbegäran mail.docx", "A 38907-2023")</f>
        <v/>
      </c>
      <c r="AE39">
        <f>HYPERLINK("https://klasma.github.io/Logging_1862/fåglar/A 38907-2023 prioriterade fågelarter.docx", "A 38907-2023")</f>
        <v/>
      </c>
    </row>
    <row r="40" ht="15" customHeight="1">
      <c r="A40" t="inlineStr">
        <is>
          <t>A 14177-2026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46326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HYPERLINK("https://klasma.github.io/Logging_1862/artfynd/A 14177-2026 artfynd.xlsx", "A 14177-2026")</f>
        <v/>
      </c>
      <c r="X40">
        <f>HYPERLINK("https://klasma.github.io/Logging_1862/kartor/A 14177-2026 karta.png", "A 14177-2026")</f>
        <v/>
      </c>
      <c r="Y40">
        <f>HYPERLINK("https://klasma.github.io/Logging_1862/kartor_geotiff/A 14177-2026 georefererad karta.tif", "A 14177-2026")</f>
        <v/>
      </c>
      <c r="AA40">
        <f>HYPERLINK("https://klasma.github.io/Logging_1862/klagomål/A 14177-2026 FSC-klagomål.docx", "A 14177-2026")</f>
        <v/>
      </c>
      <c r="AB40">
        <f>HYPERLINK("https://klasma.github.io/Logging_1862/klagomålsmail/A 14177-2026 FSC-klagomål mail.docx", "A 14177-2026")</f>
        <v/>
      </c>
      <c r="AC40">
        <f>HYPERLINK("https://klasma.github.io/Logging_1862/tillsyn/A 14177-2026 tillsynsbegäran.docx", "A 14177-2026")</f>
        <v/>
      </c>
      <c r="AD40">
        <f>HYPERLINK("https://klasma.github.io/Logging_1862/tillsynsmail/A 14177-2026 tillsynsbegäran mail.docx", "A 14177-2026")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46326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Brunfläckig pärlemorfjäril</t>
        </is>
      </c>
      <c r="W41">
        <f>HYPERLINK("https://klasma.github.io/Logging_1862/artfynd/A 47941-2024 artfynd.xlsx", "A 47941-2024")</f>
        <v/>
      </c>
      <c r="X41">
        <f>HYPERLINK("https://klasma.github.io/Logging_1862/kartor/A 47941-2024 karta.png", "A 47941-2024")</f>
        <v/>
      </c>
      <c r="Y41">
        <f>HYPERLINK("https://klasma.github.io/Logging_1862/kartor_geotiff/A 47941-2024 georefererad karta.tif", "A 47941-2024")</f>
        <v/>
      </c>
      <c r="AA41">
        <f>HYPERLINK("https://klasma.github.io/Logging_1862/klagomål/A 47941-2024 FSC-klagomål.docx", "A 47941-2024")</f>
        <v/>
      </c>
      <c r="AB41">
        <f>HYPERLINK("https://klasma.github.io/Logging_1862/klagomålsmail/A 47941-2024 FSC-klagomål mail.docx", "A 47941-2024")</f>
        <v/>
      </c>
      <c r="AC41">
        <f>HYPERLINK("https://klasma.github.io/Logging_1862/tillsyn/A 47941-2024 tillsynsbegäran.docx", "A 47941-2024")</f>
        <v/>
      </c>
      <c r="AD41">
        <f>HYPERLINK("https://klasma.github.io/Logging_1862/tillsynsmail/A 47941-2024 tillsynsbegäran mail.docx", "A 47941-2024")</f>
        <v/>
      </c>
    </row>
    <row r="42" ht="15" customHeight="1">
      <c r="A42" t="inlineStr">
        <is>
          <t>A 14121-2022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46326</v>
      </c>
      <c r="F42" t="inlineStr">
        <is>
          <t>ÖREBRO LÄN</t>
        </is>
      </c>
      <c r="G42" t="inlineStr">
        <is>
          <t>DEGERFORS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Hårklomossa</t>
        </is>
      </c>
      <c r="W42">
        <f>HYPERLINK("https://klasma.github.io/Logging_1862/artfynd/A 14121-2022 artfynd.xlsx", "A 14121-2022")</f>
        <v/>
      </c>
      <c r="X42">
        <f>HYPERLINK("https://klasma.github.io/Logging_1862/kartor/A 14121-2022 karta.png", "A 14121-2022")</f>
        <v/>
      </c>
      <c r="Y42">
        <f>HYPERLINK("https://klasma.github.io/Logging_1862/kartor_geotiff/A 14121-2022 georefererad karta.tif", "A 14121-2022")</f>
        <v/>
      </c>
      <c r="AA42">
        <f>HYPERLINK("https://klasma.github.io/Logging_1862/klagomål/A 14121-2022 FSC-klagomål.docx", "A 14121-2022")</f>
        <v/>
      </c>
      <c r="AB42">
        <f>HYPERLINK("https://klasma.github.io/Logging_1862/klagomålsmail/A 14121-2022 FSC-klagomål mail.docx", "A 14121-2022")</f>
        <v/>
      </c>
      <c r="AC42">
        <f>HYPERLINK("https://klasma.github.io/Logging_1862/tillsyn/A 14121-2022 tillsynsbegäran.docx", "A 14121-2022")</f>
        <v/>
      </c>
      <c r="AD42">
        <f>HYPERLINK("https://klasma.github.io/Logging_1862/tillsynsmail/A 14121-2022 tillsynsbegäran mail.docx", "A 14121-2022")</f>
        <v/>
      </c>
    </row>
    <row r="43" ht="15" customHeight="1">
      <c r="A43" t="inlineStr">
        <is>
          <t>A 47915-2024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46326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HYPERLINK("https://klasma.github.io/Logging_1862/artfynd/A 47915-2024 artfynd.xlsx", "A 47915-2024")</f>
        <v/>
      </c>
      <c r="X43">
        <f>HYPERLINK("https://klasma.github.io/Logging_1862/kartor/A 47915-2024 karta.png", "A 47915-2024")</f>
        <v/>
      </c>
      <c r="Y43">
        <f>HYPERLINK("https://klasma.github.io/Logging_1862/kartor_geotiff/A 47915-2024 georefererad karta.tif", "A 47915-2024")</f>
        <v/>
      </c>
      <c r="AA43">
        <f>HYPERLINK("https://klasma.github.io/Logging_1862/klagomål/A 47915-2024 FSC-klagomål.docx", "A 47915-2024")</f>
        <v/>
      </c>
      <c r="AB43">
        <f>HYPERLINK("https://klasma.github.io/Logging_1862/klagomålsmail/A 47915-2024 FSC-klagomål mail.docx", "A 47915-2024")</f>
        <v/>
      </c>
      <c r="AC43">
        <f>HYPERLINK("https://klasma.github.io/Logging_1862/tillsyn/A 47915-2024 tillsynsbegäran.docx", "A 47915-2024")</f>
        <v/>
      </c>
      <c r="AD43">
        <f>HYPERLINK("https://klasma.github.io/Logging_1862/tillsynsmail/A 47915-2024 tillsynsbegäran mail.docx", "A 47915-2024")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46326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HYPERLINK("https://klasma.github.io/Logging_1862/artfynd/A 27071-2026 artfynd.xlsx", "A 27071-2026")</f>
        <v/>
      </c>
      <c r="X44">
        <f>HYPERLINK("https://klasma.github.io/Logging_1862/kartor/A 27071-2026 karta.png", "A 27071-2026")</f>
        <v/>
      </c>
      <c r="Y44">
        <f>HYPERLINK("https://klasma.github.io/Logging_1862/kartor_geotiff/A 27071-2026 georefererad karta.tif", "A 27071-2026")</f>
        <v/>
      </c>
      <c r="AA44">
        <f>HYPERLINK("https://klasma.github.io/Logging_1862/klagomål/A 27071-2026 FSC-klagomål.docx", "A 27071-2026")</f>
        <v/>
      </c>
      <c r="AB44">
        <f>HYPERLINK("https://klasma.github.io/Logging_1862/klagomålsmail/A 27071-2026 FSC-klagomål mail.docx", "A 27071-2026")</f>
        <v/>
      </c>
      <c r="AC44">
        <f>HYPERLINK("https://klasma.github.io/Logging_1862/tillsyn/A 27071-2026 tillsynsbegäran.docx", "A 27071-2026")</f>
        <v/>
      </c>
      <c r="AD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46326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HYPERLINK("https://klasma.github.io/Logging_1862/artfynd/A 27072-2026 artfynd.xlsx", "A 27072-2026")</f>
        <v/>
      </c>
      <c r="X45">
        <f>HYPERLINK("https://klasma.github.io/Logging_1862/kartor/A 27072-2026 karta.png", "A 27072-2026")</f>
        <v/>
      </c>
      <c r="Y45">
        <f>HYPERLINK("https://klasma.github.io/Logging_1862/kartor_geotiff/A 27072-2026 georefererad karta.tif", "A 27072-2026")</f>
        <v/>
      </c>
      <c r="AA45">
        <f>HYPERLINK("https://klasma.github.io/Logging_1862/klagomål/A 27072-2026 FSC-klagomål.docx", "A 27072-2026")</f>
        <v/>
      </c>
      <c r="AB45">
        <f>HYPERLINK("https://klasma.github.io/Logging_1862/klagomålsmail/A 27072-2026 FSC-klagomål mail.docx", "A 27072-2026")</f>
        <v/>
      </c>
      <c r="AC45">
        <f>HYPERLINK("https://klasma.github.io/Logging_1862/tillsyn/A 27072-2026 tillsynsbegäran.docx", "A 27072-2026")</f>
        <v/>
      </c>
      <c r="AD45">
        <f>HYPERLINK("https://klasma.github.io/Logging_1862/tillsynsmail/A 27072-2026 tillsynsbegäran mail.docx", "A 27072-2026")</f>
        <v/>
      </c>
      <c r="AE45">
        <f>HYPERLINK("https://klasma.github.io/Logging_1862/fåglar/A 27072-2026 prioriterade fågelarter.docx", "A 27072-2026")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46326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53838-2024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45614</v>
      </c>
      <c r="E47" s="1" t="n">
        <v>46326</v>
      </c>
      <c r="F47" t="inlineStr">
        <is>
          <t>ÖREBRO LÄN</t>
        </is>
      </c>
      <c r="G47" t="inlineStr">
        <is>
          <t>DEGERFORS</t>
        </is>
      </c>
      <c r="I47" t="n">
        <v>4.3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53838-2024 artfynd.xlsx", "A 53838-2024")</f>
        <v/>
      </c>
      <c r="X47">
        <f>HYPERLINK("https://klasma.github.io/Logging_1862/kartor/A 53838-2024 karta.png", "A 53838-2024")</f>
        <v/>
      </c>
      <c r="Y47">
        <f>HYPERLINK("https://klasma.github.io/Logging_1862/kartor_geotiff/A 53838-2024 georefererad karta.tif", "A 53838-2024")</f>
        <v/>
      </c>
      <c r="AA47">
        <f>HYPERLINK("https://klasma.github.io/Logging_1862/klagomål/A 53838-2024 FSC-klagomål.docx", "A 53838-2024")</f>
        <v/>
      </c>
      <c r="AB47">
        <f>HYPERLINK("https://klasma.github.io/Logging_1862/klagomålsmail/A 53838-2024 FSC-klagomål mail.docx", "A 53838-2024")</f>
        <v/>
      </c>
      <c r="AC47">
        <f>HYPERLINK("https://klasma.github.io/Logging_1862/tillsyn/A 53838-2024 tillsynsbegäran.docx", "A 53838-2024")</f>
        <v/>
      </c>
      <c r="AD47">
        <f>HYPERLINK("https://klasma.github.io/Logging_1862/tillsynsmail/A 53838-2024 tillsynsbegäran mail.docx", "A 53838-2024")</f>
        <v/>
      </c>
      <c r="AE47">
        <f>HYPERLINK("https://klasma.github.io/Logging_1862/fåglar/A 53838-2024 prioriterade fågelarter.docx", "A 53838-2024")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46326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2357-2022 artfynd.xlsx", "A 2357-2022")</f>
        <v/>
      </c>
      <c r="X48">
        <f>HYPERLINK("https://klasma.github.io/Logging_1862/kartor/A 2357-2022 karta.png", "A 2357-2022")</f>
        <v/>
      </c>
      <c r="Y48">
        <f>HYPERLINK("https://klasma.github.io/Logging_1862/kartor_geotiff/A 2357-2022 georefererad karta.tif", "A 2357-2022")</f>
        <v/>
      </c>
      <c r="AA48">
        <f>HYPERLINK("https://klasma.github.io/Logging_1862/klagomål/A 2357-2022 FSC-klagomål.docx", "A 2357-2022")</f>
        <v/>
      </c>
      <c r="AB48">
        <f>HYPERLINK("https://klasma.github.io/Logging_1862/klagomålsmail/A 2357-2022 FSC-klagomål mail.docx", "A 2357-2022")</f>
        <v/>
      </c>
      <c r="AC48">
        <f>HYPERLINK("https://klasma.github.io/Logging_1862/tillsyn/A 2357-2022 tillsynsbegäran.docx", "A 2357-2022")</f>
        <v/>
      </c>
      <c r="AD48">
        <f>HYPERLINK("https://klasma.github.io/Logging_1862/tillsynsmail/A 2357-2022 tillsynsbegäran mail.docx", "A 2357-2022")</f>
        <v/>
      </c>
      <c r="AE48">
        <f>HYPERLINK("https://klasma.github.io/Logging_1862/fåglar/A 2357-2022 prioriterade fågelarter.docx", "A 2357-2022")</f>
        <v/>
      </c>
    </row>
    <row r="49" ht="15" customHeight="1">
      <c r="A49" t="inlineStr">
        <is>
          <t>A 42337-2026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46326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4.7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42337-2026 artfynd.xlsx", "A 42337-2026")</f>
        <v/>
      </c>
      <c r="X49">
        <f>HYPERLINK("https://klasma.github.io/Logging_1862/kartor/A 42337-2026 karta.png", "A 42337-2026")</f>
        <v/>
      </c>
      <c r="Y49">
        <f>HYPERLINK("https://klasma.github.io/Logging_1862/kartor_geotiff/A 42337-2026 georefererad karta.tif", "A 42337-2026")</f>
        <v/>
      </c>
      <c r="AA49">
        <f>HYPERLINK("https://klasma.github.io/Logging_1862/klagomål/A 42337-2026 FSC-klagomål.docx", "A 42337-2026")</f>
        <v/>
      </c>
      <c r="AB49">
        <f>HYPERLINK("https://klasma.github.io/Logging_1862/klagomålsmail/A 42337-2026 FSC-klagomål mail.docx", "A 42337-2026")</f>
        <v/>
      </c>
      <c r="AC49">
        <f>HYPERLINK("https://klasma.github.io/Logging_1862/tillsyn/A 42337-2026 tillsynsbegäran.docx", "A 42337-2026")</f>
        <v/>
      </c>
      <c r="AD49">
        <f>HYPERLINK("https://klasma.github.io/Logging_1862/tillsynsmail/A 42337-2026 tillsynsbegäran mail.docx", "A 42337-2026")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46326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46326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46326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46326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46326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46326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46326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46326</v>
      </c>
      <c r="F57" t="inlineStr">
        <is>
          <t>ÖREBRO LÄN</t>
        </is>
      </c>
      <c r="G57" t="inlineStr">
        <is>
          <t>DEGERFORS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65456-2021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46326</v>
      </c>
      <c r="F58" t="inlineStr">
        <is>
          <t>ÖREBRO LÄN</t>
        </is>
      </c>
      <c r="G58" t="inlineStr">
        <is>
          <t>DEGERFORS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44643</v>
      </c>
      <c r="E59" s="1" t="n">
        <v>46326</v>
      </c>
      <c r="F59" t="inlineStr">
        <is>
          <t>ÖREBRO LÄN</t>
        </is>
      </c>
      <c r="G59" t="inlineStr">
        <is>
          <t>DEGERFORS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46326</v>
      </c>
      <c r="F60" t="inlineStr">
        <is>
          <t>ÖREBRO LÄN</t>
        </is>
      </c>
      <c r="G60" t="inlineStr">
        <is>
          <t>DEGERFORS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46326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46326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46326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45707</v>
      </c>
      <c r="E64" s="1" t="n">
        <v>46326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37672-2024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45541</v>
      </c>
      <c r="E65" s="1" t="n">
        <v>46326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45763</v>
      </c>
      <c r="E66" s="1" t="n">
        <v>46326</v>
      </c>
      <c r="F66" t="inlineStr">
        <is>
          <t>ÖREBRO LÄN</t>
        </is>
      </c>
      <c r="G66" t="inlineStr">
        <is>
          <t>DEGERFORS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44754</v>
      </c>
      <c r="E67" s="1" t="n">
        <v>46326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56478-2024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45624</v>
      </c>
      <c r="E68" s="1" t="n">
        <v>46326</v>
      </c>
      <c r="F68" t="inlineStr">
        <is>
          <t>ÖREBRO LÄN</t>
        </is>
      </c>
      <c r="G68" t="inlineStr">
        <is>
          <t>DEGERFORS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8062-2024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46326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10321-2023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44986</v>
      </c>
      <c r="E70" s="1" t="n">
        <v>46326</v>
      </c>
      <c r="F70" t="inlineStr">
        <is>
          <t>ÖREBRO LÄN</t>
        </is>
      </c>
      <c r="G70" t="inlineStr">
        <is>
          <t>DEGERFORS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46326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45535</v>
      </c>
      <c r="E72" s="1" t="n">
        <v>46326</v>
      </c>
      <c r="F72" t="inlineStr">
        <is>
          <t>ÖREBRO LÄN</t>
        </is>
      </c>
      <c r="G72" t="inlineStr">
        <is>
          <t>DEGERFORS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46326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46326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45810</v>
      </c>
      <c r="E75" s="1" t="n">
        <v>46326</v>
      </c>
      <c r="F75" t="inlineStr">
        <is>
          <t>ÖREBRO LÄN</t>
        </is>
      </c>
      <c r="G75" t="inlineStr">
        <is>
          <t>DEGERFORS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45810</v>
      </c>
      <c r="E76" s="1" t="n">
        <v>46326</v>
      </c>
      <c r="F76" t="inlineStr">
        <is>
          <t>ÖREBRO LÄN</t>
        </is>
      </c>
      <c r="G76" t="inlineStr">
        <is>
          <t>DEGERFORS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44579</v>
      </c>
      <c r="E77" s="1" t="n">
        <v>46326</v>
      </c>
      <c r="F77" t="inlineStr">
        <is>
          <t>ÖREBRO LÄN</t>
        </is>
      </c>
      <c r="G77" t="inlineStr">
        <is>
          <t>DEGERFORS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46326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46326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44719</v>
      </c>
      <c r="E80" s="1" t="n">
        <v>46326</v>
      </c>
      <c r="F80" t="inlineStr">
        <is>
          <t>ÖREBRO LÄN</t>
        </is>
      </c>
      <c r="G80" t="inlineStr">
        <is>
          <t>DEGERFORS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46326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46326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60907-2023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45261</v>
      </c>
      <c r="E83" s="1" t="n">
        <v>46326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46326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45468</v>
      </c>
      <c r="E85" s="1" t="n">
        <v>46326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46326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44582</v>
      </c>
      <c r="E87" s="1" t="n">
        <v>46326</v>
      </c>
      <c r="F87" t="inlineStr">
        <is>
          <t>ÖREBRO LÄN</t>
        </is>
      </c>
      <c r="G87" t="inlineStr">
        <is>
          <t>DEGERFORS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46326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46326</v>
      </c>
      <c r="F89" t="inlineStr">
        <is>
          <t>ÖREBRO LÄN</t>
        </is>
      </c>
      <c r="G89" t="inlineStr">
        <is>
          <t>DEGERFORS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45602</v>
      </c>
      <c r="E90" s="1" t="n">
        <v>46326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46326</v>
      </c>
      <c r="F91" t="inlineStr">
        <is>
          <t>ÖREBRO LÄN</t>
        </is>
      </c>
      <c r="G91" t="inlineStr">
        <is>
          <t>DEGERFORS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45609</v>
      </c>
      <c r="E92" s="1" t="n">
        <v>46326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59863-2024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45639</v>
      </c>
      <c r="E93" s="1" t="n">
        <v>46326</v>
      </c>
      <c r="F93" t="inlineStr">
        <is>
          <t>ÖREBRO LÄN</t>
        </is>
      </c>
      <c r="G93" t="inlineStr">
        <is>
          <t>DEGERFORS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45233</v>
      </c>
      <c r="E94" s="1" t="n">
        <v>46326</v>
      </c>
      <c r="F94" t="inlineStr">
        <is>
          <t>ÖREBRO LÄN</t>
        </is>
      </c>
      <c r="G94" t="inlineStr">
        <is>
          <t>DEGERFORS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46326</v>
      </c>
      <c r="F95" t="inlineStr">
        <is>
          <t>ÖREBRO LÄN</t>
        </is>
      </c>
      <c r="G95" t="inlineStr">
        <is>
          <t>DEGERFORS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45621</v>
      </c>
      <c r="E96" s="1" t="n">
        <v>46326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37333-2025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45876</v>
      </c>
      <c r="E97" s="1" t="n">
        <v>46326</v>
      </c>
      <c r="F97" t="inlineStr">
        <is>
          <t>ÖREBRO LÄN</t>
        </is>
      </c>
      <c r="G97" t="inlineStr">
        <is>
          <t>DEGERFORS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45876</v>
      </c>
      <c r="E98" s="1" t="n">
        <v>46326</v>
      </c>
      <c r="F98" t="inlineStr">
        <is>
          <t>ÖREBRO LÄN</t>
        </is>
      </c>
      <c r="G98" t="inlineStr">
        <is>
          <t>DEGERFORS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46326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46326</v>
      </c>
      <c r="F100" t="inlineStr">
        <is>
          <t>ÖREBRO LÄN</t>
        </is>
      </c>
      <c r="G100" t="inlineStr">
        <is>
          <t>DEGERFORS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46326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38233-2023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45160</v>
      </c>
      <c r="E102" s="1" t="n">
        <v>46326</v>
      </c>
      <c r="F102" t="inlineStr">
        <is>
          <t>ÖREBRO LÄN</t>
        </is>
      </c>
      <c r="G102" t="inlineStr">
        <is>
          <t>DEGERFORS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46326</v>
      </c>
      <c r="F103" t="inlineStr">
        <is>
          <t>ÖREBRO LÄN</t>
        </is>
      </c>
      <c r="G103" t="inlineStr">
        <is>
          <t>DEGERFORS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46326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10674-2024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45369</v>
      </c>
      <c r="E105" s="1" t="n">
        <v>46326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46326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73693-2021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44552</v>
      </c>
      <c r="E107" s="1" t="n">
        <v>46326</v>
      </c>
      <c r="F107" t="inlineStr">
        <is>
          <t>ÖREBRO LÄN</t>
        </is>
      </c>
      <c r="G107" t="inlineStr">
        <is>
          <t>DEGERFORS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46326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46326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46326</v>
      </c>
      <c r="F110" t="inlineStr">
        <is>
          <t>ÖREBRO LÄN</t>
        </is>
      </c>
      <c r="G110" t="inlineStr">
        <is>
          <t>DEGERFORS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46326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46326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57086-2025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45979</v>
      </c>
      <c r="E113" s="1" t="n">
        <v>46326</v>
      </c>
      <c r="F113" t="inlineStr">
        <is>
          <t>ÖREBRO LÄN</t>
        </is>
      </c>
      <c r="G113" t="inlineStr">
        <is>
          <t>DEGERFORS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46326</v>
      </c>
      <c r="F114" t="inlineStr">
        <is>
          <t>ÖREBRO LÄN</t>
        </is>
      </c>
      <c r="G114" t="inlineStr">
        <is>
          <t>DEGERFORS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12159-2026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46086</v>
      </c>
      <c r="E115" s="1" t="n">
        <v>46326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46086</v>
      </c>
      <c r="E116" s="1" t="n">
        <v>46326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46092</v>
      </c>
      <c r="E117" s="1" t="n">
        <v>46326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45351</v>
      </c>
      <c r="E118" s="1" t="n">
        <v>46326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45996</v>
      </c>
      <c r="E119" s="1" t="n">
        <v>46326</v>
      </c>
      <c r="F119" t="inlineStr">
        <is>
          <t>ÖREBRO LÄN</t>
        </is>
      </c>
      <c r="G119" t="inlineStr">
        <is>
          <t>DEGERFORS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13293-2026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46094</v>
      </c>
      <c r="E120" s="1" t="n">
        <v>46326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13040-2026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46326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46326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46326</v>
      </c>
      <c r="F123" t="inlineStr">
        <is>
          <t>ÖREBRO LÄN</t>
        </is>
      </c>
      <c r="G123" t="inlineStr">
        <is>
          <t>DEGERFORS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21952-2024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45443</v>
      </c>
      <c r="E124" s="1" t="n">
        <v>46326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46326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45205</v>
      </c>
      <c r="E126" s="1" t="n">
        <v>46326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62972-2023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46326</v>
      </c>
      <c r="F127" t="inlineStr">
        <is>
          <t>ÖREBRO LÄN</t>
        </is>
      </c>
      <c r="G127" t="inlineStr">
        <is>
          <t>DEGERFORS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12143-2025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45729</v>
      </c>
      <c r="E128" s="1" t="n">
        <v>46326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46326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46326</v>
      </c>
      <c r="F130" t="inlineStr">
        <is>
          <t>ÖREBRO LÄN</t>
        </is>
      </c>
      <c r="G130" t="inlineStr">
        <is>
          <t>DEGERFORS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20577-2023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45057</v>
      </c>
      <c r="E131" s="1" t="n">
        <v>46326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45365-2023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45192</v>
      </c>
      <c r="E132" s="1" t="n">
        <v>46326</v>
      </c>
      <c r="F132" t="inlineStr">
        <is>
          <t>ÖREBRO LÄN</t>
        </is>
      </c>
      <c r="G132" t="inlineStr">
        <is>
          <t>DEGERFORS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6387-2024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45338</v>
      </c>
      <c r="E133" s="1" t="n">
        <v>46326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46326</v>
      </c>
      <c r="F134" t="inlineStr">
        <is>
          <t>ÖREBRO LÄN</t>
        </is>
      </c>
      <c r="G134" t="inlineStr">
        <is>
          <t>DEGERFORS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46129</v>
      </c>
      <c r="E135" s="1" t="n">
        <v>46326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8.300000000000001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18506-2026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46127</v>
      </c>
      <c r="E136" s="1" t="n">
        <v>46326</v>
      </c>
      <c r="F136" t="inlineStr">
        <is>
          <t>ÖREBRO LÄN</t>
        </is>
      </c>
      <c r="G136" t="inlineStr">
        <is>
          <t>DEGERFORS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6394-2024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45338</v>
      </c>
      <c r="E137" s="1" t="n">
        <v>46326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46132</v>
      </c>
      <c r="E138" s="1" t="n">
        <v>46326</v>
      </c>
      <c r="F138" t="inlineStr">
        <is>
          <t>ÖREBRO LÄN</t>
        </is>
      </c>
      <c r="G138" t="inlineStr">
        <is>
          <t>DEGERFORS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46326</v>
      </c>
      <c r="F139" t="inlineStr">
        <is>
          <t>ÖREBRO LÄN</t>
        </is>
      </c>
      <c r="G139" t="inlineStr">
        <is>
          <t>DEGERFORS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45330</v>
      </c>
      <c r="E140" s="1" t="n">
        <v>46326</v>
      </c>
      <c r="F140" t="inlineStr">
        <is>
          <t>ÖREBRO LÄN</t>
        </is>
      </c>
      <c r="G140" t="inlineStr">
        <is>
          <t>DEGERFORS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50378-2024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46326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45116</v>
      </c>
      <c r="E142" s="1" t="n">
        <v>46326</v>
      </c>
      <c r="F142" t="inlineStr">
        <is>
          <t>ÖREBRO LÄN</t>
        </is>
      </c>
      <c r="G142" t="inlineStr">
        <is>
          <t>DEGERFORS</t>
        </is>
      </c>
      <c r="I142" t="n">
        <v>17.2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46326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45616</v>
      </c>
      <c r="E144" s="1" t="n">
        <v>46326</v>
      </c>
      <c r="F144" t="inlineStr">
        <is>
          <t>ÖREBRO LÄN</t>
        </is>
      </c>
      <c r="G144" t="inlineStr">
        <is>
          <t>DEGERFORS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46326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46326</v>
      </c>
      <c r="F146" t="inlineStr">
        <is>
          <t>ÖREBRO LÄN</t>
        </is>
      </c>
      <c r="G146" t="inlineStr">
        <is>
          <t>DEGERFORS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44839</v>
      </c>
      <c r="E147" s="1" t="n">
        <v>46326</v>
      </c>
      <c r="F147" t="inlineStr">
        <is>
          <t>ÖREBRO LÄN</t>
        </is>
      </c>
      <c r="G147" t="inlineStr">
        <is>
          <t>DEGERFORS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46326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46326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46326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32211-2022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46326</v>
      </c>
      <c r="F151" t="inlineStr">
        <is>
          <t>ÖREBRO LÄN</t>
        </is>
      </c>
      <c r="G151" t="inlineStr">
        <is>
          <t>DEGERFORS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46326</v>
      </c>
      <c r="F152" t="inlineStr">
        <is>
          <t>ÖREBRO LÄN</t>
        </is>
      </c>
      <c r="G152" t="inlineStr">
        <is>
          <t>DEGERFORS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46326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46326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46148</v>
      </c>
      <c r="E155" s="1" t="n">
        <v>46326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46326</v>
      </c>
      <c r="F156" t="inlineStr">
        <is>
          <t>ÖREBRO LÄN</t>
        </is>
      </c>
      <c r="G156" t="inlineStr">
        <is>
          <t>DEGERFORS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46326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45581</v>
      </c>
      <c r="E158" s="1" t="n">
        <v>46326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46326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46162</v>
      </c>
      <c r="E160" s="1" t="n">
        <v>46326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46162</v>
      </c>
      <c r="E161" s="1" t="n">
        <v>46326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14678-2025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45742</v>
      </c>
      <c r="E162" s="1" t="n">
        <v>46326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46167</v>
      </c>
      <c r="E163" s="1" t="n">
        <v>46326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46326</v>
      </c>
      <c r="F164" t="inlineStr">
        <is>
          <t>ÖREBRO LÄN</t>
        </is>
      </c>
      <c r="G164" t="inlineStr">
        <is>
          <t>DEGERFORS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46326</v>
      </c>
      <c r="F165" t="inlineStr">
        <is>
          <t>ÖREBRO LÄN</t>
        </is>
      </c>
      <c r="G165" t="inlineStr">
        <is>
          <t>DEGERFORS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63905-2021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46326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46326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45589</v>
      </c>
      <c r="E168" s="1" t="n">
        <v>46326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46326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45601</v>
      </c>
      <c r="E170" s="1" t="n">
        <v>46326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45351</v>
      </c>
      <c r="E171" s="1" t="n">
        <v>46326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45106</v>
      </c>
      <c r="E172" s="1" t="n">
        <v>46326</v>
      </c>
      <c r="F172" t="inlineStr">
        <is>
          <t>ÖREBRO LÄN</t>
        </is>
      </c>
      <c r="G172" t="inlineStr">
        <is>
          <t>DEGERFORS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59158-2022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44904</v>
      </c>
      <c r="E173" s="1" t="n">
        <v>46326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46326</v>
      </c>
      <c r="F174" t="inlineStr">
        <is>
          <t>ÖREBRO LÄN</t>
        </is>
      </c>
      <c r="G174" t="inlineStr">
        <is>
          <t>DEGERFORS</t>
        </is>
      </c>
      <c r="I174" t="n">
        <v>13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46326</v>
      </c>
      <c r="F175" t="inlineStr">
        <is>
          <t>ÖREBRO LÄN</t>
        </is>
      </c>
      <c r="G175" t="inlineStr">
        <is>
          <t>DEGERFORS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46185</v>
      </c>
      <c r="E176" s="1" t="n">
        <v>46326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46185</v>
      </c>
      <c r="E177" s="1" t="n">
        <v>46326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46326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10797-2023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44989</v>
      </c>
      <c r="E179" s="1" t="n">
        <v>46326</v>
      </c>
      <c r="F179" t="inlineStr">
        <is>
          <t>ÖREBRO LÄN</t>
        </is>
      </c>
      <c r="G179" t="inlineStr">
        <is>
          <t>DEGERFORS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46326</v>
      </c>
      <c r="F180" t="inlineStr">
        <is>
          <t>ÖREBRO LÄN</t>
        </is>
      </c>
      <c r="G180" t="inlineStr">
        <is>
          <t>DEGERFORS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46326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45520</v>
      </c>
      <c r="E182" s="1" t="n">
        <v>46326</v>
      </c>
      <c r="F182" t="inlineStr">
        <is>
          <t>ÖREBRO LÄN</t>
        </is>
      </c>
      <c r="G182" t="inlineStr">
        <is>
          <t>DEGERFORS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27411-2026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46326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46326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46326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45861-2023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45195</v>
      </c>
      <c r="E186" s="1" t="n">
        <v>46326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46326</v>
      </c>
      <c r="F187" t="inlineStr">
        <is>
          <t>ÖREBRO LÄN</t>
        </is>
      </c>
      <c r="G187" t="inlineStr">
        <is>
          <t>DEGERFORS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46326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46326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46326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46326</v>
      </c>
      <c r="F191" t="inlineStr">
        <is>
          <t>ÖREBRO LÄN</t>
        </is>
      </c>
      <c r="G191" t="inlineStr">
        <is>
          <t>DEGERFORS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46326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61750-2021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46326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46230</v>
      </c>
      <c r="E194" s="1" t="n">
        <v>46326</v>
      </c>
      <c r="F194" t="inlineStr">
        <is>
          <t>ÖREBRO LÄN</t>
        </is>
      </c>
      <c r="G194" t="inlineStr">
        <is>
          <t>DEGERFORS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45705</v>
      </c>
      <c r="E195" s="1" t="n">
        <v>46326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46231</v>
      </c>
      <c r="E196" s="1" t="n">
        <v>46326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46231</v>
      </c>
      <c r="E197" s="1" t="n">
        <v>46326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46239</v>
      </c>
      <c r="E198" s="1" t="n">
        <v>46326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46239</v>
      </c>
      <c r="E199" s="1" t="n">
        <v>46326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46326</v>
      </c>
      <c r="F200" t="inlineStr">
        <is>
          <t>ÖREBRO LÄN</t>
        </is>
      </c>
      <c r="G200" t="inlineStr">
        <is>
          <t>DEGERFORS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46326</v>
      </c>
      <c r="F201" t="inlineStr">
        <is>
          <t>ÖREBRO LÄN</t>
        </is>
      </c>
      <c r="G201" t="inlineStr">
        <is>
          <t>DEGERFORS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46326</v>
      </c>
      <c r="F202" t="inlineStr">
        <is>
          <t>ÖREBRO LÄN</t>
        </is>
      </c>
      <c r="G202" t="inlineStr">
        <is>
          <t>DEGERFORS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32810-2026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46241</v>
      </c>
      <c r="E203" s="1" t="n">
        <v>46326</v>
      </c>
      <c r="F203" t="inlineStr">
        <is>
          <t>ÖREBRO LÄN</t>
        </is>
      </c>
      <c r="G203" t="inlineStr">
        <is>
          <t>DEGERFORS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46326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46326</v>
      </c>
      <c r="F205" t="inlineStr">
        <is>
          <t>ÖREBRO LÄN</t>
        </is>
      </c>
      <c r="G205" t="inlineStr">
        <is>
          <t>DEGERFORS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46326</v>
      </c>
      <c r="F206" t="inlineStr">
        <is>
          <t>ÖREBRO LÄN</t>
        </is>
      </c>
      <c r="G206" t="inlineStr">
        <is>
          <t>DEGERFORS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46326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45223</v>
      </c>
      <c r="E208" s="1" t="n">
        <v>46326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46326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45215</v>
      </c>
      <c r="E210" s="1" t="n">
        <v>46326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62982-2023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46326</v>
      </c>
      <c r="F211" t="inlineStr">
        <is>
          <t>ÖREBRO LÄN</t>
        </is>
      </c>
      <c r="G211" t="inlineStr">
        <is>
          <t>DEGERFORS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46326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45453</v>
      </c>
      <c r="E213" s="1" t="n">
        <v>46326</v>
      </c>
      <c r="F213" t="inlineStr">
        <is>
          <t>ÖREBRO LÄN</t>
        </is>
      </c>
      <c r="G213" t="inlineStr">
        <is>
          <t>DEGERFORS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46326</v>
      </c>
      <c r="F214" t="inlineStr">
        <is>
          <t>ÖREBRO LÄN</t>
        </is>
      </c>
      <c r="G214" t="inlineStr">
        <is>
          <t>DEGERFORS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46326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46303</v>
      </c>
      <c r="E216" s="1" t="n">
        <v>46326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46260</v>
      </c>
      <c r="E217" s="1" t="n">
        <v>46326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9.5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46307</v>
      </c>
      <c r="E218" s="1" t="n">
        <v>46326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46326</v>
      </c>
      <c r="F219" t="inlineStr">
        <is>
          <t>ÖREBRO LÄN</t>
        </is>
      </c>
      <c r="G219" t="inlineStr">
        <is>
          <t>DEGERFORS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46268</v>
      </c>
      <c r="E220" s="1" t="n">
        <v>46326</v>
      </c>
      <c r="F220" t="inlineStr">
        <is>
          <t>ÖREBRO LÄN</t>
        </is>
      </c>
      <c r="G220" t="inlineStr">
        <is>
          <t>DEGERFORS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46268</v>
      </c>
      <c r="E221" s="1" t="n">
        <v>46326</v>
      </c>
      <c r="F221" t="inlineStr">
        <is>
          <t>ÖREBRO LÄN</t>
        </is>
      </c>
      <c r="G221" t="inlineStr">
        <is>
          <t>DEGERFORS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46268</v>
      </c>
      <c r="E222" s="1" t="n">
        <v>46326</v>
      </c>
      <c r="F222" t="inlineStr">
        <is>
          <t>ÖREBRO LÄN</t>
        </is>
      </c>
      <c r="G222" t="inlineStr">
        <is>
          <t>DEGERFORS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41889-2026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46303</v>
      </c>
      <c r="E223" s="1" t="n">
        <v>46326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46202</v>
      </c>
      <c r="E224" s="1" t="n">
        <v>46326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46320</v>
      </c>
      <c r="E225" s="1" t="n">
        <v>46326</v>
      </c>
      <c r="F225" t="inlineStr">
        <is>
          <t>ÖREBRO LÄN</t>
        </is>
      </c>
      <c r="G225" t="inlineStr">
        <is>
          <t>DEGERFORS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46279</v>
      </c>
      <c r="E226" s="1" t="n">
        <v>46326</v>
      </c>
      <c r="F226" t="inlineStr">
        <is>
          <t>ÖREBRO LÄN</t>
        </is>
      </c>
      <c r="G226" t="inlineStr">
        <is>
          <t>DEGERFORS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46282</v>
      </c>
      <c r="E227" s="1" t="n">
        <v>46326</v>
      </c>
      <c r="F227" t="inlineStr">
        <is>
          <t>ÖREBRO LÄN</t>
        </is>
      </c>
      <c r="G227" t="inlineStr">
        <is>
          <t>DEGERFORS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46281</v>
      </c>
      <c r="E228" s="1" t="n">
        <v>46326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38659-2026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46283</v>
      </c>
      <c r="E229" s="1" t="n">
        <v>46326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46325</v>
      </c>
      <c r="E230" s="1" t="n">
        <v>46326</v>
      </c>
      <c r="F230" t="inlineStr">
        <is>
          <t>ÖREBRO LÄN</t>
        </is>
      </c>
      <c r="G230" t="inlineStr">
        <is>
          <t>DEGERFORS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46325</v>
      </c>
      <c r="E231" s="1" t="n">
        <v>46326</v>
      </c>
      <c r="F231" t="inlineStr">
        <is>
          <t>ÖREBRO LÄN</t>
        </is>
      </c>
      <c r="G231" t="inlineStr">
        <is>
          <t>DEGERFORS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38651-2026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46283</v>
      </c>
      <c r="E232" s="1" t="n">
        <v>46326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11.3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46326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46326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46326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46326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46326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46326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46326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46326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2026-10-31T03:27:36Z</dcterms:created>
  <dcterms:modified xmlns:dcterms="http://purl.org/dc/terms/" xmlns:xsi="http://www.w3.org/2001/XMLSchema-instance" xsi:type="dcterms:W3CDTF">2026-10-31T03:27:36Z</dcterms:modified>
</cp:coreProperties>
</file>