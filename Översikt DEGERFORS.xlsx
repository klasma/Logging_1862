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46249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46249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46249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46249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46249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46249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27668-2026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46249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2.3</v>
      </c>
      <c r="J9" t="n">
        <v>7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25</v>
      </c>
      <c r="U9" t="n">
        <v>25</v>
      </c>
      <c r="V9" s="2" t="inlineStr">
        <is>
          <t>Talltita
Tretåig hackspett
Grönpyrola
Mattlummer
Spillkråka
Tjäder
Vanlig snok
Revlummer</t>
        </is>
      </c>
      <c r="W9">
        <f>HYPERLINK("https://klasma.github.io/Logging_1862/artfynd/A 27668-2026 artfynd.xlsx", "A 27668-2026")</f>
        <v/>
      </c>
      <c r="X9">
        <f>HYPERLINK("https://klasma.github.io/Logging_1862/kartor/A 27668-2026 karta.png", "A 27668-2026")</f>
        <v/>
      </c>
      <c r="Y9">
        <f>HYPERLINK("https://klasma.github.io/Logging_1862/kartor_geotiff/A 27668-2026 georefererad karta.tif", "A 27668-2026")</f>
        <v/>
      </c>
      <c r="AA9">
        <f>HYPERLINK("https://klasma.github.io/Logging_1862/klagomål/A 27668-2026 FSC-klagomål.docx", "A 27668-2026")</f>
        <v/>
      </c>
      <c r="AB9">
        <f>HYPERLINK("https://klasma.github.io/Logging_1862/klagomålsmail/A 27668-2026 FSC-klagomål mail.docx", "A 27668-2026")</f>
        <v/>
      </c>
      <c r="AC9">
        <f>HYPERLINK("https://klasma.github.io/Logging_1862/tillsyn/A 27668-2026 tillsynsbegäran.docx", "A 27668-2026")</f>
        <v/>
      </c>
      <c r="AD9">
        <f>HYPERLINK("https://klasma.github.io/Logging_1862/tillsynsmail/A 27668-2026 tillsynsbegäran mail.docx", "A 27668-2026")</f>
        <v/>
      </c>
      <c r="AE9">
        <f>HYPERLINK("https://klasma.github.io/Logging_1862/fåglar/A 27668-2026 prioriterade fågelarter.docx", "A 27668-2026")</f>
        <v/>
      </c>
    </row>
    <row r="10" ht="15" customHeight="1">
      <c r="A10" t="inlineStr">
        <is>
          <t>A 22868-2026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46160</v>
      </c>
      <c r="E10" s="1" t="n">
        <v>46249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7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8</v>
      </c>
      <c r="T10" t="n">
        <v>11</v>
      </c>
      <c r="U10" t="n">
        <v>11</v>
      </c>
      <c r="V10" s="2" t="inlineStr">
        <is>
          <t>Björktrast
Nordfladdermus
Talltita
Grönpyrola
Nattskärra
Spillkråka
Tjäder
Tofsmes</t>
        </is>
      </c>
      <c r="W10">
        <f>HYPERLINK("https://klasma.github.io/Logging_1862/artfynd/A 22868-2026 artfynd.xlsx", "A 22868-2026")</f>
        <v/>
      </c>
      <c r="X10">
        <f>HYPERLINK("https://klasma.github.io/Logging_1862/kartor/A 22868-2026 karta.png", "A 22868-2026")</f>
        <v/>
      </c>
      <c r="Y10">
        <f>HYPERLINK("https://klasma.github.io/Logging_1862/kartor_geotiff/A 22868-2026 georefererad karta.tif", "A 22868-2026")</f>
        <v/>
      </c>
      <c r="AA10">
        <f>HYPERLINK("https://klasma.github.io/Logging_1862/klagomål/A 22868-2026 FSC-klagomål.docx", "A 22868-2026")</f>
        <v/>
      </c>
      <c r="AB10">
        <f>HYPERLINK("https://klasma.github.io/Logging_1862/klagomålsmail/A 22868-2026 FSC-klagomål mail.docx", "A 22868-2026")</f>
        <v/>
      </c>
      <c r="AC10">
        <f>HYPERLINK("https://klasma.github.io/Logging_1862/tillsyn/A 22868-2026 tillsynsbegäran.docx", "A 22868-2026")</f>
        <v/>
      </c>
      <c r="AD10">
        <f>HYPERLINK("https://klasma.github.io/Logging_1862/tillsynsmail/A 22868-2026 tillsynsbegäran mail.docx", "A 22868-2026")</f>
        <v/>
      </c>
      <c r="AE10">
        <f>HYPERLINK("https://klasma.github.io/Logging_1862/fåglar/A 22868-2026 prioriterade fågelarter.docx", "A 22868-2026")</f>
        <v/>
      </c>
    </row>
    <row r="11" ht="15" customHeight="1">
      <c r="A11" t="inlineStr">
        <is>
          <t>A 12721-2024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46249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3.5</v>
      </c>
      <c r="J11" t="n">
        <v>4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Kolflarnlav
Tretåig hackspett
Vaddporing
Flagellkvastmossa
Spillkråka
Tjäder
Fläcknycklar</t>
        </is>
      </c>
      <c r="W11">
        <f>HYPERLINK("https://klasma.github.io/Logging_1862/artfynd/A 12721-2024 artfynd.xlsx", "A 12721-2024")</f>
        <v/>
      </c>
      <c r="X11">
        <f>HYPERLINK("https://klasma.github.io/Logging_1862/kartor/A 12721-2024 karta.png", "A 12721-2024")</f>
        <v/>
      </c>
      <c r="Y11">
        <f>HYPERLINK("https://klasma.github.io/Logging_1862/kartor_geotiff/A 12721-2024 georefererad karta.tif", "A 12721-2024")</f>
        <v/>
      </c>
      <c r="AA11">
        <f>HYPERLINK("https://klasma.github.io/Logging_1862/klagomål/A 12721-2024 FSC-klagomål.docx", "A 12721-2024")</f>
        <v/>
      </c>
      <c r="AB11">
        <f>HYPERLINK("https://klasma.github.io/Logging_1862/klagomålsmail/A 12721-2024 FSC-klagomål mail.docx", "A 12721-2024")</f>
        <v/>
      </c>
      <c r="AC11">
        <f>HYPERLINK("https://klasma.github.io/Logging_1862/tillsyn/A 12721-2024 tillsynsbegäran.docx", "A 12721-2024")</f>
        <v/>
      </c>
      <c r="AD11">
        <f>HYPERLINK("https://klasma.github.io/Logging_1862/tillsynsmail/A 12721-2024 tillsynsbegäran mail.docx", "A 12721-2024")</f>
        <v/>
      </c>
      <c r="AE11">
        <f>HYPERLINK("https://klasma.github.io/Logging_1862/fåglar/A 12721-2024 prioriterade fågelarter.docx", "A 12721-2024")</f>
        <v/>
      </c>
    </row>
    <row r="12" ht="15" customHeight="1">
      <c r="A12" t="inlineStr">
        <is>
          <t>A 12719-2024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46249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11.7</v>
      </c>
      <c r="J12" t="n">
        <v>4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21</v>
      </c>
      <c r="U12" t="n">
        <v>20</v>
      </c>
      <c r="V12" s="2" t="inlineStr">
        <is>
          <t>Jungfrulin
Motaggsvamp
Svinrot
Tretåig hackspett
Tjäder
Åkergroda
Fläcknycklar</t>
        </is>
      </c>
      <c r="W12">
        <f>HYPERLINK("https://klasma.github.io/Logging_1862/artfynd/A 12719-2024 artfynd.xlsx", "A 12719-2024")</f>
        <v/>
      </c>
      <c r="X12">
        <f>HYPERLINK("https://klasma.github.io/Logging_1862/kartor/A 12719-2024 karta.png", "A 12719-2024")</f>
        <v/>
      </c>
      <c r="Y12">
        <f>HYPERLINK("https://klasma.github.io/Logging_1862/kartor_geotiff/A 12719-2024 georefererad karta.tif", "A 12719-2024")</f>
        <v/>
      </c>
      <c r="AA12">
        <f>HYPERLINK("https://klasma.github.io/Logging_1862/klagomål/A 12719-2024 FSC-klagomål.docx", "A 12719-2024")</f>
        <v/>
      </c>
      <c r="AB12">
        <f>HYPERLINK("https://klasma.github.io/Logging_1862/klagomålsmail/A 12719-2024 FSC-klagomål mail.docx", "A 12719-2024")</f>
        <v/>
      </c>
      <c r="AC12">
        <f>HYPERLINK("https://klasma.github.io/Logging_1862/tillsyn/A 12719-2024 tillsynsbegäran.docx", "A 12719-2024")</f>
        <v/>
      </c>
      <c r="AD12">
        <f>HYPERLINK("https://klasma.github.io/Logging_1862/tillsynsmail/A 12719-2024 tillsynsbegäran mail.docx", "A 12719-2024")</f>
        <v/>
      </c>
      <c r="AE12">
        <f>HYPERLINK("https://klasma.github.io/Logging_1862/fåglar/A 12719-2024 prioriterade fågelarter.docx", "A 12719-2024")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46249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t="n">
        <v>27</v>
      </c>
      <c r="V13" s="2" t="inlineStr">
        <is>
          <t>Tretåig hackspett
Grönpyrola
Thomsons trägnagare
Vågbandad barkbock
Spillkråka
Tjäder</t>
        </is>
      </c>
      <c r="W13">
        <f>HYPERLINK("https://klasma.github.io/Logging_1862/artfynd/A 38916-2023 artfynd.xlsx", "A 38916-2023")</f>
        <v/>
      </c>
      <c r="X13">
        <f>HYPERLINK("https://klasma.github.io/Logging_1862/kartor/A 38916-2023 karta.png", "A 38916-2023")</f>
        <v/>
      </c>
      <c r="Y13">
        <f>HYPERLINK("https://klasma.github.io/Logging_1862/kartor_geotiff/A 38916-2023 georefererad karta.tif", "A 38916-2023")</f>
        <v/>
      </c>
      <c r="AA13">
        <f>HYPERLINK("https://klasma.github.io/Logging_1862/klagomål/A 38916-2023 FSC-klagomål.docx", "A 38916-2023")</f>
        <v/>
      </c>
      <c r="AB13">
        <f>HYPERLINK("https://klasma.github.io/Logging_1862/klagomålsmail/A 38916-2023 FSC-klagomål mail.docx", "A 38916-2023")</f>
        <v/>
      </c>
      <c r="AC13">
        <f>HYPERLINK("https://klasma.github.io/Logging_1862/tillsyn/A 38916-2023 tillsynsbegäran.docx", "A 38916-2023")</f>
        <v/>
      </c>
      <c r="AD13">
        <f>HYPERLINK("https://klasma.github.io/Logging_1862/tillsynsmail/A 38916-2023 tillsynsbegäran mail.docx", "A 38916-2023")</f>
        <v/>
      </c>
      <c r="AE13">
        <f>HYPERLINK("https://klasma.github.io/Logging_1862/fåglar/A 38916-2023 prioriterade fågelarter.docx", "A 38916-2023")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46249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27663-2026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46249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6.8</v>
      </c>
      <c r="J15" t="n">
        <v>5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15</v>
      </c>
      <c r="U15" t="n">
        <v>15</v>
      </c>
      <c r="V15" s="2" t="inlineStr">
        <is>
          <t>Tretåig hackspett
Thomsons trägnagare
Mattlummer
Spillkråka
Tjäder
Revlummer</t>
        </is>
      </c>
      <c r="W15">
        <f>HYPERLINK("https://klasma.github.io/Logging_1862/artfynd/A 27663-2026 artfynd.xlsx", "A 27663-2026")</f>
        <v/>
      </c>
      <c r="X15">
        <f>HYPERLINK("https://klasma.github.io/Logging_1862/kartor/A 27663-2026 karta.png", "A 27663-2026")</f>
        <v/>
      </c>
      <c r="Y15">
        <f>HYPERLINK("https://klasma.github.io/Logging_1862/kartor_geotiff/A 27663-2026 georefererad karta.tif", "A 27663-2026")</f>
        <v/>
      </c>
      <c r="AA15">
        <f>HYPERLINK("https://klasma.github.io/Logging_1862/klagomål/A 27663-2026 FSC-klagomål.docx", "A 27663-2026")</f>
        <v/>
      </c>
      <c r="AB15">
        <f>HYPERLINK("https://klasma.github.io/Logging_1862/klagomålsmail/A 27663-2026 FSC-klagomål mail.docx", "A 27663-2026")</f>
        <v/>
      </c>
      <c r="AC15">
        <f>HYPERLINK("https://klasma.github.io/Logging_1862/tillsyn/A 27663-2026 tillsynsbegäran.docx", "A 27663-2026")</f>
        <v/>
      </c>
      <c r="AD15">
        <f>HYPERLINK("https://klasma.github.io/Logging_1862/tillsynsmail/A 27663-2026 tillsynsbegäran mail.docx", "A 27663-2026")</f>
        <v/>
      </c>
      <c r="AE15">
        <f>HYPERLINK("https://klasma.github.io/Logging_1862/fåglar/A 27663-2026 prioriterade fågelarter.docx", "A 27663-2026")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46249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46249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46249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46249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46249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46249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46249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46249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46249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46249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46249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46249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46249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46249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46249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46249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46249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46249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46249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46249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46249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46249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46249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46249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46249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47915-2024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46249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HYPERLINK("https://klasma.github.io/Logging_1862/artfynd/A 47915-2024 artfynd.xlsx", "A 47915-2024")</f>
        <v/>
      </c>
      <c r="X41">
        <f>HYPERLINK("https://klasma.github.io/Logging_1862/kartor/A 47915-2024 karta.png", "A 47915-2024")</f>
        <v/>
      </c>
      <c r="Y41">
        <f>HYPERLINK("https://klasma.github.io/Logging_1862/kartor_geotiff/A 47915-2024 georefererad karta.tif", "A 47915-2024")</f>
        <v/>
      </c>
      <c r="AA41">
        <f>HYPERLINK("https://klasma.github.io/Logging_1862/klagomål/A 47915-2024 FSC-klagomål.docx", "A 47915-2024")</f>
        <v/>
      </c>
      <c r="AB41">
        <f>HYPERLINK("https://klasma.github.io/Logging_1862/klagomålsmail/A 47915-2024 FSC-klagomål mail.docx", "A 47915-2024")</f>
        <v/>
      </c>
      <c r="AC41">
        <f>HYPERLINK("https://klasma.github.io/Logging_1862/tillsyn/A 47915-2024 tillsynsbegäran.docx", "A 47915-2024")</f>
        <v/>
      </c>
      <c r="AD41">
        <f>HYPERLINK("https://klasma.github.io/Logging_1862/tillsynsmail/A 47915-2024 tillsynsbegäran mail.docx", "A 47915-2024")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46249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46249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46249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27093-2023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46249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27093-2023 artfynd.xlsx", "A 27093-2023")</f>
        <v/>
      </c>
      <c r="X45">
        <f>HYPERLINK("https://klasma.github.io/Logging_1862/kartor/A 27093-2023 karta.png", "A 27093-2023")</f>
        <v/>
      </c>
      <c r="Y45">
        <f>HYPERLINK("https://klasma.github.io/Logging_1862/kartor_geotiff/A 27093-2023 georefererad karta.tif", "A 27093-2023")</f>
        <v/>
      </c>
      <c r="AA45">
        <f>HYPERLINK("https://klasma.github.io/Logging_1862/klagomål/A 27093-2023 FSC-klagomål.docx", "A 27093-2023")</f>
        <v/>
      </c>
      <c r="AB45">
        <f>HYPERLINK("https://klasma.github.io/Logging_1862/klagomålsmail/A 27093-2023 FSC-klagomål mail.docx", "A 27093-2023")</f>
        <v/>
      </c>
      <c r="AC45">
        <f>HYPERLINK("https://klasma.github.io/Logging_1862/tillsyn/A 27093-2023 tillsynsbegäran.docx", "A 27093-2023")</f>
        <v/>
      </c>
      <c r="AD45">
        <f>HYPERLINK("https://klasma.github.io/Logging_1862/tillsynsmail/A 27093-2023 tillsynsbegäran mail.docx", "A 27093-2023")</f>
        <v/>
      </c>
      <c r="AE45">
        <f>HYPERLINK("https://klasma.github.io/Logging_1862/fåglar/A 27093-2023 prioriterade fågelarter.docx", "A 27093-2023")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46249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46249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46249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46249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46249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26971-2026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46249</v>
      </c>
      <c r="F51" t="inlineStr">
        <is>
          <t>ÖREBRO LÄN</t>
        </is>
      </c>
      <c r="G51" t="inlineStr">
        <is>
          <t>DEGERFORS</t>
        </is>
      </c>
      <c r="I51" t="n">
        <v>2.1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HYPERLINK("https://klasma.github.io/Logging_1862/artfynd/A 26971-2026 artfynd.xlsx", "A 26971-2026")</f>
        <v/>
      </c>
      <c r="X51">
        <f>HYPERLINK("https://klasma.github.io/Logging_1862/kartor/A 26971-2026 karta.png", "A 26971-2026")</f>
        <v/>
      </c>
      <c r="Y51">
        <f>HYPERLINK("https://klasma.github.io/Logging_1862/kartor_geotiff/A 26971-2026 georefererad karta.tif", "A 26971-2026")</f>
        <v/>
      </c>
      <c r="AA51">
        <f>HYPERLINK("https://klasma.github.io/Logging_1862/klagomål/A 26971-2026 FSC-klagomål.docx", "A 26971-2026")</f>
        <v/>
      </c>
      <c r="AB51">
        <f>HYPERLINK("https://klasma.github.io/Logging_1862/klagomålsmail/A 26971-2026 FSC-klagomål mail.docx", "A 26971-2026")</f>
        <v/>
      </c>
      <c r="AC51">
        <f>HYPERLINK("https://klasma.github.io/Logging_1862/tillsyn/A 26971-2026 tillsynsbegäran.docx", "A 26971-2026")</f>
        <v/>
      </c>
      <c r="AD51">
        <f>HYPERLINK("https://klasma.github.io/Logging_1862/tillsynsmail/A 26971-2026 tillsynsbegäran mail.docx", "A 26971-2026")</f>
        <v/>
      </c>
    </row>
    <row r="52" ht="15" customHeight="1">
      <c r="A52" t="inlineStr">
        <is>
          <t>A 27072-2026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46186</v>
      </c>
      <c r="E52" s="1" t="n">
        <v>46249</v>
      </c>
      <c r="F52" t="inlineStr">
        <is>
          <t>ÖREBRO LÄN</t>
        </is>
      </c>
      <c r="G52" t="inlineStr">
        <is>
          <t>DEGERFORS</t>
        </is>
      </c>
      <c r="H52" t="inlineStr">
        <is>
          <t>Sveaskog</t>
        </is>
      </c>
      <c r="I52" t="n">
        <v>7.6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27072-2026 artfynd.xlsx", "A 27072-2026")</f>
        <v/>
      </c>
      <c r="X52">
        <f>HYPERLINK("https://klasma.github.io/Logging_1862/kartor/A 27072-2026 karta.png", "A 27072-2026")</f>
        <v/>
      </c>
      <c r="Y52">
        <f>HYPERLINK("https://klasma.github.io/Logging_1862/kartor_geotiff/A 27072-2026 georefererad karta.tif", "A 27072-2026")</f>
        <v/>
      </c>
      <c r="AA52">
        <f>HYPERLINK("https://klasma.github.io/Logging_1862/klagomål/A 27072-2026 FSC-klagomål.docx", "A 27072-2026")</f>
        <v/>
      </c>
      <c r="AB52">
        <f>HYPERLINK("https://klasma.github.io/Logging_1862/klagomålsmail/A 27072-2026 FSC-klagomål mail.docx", "A 27072-2026")</f>
        <v/>
      </c>
      <c r="AC52">
        <f>HYPERLINK("https://klasma.github.io/Logging_1862/tillsyn/A 27072-2026 tillsynsbegäran.docx", "A 27072-2026")</f>
        <v/>
      </c>
      <c r="AD52">
        <f>HYPERLINK("https://klasma.github.io/Logging_1862/tillsynsmail/A 27072-2026 tillsynsbegäran mail.docx", "A 27072-2026")</f>
        <v/>
      </c>
      <c r="AE52">
        <f>HYPERLINK("https://klasma.github.io/Logging_1862/fåglar/A 27072-2026 prioriterade fågelarter.docx", "A 27072-2026")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46249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46249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46249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46249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46249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46249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46249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46249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46249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46249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45338</v>
      </c>
      <c r="E63" s="1" t="n">
        <v>46249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46249</v>
      </c>
      <c r="F64" t="inlineStr">
        <is>
          <t>ÖREBRO LÄN</t>
        </is>
      </c>
      <c r="G64" t="inlineStr">
        <is>
          <t>DEGERFORS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45116</v>
      </c>
      <c r="E65" s="1" t="n">
        <v>46249</v>
      </c>
      <c r="F65" t="inlineStr">
        <is>
          <t>ÖREBRO LÄN</t>
        </is>
      </c>
      <c r="G65" t="inlineStr">
        <is>
          <t>DEGERFORS</t>
        </is>
      </c>
      <c r="I65" t="n">
        <v>17.2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46249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46249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46249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44466</v>
      </c>
      <c r="E69" s="1" t="n">
        <v>46249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46249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67998-2021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46249</v>
      </c>
      <c r="F72" t="inlineStr">
        <is>
          <t>ÖREBRO LÄN</t>
        </is>
      </c>
      <c r="G72" t="inlineStr">
        <is>
          <t>DEGERFORS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46249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46249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46249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46249</v>
      </c>
      <c r="F76" t="inlineStr">
        <is>
          <t>ÖREBRO LÄN</t>
        </is>
      </c>
      <c r="G76" t="inlineStr">
        <is>
          <t>DEGERFORS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46249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46249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46249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46249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46249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46249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46249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46249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46249</v>
      </c>
      <c r="F85" t="inlineStr">
        <is>
          <t>ÖREBRO LÄN</t>
        </is>
      </c>
      <c r="G85" t="inlineStr">
        <is>
          <t>DEGERFORS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46249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46249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46249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46249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45861-2023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46249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45338</v>
      </c>
      <c r="E91" s="1" t="n">
        <v>46249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46249</v>
      </c>
      <c r="F92" t="inlineStr">
        <is>
          <t>ÖREBRO LÄN</t>
        </is>
      </c>
      <c r="G92" t="inlineStr">
        <is>
          <t>DEGERFORS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46249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46249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46249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46249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59158-2022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44904</v>
      </c>
      <c r="E97" s="1" t="n">
        <v>46249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45261</v>
      </c>
      <c r="E98" s="1" t="n">
        <v>46249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46249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46249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46249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46249</v>
      </c>
      <c r="F102" t="inlineStr">
        <is>
          <t>ÖREBRO LÄN</t>
        </is>
      </c>
      <c r="G102" t="inlineStr">
        <is>
          <t>DEGERFORS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46092</v>
      </c>
      <c r="E103" s="1" t="n">
        <v>46249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46249</v>
      </c>
      <c r="F104" t="inlineStr">
        <is>
          <t>ÖREBRO LÄN</t>
        </is>
      </c>
      <c r="G104" t="inlineStr">
        <is>
          <t>DEGERFORS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46249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46249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46249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46249</v>
      </c>
      <c r="F108" t="inlineStr">
        <is>
          <t>ÖREBRO LÄN</t>
        </is>
      </c>
      <c r="G108" t="inlineStr">
        <is>
          <t>DEGERFORS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45589</v>
      </c>
      <c r="E109" s="1" t="n">
        <v>46249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21952-2024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45443</v>
      </c>
      <c r="E110" s="1" t="n">
        <v>46249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46249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46249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46249</v>
      </c>
      <c r="F113" t="inlineStr">
        <is>
          <t>ÖREBRO LÄN</t>
        </is>
      </c>
      <c r="G113" t="inlineStr">
        <is>
          <t>DEGERFORS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46249</v>
      </c>
      <c r="F114" t="inlineStr">
        <is>
          <t>ÖREBRO LÄN</t>
        </is>
      </c>
      <c r="G114" t="inlineStr">
        <is>
          <t>DEGERFORS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46249</v>
      </c>
      <c r="F115" t="inlineStr">
        <is>
          <t>ÖREBRO LÄN</t>
        </is>
      </c>
      <c r="G115" t="inlineStr">
        <is>
          <t>DEGERFORS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46249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46249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46249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45192</v>
      </c>
      <c r="E119" s="1" t="n">
        <v>46249</v>
      </c>
      <c r="F119" t="inlineStr">
        <is>
          <t>ÖREBRO LÄN</t>
        </is>
      </c>
      <c r="G119" t="inlineStr">
        <is>
          <t>DEGERFORS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46249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46249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46249</v>
      </c>
      <c r="F122" t="inlineStr">
        <is>
          <t>ÖREBRO LÄN</t>
        </is>
      </c>
      <c r="G122" t="inlineStr">
        <is>
          <t>DEGERFORS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37672-2024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45541</v>
      </c>
      <c r="E123" s="1" t="n">
        <v>46249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46249</v>
      </c>
      <c r="F124" t="inlineStr">
        <is>
          <t>ÖREBRO LÄN</t>
        </is>
      </c>
      <c r="G124" t="inlineStr">
        <is>
          <t>DEGERFORS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46249</v>
      </c>
      <c r="F125" t="inlineStr">
        <is>
          <t>ÖREBRO LÄN</t>
        </is>
      </c>
      <c r="G125" t="inlineStr">
        <is>
          <t>DEGERFORS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46249</v>
      </c>
      <c r="F126" t="inlineStr">
        <is>
          <t>ÖREBRO LÄN</t>
        </is>
      </c>
      <c r="G126" t="inlineStr">
        <is>
          <t>DEGERFORS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46249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46249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46249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46249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46249</v>
      </c>
      <c r="F131" t="inlineStr">
        <is>
          <t>ÖREBRO LÄN</t>
        </is>
      </c>
      <c r="G131" t="inlineStr">
        <is>
          <t>DEGERFORS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46249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46249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46249</v>
      </c>
      <c r="F134" t="inlineStr">
        <is>
          <t>ÖREBRO LÄN</t>
        </is>
      </c>
      <c r="G134" t="inlineStr">
        <is>
          <t>DEGERFORS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46249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10674-2024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45369</v>
      </c>
      <c r="E136" s="1" t="n">
        <v>46249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46249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46249</v>
      </c>
      <c r="F138" t="inlineStr">
        <is>
          <t>ÖREBRO LÄN</t>
        </is>
      </c>
      <c r="G138" t="inlineStr">
        <is>
          <t>DEGERFORS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46249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46249</v>
      </c>
      <c r="F140" t="inlineStr">
        <is>
          <t>ÖREBRO LÄN</t>
        </is>
      </c>
      <c r="G140" t="inlineStr">
        <is>
          <t>DEGERFORS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46249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46249</v>
      </c>
      <c r="F142" t="inlineStr">
        <is>
          <t>ÖREBRO LÄN</t>
        </is>
      </c>
      <c r="G142" t="inlineStr">
        <is>
          <t>DEGERFORS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46249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46249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46249</v>
      </c>
      <c r="F145" t="inlineStr">
        <is>
          <t>ÖREBRO LÄN</t>
        </is>
      </c>
      <c r="G145" t="inlineStr">
        <is>
          <t>DEGERFORS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46249</v>
      </c>
      <c r="F146" t="inlineStr">
        <is>
          <t>ÖREBRO LÄN</t>
        </is>
      </c>
      <c r="G146" t="inlineStr">
        <is>
          <t>DEGERFORS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46249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46249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46249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46249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45735</v>
      </c>
      <c r="E151" s="1" t="n">
        <v>46249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45233</v>
      </c>
      <c r="E152" s="1" t="n">
        <v>46249</v>
      </c>
      <c r="F152" t="inlineStr">
        <is>
          <t>ÖREBRO LÄN</t>
        </is>
      </c>
      <c r="G152" t="inlineStr">
        <is>
          <t>DEGERFORS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46249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46249</v>
      </c>
      <c r="F154" t="inlineStr">
        <is>
          <t>ÖREBRO LÄN</t>
        </is>
      </c>
      <c r="G154" t="inlineStr">
        <is>
          <t>DEGERFORS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46249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46249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46249</v>
      </c>
      <c r="F157" t="inlineStr">
        <is>
          <t>ÖREBRO LÄN</t>
        </is>
      </c>
      <c r="G157" t="inlineStr">
        <is>
          <t>DEGERFORS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46249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46249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46249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46249</v>
      </c>
      <c r="F161" t="inlineStr">
        <is>
          <t>ÖREBRO LÄN</t>
        </is>
      </c>
      <c r="G161" t="inlineStr">
        <is>
          <t>DEGERFORS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46249</v>
      </c>
      <c r="F162" t="inlineStr">
        <is>
          <t>ÖREBRO LÄN</t>
        </is>
      </c>
      <c r="G162" t="inlineStr">
        <is>
          <t>DEGERFORS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46249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46249</v>
      </c>
      <c r="F164" t="inlineStr">
        <is>
          <t>ÖREBRO LÄN</t>
        </is>
      </c>
      <c r="G164" t="inlineStr">
        <is>
          <t>DEGERFORS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46249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46249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46249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46249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46249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46249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46249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14678-2025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45742</v>
      </c>
      <c r="E172" s="1" t="n">
        <v>46249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46249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46249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46249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46249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46249</v>
      </c>
      <c r="F177" t="inlineStr">
        <is>
          <t>ÖREBRO LÄN</t>
        </is>
      </c>
      <c r="G177" t="inlineStr">
        <is>
          <t>DEGERFORS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46249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46249</v>
      </c>
      <c r="F179" t="inlineStr">
        <is>
          <t>ÖREBRO LÄN</t>
        </is>
      </c>
      <c r="G179" t="inlineStr">
        <is>
          <t>DEGERFORS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46249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45520</v>
      </c>
      <c r="E181" s="1" t="n">
        <v>46249</v>
      </c>
      <c r="F181" t="inlineStr">
        <is>
          <t>ÖREBRO LÄN</t>
        </is>
      </c>
      <c r="G181" t="inlineStr">
        <is>
          <t>DEGERFORS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46249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38233-2023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45160</v>
      </c>
      <c r="E183" s="1" t="n">
        <v>46249</v>
      </c>
      <c r="F183" t="inlineStr">
        <is>
          <t>ÖREBRO LÄN</t>
        </is>
      </c>
      <c r="G183" t="inlineStr">
        <is>
          <t>DEGERFORS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45223</v>
      </c>
      <c r="E184" s="1" t="n">
        <v>46249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46249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46249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46249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46249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46249</v>
      </c>
      <c r="F189" t="inlineStr">
        <is>
          <t>ÖREBRO LÄN</t>
        </is>
      </c>
      <c r="G189" t="inlineStr">
        <is>
          <t>DEGERFORS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46249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46249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46249</v>
      </c>
      <c r="F192" t="inlineStr">
        <is>
          <t>ÖREBRO LÄN</t>
        </is>
      </c>
      <c r="G192" t="inlineStr">
        <is>
          <t>DEGERFORS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46249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46249</v>
      </c>
      <c r="F194" t="inlineStr">
        <is>
          <t>ÖREBRO LÄN</t>
        </is>
      </c>
      <c r="G194" t="inlineStr">
        <is>
          <t>DEGERFORS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46249</v>
      </c>
      <c r="F195" t="inlineStr">
        <is>
          <t>ÖREBRO LÄN</t>
        </is>
      </c>
      <c r="G195" t="inlineStr">
        <is>
          <t>DEGERFORS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46249</v>
      </c>
      <c r="F196" t="inlineStr">
        <is>
          <t>ÖREBRO LÄN</t>
        </is>
      </c>
      <c r="G196" t="inlineStr">
        <is>
          <t>DEGERFORS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46249</v>
      </c>
      <c r="F197" t="inlineStr">
        <is>
          <t>ÖREBRO LÄN</t>
        </is>
      </c>
      <c r="G197" t="inlineStr">
        <is>
          <t>DEGERFORS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46249</v>
      </c>
      <c r="F198" t="inlineStr">
        <is>
          <t>ÖREBRO LÄN</t>
        </is>
      </c>
      <c r="G198" t="inlineStr">
        <is>
          <t>DEGERFORS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45729</v>
      </c>
      <c r="E199" s="1" t="n">
        <v>46249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46249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46249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46249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46249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46249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46249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46230</v>
      </c>
      <c r="E206" s="1" t="n">
        <v>46249</v>
      </c>
      <c r="F206" t="inlineStr">
        <is>
          <t>ÖREBRO LÄN</t>
        </is>
      </c>
      <c r="G206" t="inlineStr">
        <is>
          <t>DEGERFORS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46249</v>
      </c>
      <c r="F207" t="inlineStr">
        <is>
          <t>ÖREBRO LÄN</t>
        </is>
      </c>
      <c r="G207" t="inlineStr">
        <is>
          <t>DEGERFORS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46249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46249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46249</v>
      </c>
      <c r="F210" t="inlineStr">
        <is>
          <t>ÖREBRO LÄN</t>
        </is>
      </c>
      <c r="G210" t="inlineStr">
        <is>
          <t>DEGERFORS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46249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46249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46249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46249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46249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46249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46249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46249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46249</v>
      </c>
      <c r="F219" t="inlineStr">
        <is>
          <t>ÖREBRO LÄN</t>
        </is>
      </c>
      <c r="G219" t="inlineStr">
        <is>
          <t>DEGERFORS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46249</v>
      </c>
      <c r="F220" t="inlineStr">
        <is>
          <t>ÖREBRO LÄN</t>
        </is>
      </c>
      <c r="G220" t="inlineStr">
        <is>
          <t>DEGERFORS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46249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46249</v>
      </c>
      <c r="F222" t="inlineStr">
        <is>
          <t>ÖREBRO LÄN</t>
        </is>
      </c>
      <c r="G222" t="inlineStr">
        <is>
          <t>DEGERFORS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46249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46249</v>
      </c>
      <c r="F224" t="inlineStr">
        <is>
          <t>ÖREBRO LÄN</t>
        </is>
      </c>
      <c r="G224" t="inlineStr">
        <is>
          <t>DEGERFORS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46249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46249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46199</v>
      </c>
      <c r="E227" s="1" t="n">
        <v>46249</v>
      </c>
      <c r="F227" t="inlineStr">
        <is>
          <t>ÖREBRO LÄN</t>
        </is>
      </c>
      <c r="G227" t="inlineStr">
        <is>
          <t>DEGERFORS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45876</v>
      </c>
      <c r="E228" s="1" t="n">
        <v>46249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46249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46249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46249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46249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46249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46249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46249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46249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46249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46249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46249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46249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46249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2026-08-15T08:26:30Z</dcterms:created>
  <dcterms:modified xmlns:dcterms="http://purl.org/dc/terms/" xmlns:xsi="http://www.w3.org/2001/XMLSchema-instance" xsi:type="dcterms:W3CDTF">2026-08-15T08:26:30Z</dcterms:modified>
</cp:coreProperties>
</file>