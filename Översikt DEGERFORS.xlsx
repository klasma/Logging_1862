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46288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46288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46288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46288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46288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46288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46288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46288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46288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46288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46288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46288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46288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29553-2026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46204</v>
      </c>
      <c r="E15" s="1" t="n">
        <v>46288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6.5</v>
      </c>
      <c r="J15" t="n">
        <v>2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6</v>
      </c>
      <c r="U15" t="n">
        <v>2</v>
      </c>
      <c r="V15" s="2" t="inlineStr">
        <is>
          <t>Garnlav
Skuggblåslav
Talltita
Ullticka
Vedskivlav
Tofsmes</t>
        </is>
      </c>
      <c r="W15">
        <f>HYPERLINK("https://klasma.github.io/Logging_1862/artfynd/A 29553-2026 artfynd.xlsx", "A 29553-2026")</f>
        <v/>
      </c>
      <c r="X15">
        <f>HYPERLINK("https://klasma.github.io/Logging_1862/kartor/A 29553-2026 karta.png", "A 29553-2026")</f>
        <v/>
      </c>
      <c r="Y15">
        <f>HYPERLINK("https://klasma.github.io/Logging_1862/kartor_geotiff/A 29553-2026 georefererad karta.tif", "A 29553-2026")</f>
        <v/>
      </c>
      <c r="AA15">
        <f>HYPERLINK("https://klasma.github.io/Logging_1862/klagomål/A 29553-2026 FSC-klagomål.docx", "A 29553-2026")</f>
        <v/>
      </c>
      <c r="AB15">
        <f>HYPERLINK("https://klasma.github.io/Logging_1862/klagomålsmail/A 29553-2026 FSC-klagomål mail.docx", "A 29553-2026")</f>
        <v/>
      </c>
      <c r="AC15">
        <f>HYPERLINK("https://klasma.github.io/Logging_1862/tillsyn/A 29553-2026 tillsynsbegäran.docx", "A 29553-2026")</f>
        <v/>
      </c>
      <c r="AD15">
        <f>HYPERLINK("https://klasma.github.io/Logging_1862/tillsynsmail/A 29553-2026 tillsynsbegäran mail.docx", "A 29553-2026")</f>
        <v/>
      </c>
      <c r="AE15">
        <f>HYPERLINK("https://klasma.github.io/Logging_1862/fåglar/A 29553-2026 prioriterade fågelarter.docx", "A 29553-2026")</f>
        <v/>
      </c>
    </row>
    <row r="16" ht="15" customHeight="1">
      <c r="A16" t="inlineStr">
        <is>
          <t>A 73321-2021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44550</v>
      </c>
      <c r="E16" s="1" t="n">
        <v>46288</v>
      </c>
      <c r="F16" t="inlineStr">
        <is>
          <t>ÖREBRO LÄN</t>
        </is>
      </c>
      <c r="G16" t="inlineStr">
        <is>
          <t>DEGERFORS</t>
        </is>
      </c>
      <c r="I16" t="n">
        <v>17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8</v>
      </c>
      <c r="U16" t="n">
        <v>8</v>
      </c>
      <c r="V16" s="2" t="inlineStr">
        <is>
          <t>Knärot
Grynig filtlav
Gulsparv
Rynkskinn
Vedticka
Spillkråka</t>
        </is>
      </c>
      <c r="W16">
        <f>HYPERLINK("https://klasma.github.io/Logging_1862/artfynd/A 73321-2021 artfynd.xlsx", "A 73321-2021")</f>
        <v/>
      </c>
      <c r="X16">
        <f>HYPERLINK("https://klasma.github.io/Logging_1862/kartor/A 73321-2021 karta.png", "A 73321-2021")</f>
        <v/>
      </c>
      <c r="Y16">
        <f>HYPERLINK("https://klasma.github.io/Logging_1862/kartor_geotiff/A 73321-2021 georefererad karta.tif", "A 73321-2021")</f>
        <v/>
      </c>
      <c r="Z16">
        <f>HYPERLINK("https://klasma.github.io/Logging_1862/knärot/A 73321-2021 karta knärot.png", "A 73321-2021")</f>
        <v/>
      </c>
      <c r="AA16">
        <f>HYPERLINK("https://klasma.github.io/Logging_1862/klagomål/A 73321-2021 FSC-klagomål.docx", "A 73321-2021")</f>
        <v/>
      </c>
      <c r="AB16">
        <f>HYPERLINK("https://klasma.github.io/Logging_1862/klagomålsmail/A 73321-2021 FSC-klagomål mail.docx", "A 73321-2021")</f>
        <v/>
      </c>
      <c r="AC16">
        <f>HYPERLINK("https://klasma.github.io/Logging_1862/tillsyn/A 73321-2021 tillsynsbegäran.docx", "A 73321-2021")</f>
        <v/>
      </c>
      <c r="AD16">
        <f>HYPERLINK("https://klasma.github.io/Logging_1862/tillsynsmail/A 73321-2021 tillsynsbegäran mail.docx", "A 73321-2021")</f>
        <v/>
      </c>
      <c r="AE16">
        <f>HYPERLINK("https://klasma.github.io/Logging_1862/fåglar/A 73321-2021 prioriterade fågelarter.docx", "A 73321-2021")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46288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46288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46288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46288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46288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46288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46288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46288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46288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46288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46288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46288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46288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46288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46288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46288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46288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46288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46288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46288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46288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46288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46288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27093-2023 artfynd.xlsx", "A 27093-2023")</f>
        <v/>
      </c>
      <c r="X39">
        <f>HYPERLINK("https://klasma.github.io/Logging_1862/kartor/A 27093-2023 karta.png", "A 27093-2023")</f>
        <v/>
      </c>
      <c r="Y39">
        <f>HYPERLINK("https://klasma.github.io/Logging_1862/kartor_geotiff/A 27093-2023 georefererad karta.tif", "A 27093-2023")</f>
        <v/>
      </c>
      <c r="AA39">
        <f>HYPERLINK("https://klasma.github.io/Logging_1862/klagomål/A 27093-2023 FSC-klagomål.docx", "A 27093-2023")</f>
        <v/>
      </c>
      <c r="AB39">
        <f>HYPERLINK("https://klasma.github.io/Logging_1862/klagomålsmail/A 27093-2023 FSC-klagomål mail.docx", "A 27093-2023")</f>
        <v/>
      </c>
      <c r="AC39">
        <f>HYPERLINK("https://klasma.github.io/Logging_1862/tillsyn/A 27093-2023 tillsynsbegäran.docx", "A 27093-2023")</f>
        <v/>
      </c>
      <c r="AD39">
        <f>HYPERLINK("https://klasma.github.io/Logging_1862/tillsynsmail/A 27093-2023 tillsynsbegäran mail.docx", "A 27093-2023")</f>
        <v/>
      </c>
      <c r="AE39">
        <f>HYPERLINK("https://klasma.github.io/Logging_1862/fåglar/A 27093-2023 prioriterade fågelarter.docx", "A 27093-2023")</f>
        <v/>
      </c>
    </row>
    <row r="40" ht="15" customHeight="1">
      <c r="A40" t="inlineStr">
        <is>
          <t>A 49306-2025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45938</v>
      </c>
      <c r="E40" s="1" t="n">
        <v>46288</v>
      </c>
      <c r="F40" t="inlineStr">
        <is>
          <t>ÖREBRO LÄN</t>
        </is>
      </c>
      <c r="G40" t="inlineStr">
        <is>
          <t>DEGERFORS</t>
        </is>
      </c>
      <c r="I40" t="n">
        <v>5.8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HYPERLINK("https://klasma.github.io/Logging_1862/artfynd/A 49306-2025 artfynd.xlsx", "A 49306-2025")</f>
        <v/>
      </c>
      <c r="X40">
        <f>HYPERLINK("https://klasma.github.io/Logging_1862/kartor/A 49306-2025 karta.png", "A 49306-2025")</f>
        <v/>
      </c>
      <c r="Y40">
        <f>HYPERLINK("https://klasma.github.io/Logging_1862/kartor_geotiff/A 49306-2025 georefererad karta.tif", "A 49306-2025")</f>
        <v/>
      </c>
      <c r="AA40">
        <f>HYPERLINK("https://klasma.github.io/Logging_1862/klagomål/A 49306-2025 FSC-klagomål.docx", "A 49306-2025")</f>
        <v/>
      </c>
      <c r="AB40">
        <f>HYPERLINK("https://klasma.github.io/Logging_1862/klagomålsmail/A 49306-2025 FSC-klagomål mail.docx", "A 49306-2025")</f>
        <v/>
      </c>
      <c r="AC40">
        <f>HYPERLINK("https://klasma.github.io/Logging_1862/tillsyn/A 49306-2025 tillsynsbegäran.docx", "A 49306-2025")</f>
        <v/>
      </c>
      <c r="AD40">
        <f>HYPERLINK("https://klasma.github.io/Logging_1862/tillsynsmail/A 49306-2025 tillsynsbegäran mail.docx", "A 49306-2025")</f>
        <v/>
      </c>
    </row>
    <row r="41" ht="15" customHeight="1">
      <c r="A41" t="inlineStr">
        <is>
          <t>A 48285-2023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45205</v>
      </c>
      <c r="E41" s="1" t="n">
        <v>46288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48285-2023 artfynd.xlsx", "A 48285-2023")</f>
        <v/>
      </c>
      <c r="X41">
        <f>HYPERLINK("https://klasma.github.io/Logging_1862/kartor/A 48285-2023 karta.png", "A 48285-2023")</f>
        <v/>
      </c>
      <c r="Y41">
        <f>HYPERLINK("https://klasma.github.io/Logging_1862/kartor_geotiff/A 48285-2023 georefererad karta.tif", "A 48285-2023")</f>
        <v/>
      </c>
      <c r="AA41">
        <f>HYPERLINK("https://klasma.github.io/Logging_1862/klagomål/A 48285-2023 FSC-klagomål.docx", "A 48285-2023")</f>
        <v/>
      </c>
      <c r="AB41">
        <f>HYPERLINK("https://klasma.github.io/Logging_1862/klagomålsmail/A 48285-2023 FSC-klagomål mail.docx", "A 48285-2023")</f>
        <v/>
      </c>
      <c r="AC41">
        <f>HYPERLINK("https://klasma.github.io/Logging_1862/tillsyn/A 48285-2023 tillsynsbegäran.docx", "A 48285-2023")</f>
        <v/>
      </c>
      <c r="AD41">
        <f>HYPERLINK("https://klasma.github.io/Logging_1862/tillsynsmail/A 48285-2023 tillsynsbegäran mail.docx", "A 48285-2023")</f>
        <v/>
      </c>
      <c r="AE41">
        <f>HYPERLINK("https://klasma.github.io/Logging_1862/fåglar/A 48285-2023 prioriterade fågelarter.docx", "A 48285-2023")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46288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14121-2022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46288</v>
      </c>
      <c r="F43" t="inlineStr">
        <is>
          <t>ÖREBRO LÄN</t>
        </is>
      </c>
      <c r="G43" t="inlineStr">
        <is>
          <t>DEGERFORS</t>
        </is>
      </c>
      <c r="I43" t="n">
        <v>4.4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Hårklomossa</t>
        </is>
      </c>
      <c r="W43">
        <f>HYPERLINK("https://klasma.github.io/Logging_1862/artfynd/A 14121-2022 artfynd.xlsx", "A 14121-2022")</f>
        <v/>
      </c>
      <c r="X43">
        <f>HYPERLINK("https://klasma.github.io/Logging_1862/kartor/A 14121-2022 karta.png", "A 14121-2022")</f>
        <v/>
      </c>
      <c r="Y43">
        <f>HYPERLINK("https://klasma.github.io/Logging_1862/kartor_geotiff/A 14121-2022 georefererad karta.tif", "A 14121-2022")</f>
        <v/>
      </c>
      <c r="AA43">
        <f>HYPERLINK("https://klasma.github.io/Logging_1862/klagomål/A 14121-2022 FSC-klagomål.docx", "A 14121-2022")</f>
        <v/>
      </c>
      <c r="AB43">
        <f>HYPERLINK("https://klasma.github.io/Logging_1862/klagomålsmail/A 14121-2022 FSC-klagomål mail.docx", "A 14121-2022")</f>
        <v/>
      </c>
      <c r="AC43">
        <f>HYPERLINK("https://klasma.github.io/Logging_1862/tillsyn/A 14121-2022 tillsynsbegäran.docx", "A 14121-2022")</f>
        <v/>
      </c>
      <c r="AD43">
        <f>HYPERLINK("https://klasma.github.io/Logging_1862/tillsynsmail/A 14121-2022 tillsynsbegäran mail.docx", "A 14121-2022")</f>
        <v/>
      </c>
    </row>
    <row r="44" ht="15" customHeight="1">
      <c r="A44" t="inlineStr">
        <is>
          <t>A 38907-2023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46288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38907-2023 artfynd.xlsx", "A 38907-2023")</f>
        <v/>
      </c>
      <c r="X44">
        <f>HYPERLINK("https://klasma.github.io/Logging_1862/kartor/A 38907-2023 karta.png", "A 38907-2023")</f>
        <v/>
      </c>
      <c r="Y44">
        <f>HYPERLINK("https://klasma.github.io/Logging_1862/kartor_geotiff/A 38907-2023 georefererad karta.tif", "A 38907-2023")</f>
        <v/>
      </c>
      <c r="AA44">
        <f>HYPERLINK("https://klasma.github.io/Logging_1862/klagomål/A 38907-2023 FSC-klagomål.docx", "A 38907-2023")</f>
        <v/>
      </c>
      <c r="AB44">
        <f>HYPERLINK("https://klasma.github.io/Logging_1862/klagomålsmail/A 38907-2023 FSC-klagomål mail.docx", "A 38907-2023")</f>
        <v/>
      </c>
      <c r="AC44">
        <f>HYPERLINK("https://klasma.github.io/Logging_1862/tillsyn/A 38907-2023 tillsynsbegäran.docx", "A 38907-2023")</f>
        <v/>
      </c>
      <c r="AD44">
        <f>HYPERLINK("https://klasma.github.io/Logging_1862/tillsynsmail/A 38907-2023 tillsynsbegäran mail.docx", "A 38907-2023")</f>
        <v/>
      </c>
      <c r="AE44">
        <f>HYPERLINK("https://klasma.github.io/Logging_1862/fåglar/A 38907-2023 prioriterade fågelarter.docx", "A 38907-2023")</f>
        <v/>
      </c>
    </row>
    <row r="45" ht="15" customHeight="1">
      <c r="A45" t="inlineStr">
        <is>
          <t>A 27071-2026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46288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9.9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HYPERLINK("https://klasma.github.io/Logging_1862/artfynd/A 27071-2026 artfynd.xlsx", "A 27071-2026")</f>
        <v/>
      </c>
      <c r="X45">
        <f>HYPERLINK("https://klasma.github.io/Logging_1862/kartor/A 27071-2026 karta.png", "A 27071-2026")</f>
        <v/>
      </c>
      <c r="Y45">
        <f>HYPERLINK("https://klasma.github.io/Logging_1862/kartor_geotiff/A 27071-2026 georefererad karta.tif", "A 27071-2026")</f>
        <v/>
      </c>
      <c r="AA45">
        <f>HYPERLINK("https://klasma.github.io/Logging_1862/klagomål/A 27071-2026 FSC-klagomål.docx", "A 27071-2026")</f>
        <v/>
      </c>
      <c r="AB45">
        <f>HYPERLINK("https://klasma.github.io/Logging_1862/klagomålsmail/A 27071-2026 FSC-klagomål mail.docx", "A 27071-2026")</f>
        <v/>
      </c>
      <c r="AC45">
        <f>HYPERLINK("https://klasma.github.io/Logging_1862/tillsyn/A 27071-2026 tillsynsbegäran.docx", "A 27071-2026")</f>
        <v/>
      </c>
      <c r="AD45">
        <f>HYPERLINK("https://klasma.github.io/Logging_1862/tillsynsmail/A 27071-2026 tillsynsbegäran mail.docx", "A 27071-2026")</f>
        <v/>
      </c>
    </row>
    <row r="46" ht="15" customHeight="1">
      <c r="A46" t="inlineStr">
        <is>
          <t>A 27072-2026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46288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7.6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HYPERLINK("https://klasma.github.io/Logging_1862/artfynd/A 27072-2026 artfynd.xlsx", "A 27072-2026")</f>
        <v/>
      </c>
      <c r="X46">
        <f>HYPERLINK("https://klasma.github.io/Logging_1862/kartor/A 27072-2026 karta.png", "A 27072-2026")</f>
        <v/>
      </c>
      <c r="Y46">
        <f>HYPERLINK("https://klasma.github.io/Logging_1862/kartor_geotiff/A 27072-2026 georefererad karta.tif", "A 27072-2026")</f>
        <v/>
      </c>
      <c r="AA46">
        <f>HYPERLINK("https://klasma.github.io/Logging_1862/klagomål/A 27072-2026 FSC-klagomål.docx", "A 27072-2026")</f>
        <v/>
      </c>
      <c r="AB46">
        <f>HYPERLINK("https://klasma.github.io/Logging_1862/klagomålsmail/A 27072-2026 FSC-klagomål mail.docx", "A 27072-2026")</f>
        <v/>
      </c>
      <c r="AC46">
        <f>HYPERLINK("https://klasma.github.io/Logging_1862/tillsyn/A 27072-2026 tillsynsbegäran.docx", "A 27072-2026")</f>
        <v/>
      </c>
      <c r="AD46">
        <f>HYPERLINK("https://klasma.github.io/Logging_1862/tillsynsmail/A 27072-2026 tillsynsbegäran mail.docx", "A 27072-2026")</f>
        <v/>
      </c>
      <c r="AE46">
        <f>HYPERLINK("https://klasma.github.io/Logging_1862/fåglar/A 27072-2026 prioriterade fågelarter.docx", "A 27072-2026")</f>
        <v/>
      </c>
    </row>
    <row r="47" ht="15" customHeight="1">
      <c r="A47" t="inlineStr">
        <is>
          <t>A 47941-2024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46288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Brunfläckig pärlemorfjäril</t>
        </is>
      </c>
      <c r="W47">
        <f>HYPERLINK("https://klasma.github.io/Logging_1862/artfynd/A 47941-2024 artfynd.xlsx", "A 47941-2024")</f>
        <v/>
      </c>
      <c r="X47">
        <f>HYPERLINK("https://klasma.github.io/Logging_1862/kartor/A 47941-2024 karta.png", "A 47941-2024")</f>
        <v/>
      </c>
      <c r="Y47">
        <f>HYPERLINK("https://klasma.github.io/Logging_1862/kartor_geotiff/A 47941-2024 georefererad karta.tif", "A 47941-2024")</f>
        <v/>
      </c>
      <c r="AA47">
        <f>HYPERLINK("https://klasma.github.io/Logging_1862/klagomål/A 47941-2024 FSC-klagomål.docx", "A 47941-2024")</f>
        <v/>
      </c>
      <c r="AB47">
        <f>HYPERLINK("https://klasma.github.io/Logging_1862/klagomålsmail/A 47941-2024 FSC-klagomål mail.docx", "A 47941-2024")</f>
        <v/>
      </c>
      <c r="AC47">
        <f>HYPERLINK("https://klasma.github.io/Logging_1862/tillsyn/A 47941-2024 tillsynsbegäran.docx", "A 47941-2024")</f>
        <v/>
      </c>
      <c r="AD47">
        <f>HYPERLINK("https://klasma.github.io/Logging_1862/tillsynsmail/A 47941-2024 tillsynsbegäran mail.docx", "A 47941-2024")</f>
        <v/>
      </c>
    </row>
    <row r="48" ht="15" customHeight="1">
      <c r="A48" t="inlineStr">
        <is>
          <t>A 14177-2026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46099</v>
      </c>
      <c r="E48" s="1" t="n">
        <v>46288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2.2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HYPERLINK("https://klasma.github.io/Logging_1862/artfynd/A 14177-2026 artfynd.xlsx", "A 14177-2026")</f>
        <v/>
      </c>
      <c r="X48">
        <f>HYPERLINK("https://klasma.github.io/Logging_1862/kartor/A 14177-2026 karta.png", "A 14177-2026")</f>
        <v/>
      </c>
      <c r="Y48">
        <f>HYPERLINK("https://klasma.github.io/Logging_1862/kartor_geotiff/A 14177-2026 georefererad karta.tif", "A 14177-2026")</f>
        <v/>
      </c>
      <c r="AA48">
        <f>HYPERLINK("https://klasma.github.io/Logging_1862/klagomål/A 14177-2026 FSC-klagomål.docx", "A 14177-2026")</f>
        <v/>
      </c>
      <c r="AB48">
        <f>HYPERLINK("https://klasma.github.io/Logging_1862/klagomålsmail/A 14177-2026 FSC-klagomål mail.docx", "A 14177-2026")</f>
        <v/>
      </c>
      <c r="AC48">
        <f>HYPERLINK("https://klasma.github.io/Logging_1862/tillsyn/A 14177-2026 tillsynsbegäran.docx", "A 14177-2026")</f>
        <v/>
      </c>
      <c r="AD48">
        <f>HYPERLINK("https://klasma.github.io/Logging_1862/tillsynsmail/A 14177-2026 tillsynsbegäran mail.docx", "A 14177-2026")</f>
        <v/>
      </c>
    </row>
    <row r="49" ht="15" customHeight="1">
      <c r="A49" t="inlineStr">
        <is>
          <t>A 26971-2026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46288</v>
      </c>
      <c r="F49" t="inlineStr">
        <is>
          <t>ÖREBRO LÄN</t>
        </is>
      </c>
      <c r="G49" t="inlineStr">
        <is>
          <t>DEGERFORS</t>
        </is>
      </c>
      <c r="I49" t="n">
        <v>2.1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Stuplav</t>
        </is>
      </c>
      <c r="W49">
        <f>HYPERLINK("https://klasma.github.io/Logging_1862/artfynd/A 26971-2026 artfynd.xlsx", "A 26971-2026")</f>
        <v/>
      </c>
      <c r="X49">
        <f>HYPERLINK("https://klasma.github.io/Logging_1862/kartor/A 26971-2026 karta.png", "A 26971-2026")</f>
        <v/>
      </c>
      <c r="Y49">
        <f>HYPERLINK("https://klasma.github.io/Logging_1862/kartor_geotiff/A 26971-2026 georefererad karta.tif", "A 26971-2026")</f>
        <v/>
      </c>
      <c r="AA49">
        <f>HYPERLINK("https://klasma.github.io/Logging_1862/klagomål/A 26971-2026 FSC-klagomål.docx", "A 26971-2026")</f>
        <v/>
      </c>
      <c r="AB49">
        <f>HYPERLINK("https://klasma.github.io/Logging_1862/klagomålsmail/A 26971-2026 FSC-klagomål mail.docx", "A 26971-2026")</f>
        <v/>
      </c>
      <c r="AC49">
        <f>HYPERLINK("https://klasma.github.io/Logging_1862/tillsyn/A 26971-2026 tillsynsbegäran.docx", "A 26971-2026")</f>
        <v/>
      </c>
      <c r="AD49">
        <f>HYPERLINK("https://klasma.github.io/Logging_1862/tillsynsmail/A 26971-2026 tillsynsbegäran mail.docx", "A 26971-2026")</f>
        <v/>
      </c>
    </row>
    <row r="50" ht="15" customHeight="1">
      <c r="A50" t="inlineStr">
        <is>
          <t>A 47915-2024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45589</v>
      </c>
      <c r="E50" s="1" t="n">
        <v>46288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5.8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HYPERLINK("https://klasma.github.io/Logging_1862/artfynd/A 47915-2024 artfynd.xlsx", "A 47915-2024")</f>
        <v/>
      </c>
      <c r="X50">
        <f>HYPERLINK("https://klasma.github.io/Logging_1862/kartor/A 47915-2024 karta.png", "A 47915-2024")</f>
        <v/>
      </c>
      <c r="Y50">
        <f>HYPERLINK("https://klasma.github.io/Logging_1862/kartor_geotiff/A 47915-2024 georefererad karta.tif", "A 47915-2024")</f>
        <v/>
      </c>
      <c r="AA50">
        <f>HYPERLINK("https://klasma.github.io/Logging_1862/klagomål/A 47915-2024 FSC-klagomål.docx", "A 47915-2024")</f>
        <v/>
      </c>
      <c r="AB50">
        <f>HYPERLINK("https://klasma.github.io/Logging_1862/klagomålsmail/A 47915-2024 FSC-klagomål mail.docx", "A 47915-2024")</f>
        <v/>
      </c>
      <c r="AC50">
        <f>HYPERLINK("https://klasma.github.io/Logging_1862/tillsyn/A 47915-2024 tillsynsbegäran.docx", "A 47915-2024")</f>
        <v/>
      </c>
      <c r="AD50">
        <f>HYPERLINK("https://klasma.github.io/Logging_1862/tillsynsmail/A 47915-2024 tillsynsbegäran mail.docx", "A 47915-2024")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46288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2357-2022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46288</v>
      </c>
      <c r="F52" t="inlineStr">
        <is>
          <t>ÖREBRO LÄN</t>
        </is>
      </c>
      <c r="G52" t="inlineStr">
        <is>
          <t>DEGERFORS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2357-2022 artfynd.xlsx", "A 2357-2022")</f>
        <v/>
      </c>
      <c r="X52">
        <f>HYPERLINK("https://klasma.github.io/Logging_1862/kartor/A 2357-2022 karta.png", "A 2357-2022")</f>
        <v/>
      </c>
      <c r="Y52">
        <f>HYPERLINK("https://klasma.github.io/Logging_1862/kartor_geotiff/A 2357-2022 georefererad karta.tif", "A 2357-2022")</f>
        <v/>
      </c>
      <c r="AA52">
        <f>HYPERLINK("https://klasma.github.io/Logging_1862/klagomål/A 2357-2022 FSC-klagomål.docx", "A 2357-2022")</f>
        <v/>
      </c>
      <c r="AB52">
        <f>HYPERLINK("https://klasma.github.io/Logging_1862/klagomålsmail/A 2357-2022 FSC-klagomål mail.docx", "A 2357-2022")</f>
        <v/>
      </c>
      <c r="AC52">
        <f>HYPERLINK("https://klasma.github.io/Logging_1862/tillsyn/A 2357-2022 tillsynsbegäran.docx", "A 2357-2022")</f>
        <v/>
      </c>
      <c r="AD52">
        <f>HYPERLINK("https://klasma.github.io/Logging_1862/tillsynsmail/A 2357-2022 tillsynsbegäran mail.docx", "A 2357-2022")</f>
        <v/>
      </c>
      <c r="AE52">
        <f>HYPERLINK("https://klasma.github.io/Logging_1862/fåglar/A 2357-2022 prioriterade fågelarter.docx", "A 2357-2022")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46288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46288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46288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46288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46288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44692</v>
      </c>
      <c r="E58" s="1" t="n">
        <v>46288</v>
      </c>
      <c r="F58" t="inlineStr">
        <is>
          <t>ÖREBRO LÄN</t>
        </is>
      </c>
      <c r="G58" t="inlineStr">
        <is>
          <t>DEGERFORS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46288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46288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46288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46288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46288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46288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46288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46288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46288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46288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46288</v>
      </c>
      <c r="F69" t="inlineStr">
        <is>
          <t>ÖREBRO LÄN</t>
        </is>
      </c>
      <c r="G69" t="inlineStr">
        <is>
          <t>DEGERFORS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46288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46288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46288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46288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37672-2024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45541</v>
      </c>
      <c r="E74" s="1" t="n">
        <v>46288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56478-2024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46288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46288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46288</v>
      </c>
      <c r="F77" t="inlineStr">
        <is>
          <t>ÖREBRO LÄN</t>
        </is>
      </c>
      <c r="G77" t="inlineStr">
        <is>
          <t>DEGERFORS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45535</v>
      </c>
      <c r="E78" s="1" t="n">
        <v>46288</v>
      </c>
      <c r="F78" t="inlineStr">
        <is>
          <t>ÖREBRO LÄN</t>
        </is>
      </c>
      <c r="G78" t="inlineStr">
        <is>
          <t>DEGERFORS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46288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46288</v>
      </c>
      <c r="F80" t="inlineStr">
        <is>
          <t>ÖREBRO LÄN</t>
        </is>
      </c>
      <c r="G80" t="inlineStr">
        <is>
          <t>DEGERFORS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60907-2023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45261</v>
      </c>
      <c r="E81" s="1" t="n">
        <v>46288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46288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8184-2022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46288</v>
      </c>
      <c r="F83" t="inlineStr">
        <is>
          <t>ÖREBRO LÄN</t>
        </is>
      </c>
      <c r="G83" t="inlineStr">
        <is>
          <t>DEGERFORS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45602</v>
      </c>
      <c r="E84" s="1" t="n">
        <v>46288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44582</v>
      </c>
      <c r="E85" s="1" t="n">
        <v>46288</v>
      </c>
      <c r="F85" t="inlineStr">
        <is>
          <t>ÖREBRO LÄN</t>
        </is>
      </c>
      <c r="G85" t="inlineStr">
        <is>
          <t>DEGERFORS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46288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46288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37333-2025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45876</v>
      </c>
      <c r="E88" s="1" t="n">
        <v>46288</v>
      </c>
      <c r="F88" t="inlineStr">
        <is>
          <t>ÖREBRO LÄN</t>
        </is>
      </c>
      <c r="G88" t="inlineStr">
        <is>
          <t>DEGERFORS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37265-2025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45876</v>
      </c>
      <c r="E89" s="1" t="n">
        <v>46288</v>
      </c>
      <c r="F89" t="inlineStr">
        <is>
          <t>ÖREBRO LÄN</t>
        </is>
      </c>
      <c r="G89" t="inlineStr">
        <is>
          <t>DEGERFORS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46288</v>
      </c>
      <c r="F90" t="inlineStr">
        <is>
          <t>ÖREBRO LÄN</t>
        </is>
      </c>
      <c r="G90" t="inlineStr">
        <is>
          <t>DEGERFORS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45233</v>
      </c>
      <c r="E91" s="1" t="n">
        <v>46288</v>
      </c>
      <c r="F91" t="inlineStr">
        <is>
          <t>ÖREBRO LÄN</t>
        </is>
      </c>
      <c r="G91" t="inlineStr">
        <is>
          <t>DEGERFORS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45621</v>
      </c>
      <c r="E92" s="1" t="n">
        <v>46288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45887</v>
      </c>
      <c r="E93" s="1" t="n">
        <v>46288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45735</v>
      </c>
      <c r="E94" s="1" t="n">
        <v>46288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46288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46288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45616</v>
      </c>
      <c r="E97" s="1" t="n">
        <v>46288</v>
      </c>
      <c r="F97" t="inlineStr">
        <is>
          <t>ÖREBRO LÄN</t>
        </is>
      </c>
      <c r="G97" t="inlineStr">
        <is>
          <t>DEGERFORS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46288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46288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46288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38233-2023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45160</v>
      </c>
      <c r="E101" s="1" t="n">
        <v>46288</v>
      </c>
      <c r="F101" t="inlineStr">
        <is>
          <t>ÖREBRO LÄN</t>
        </is>
      </c>
      <c r="G101" t="inlineStr">
        <is>
          <t>DEGERFORS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46288</v>
      </c>
      <c r="F102" t="inlineStr">
        <is>
          <t>ÖREBRO LÄN</t>
        </is>
      </c>
      <c r="G102" t="inlineStr">
        <is>
          <t>DEGERFORS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10674-2024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45369</v>
      </c>
      <c r="E103" s="1" t="n">
        <v>46288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45645</v>
      </c>
      <c r="E104" s="1" t="n">
        <v>46288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73693-2021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44552</v>
      </c>
      <c r="E105" s="1" t="n">
        <v>46288</v>
      </c>
      <c r="F105" t="inlineStr">
        <is>
          <t>ÖREBRO LÄN</t>
        </is>
      </c>
      <c r="G105" t="inlineStr">
        <is>
          <t>DEGERFORS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45645</v>
      </c>
      <c r="E106" s="1" t="n">
        <v>46288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60940-2024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46288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46288</v>
      </c>
      <c r="F108" t="inlineStr">
        <is>
          <t>ÖREBRO LÄN</t>
        </is>
      </c>
      <c r="G108" t="inlineStr">
        <is>
          <t>DEGERFORS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46288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20568-2026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46140</v>
      </c>
      <c r="E110" s="1" t="n">
        <v>46288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20478-2026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46288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46288</v>
      </c>
      <c r="F112" t="inlineStr">
        <is>
          <t>ÖREBRO LÄN</t>
        </is>
      </c>
      <c r="G112" t="inlineStr">
        <is>
          <t>DEGERFORS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46148</v>
      </c>
      <c r="E113" s="1" t="n">
        <v>46288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21402-2026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46148</v>
      </c>
      <c r="E114" s="1" t="n">
        <v>46288</v>
      </c>
      <c r="F114" t="inlineStr">
        <is>
          <t>ÖREBRO LÄN</t>
        </is>
      </c>
      <c r="G114" t="inlineStr">
        <is>
          <t>DEGERFORS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46149</v>
      </c>
      <c r="E115" s="1" t="n">
        <v>46288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46148</v>
      </c>
      <c r="E116" s="1" t="n">
        <v>46288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21401-2026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46148</v>
      </c>
      <c r="E117" s="1" t="n">
        <v>46288</v>
      </c>
      <c r="F117" t="inlineStr">
        <is>
          <t>ÖREBRO LÄN</t>
        </is>
      </c>
      <c r="G117" t="inlineStr">
        <is>
          <t>DEGERFORS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45190</v>
      </c>
      <c r="E118" s="1" t="n">
        <v>46288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46288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57234-2024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45629</v>
      </c>
      <c r="E120" s="1" t="n">
        <v>46288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46288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46288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46288</v>
      </c>
      <c r="F123" t="inlineStr">
        <is>
          <t>ÖREBRO LÄN</t>
        </is>
      </c>
      <c r="G123" t="inlineStr">
        <is>
          <t>DEGERFORS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46162</v>
      </c>
      <c r="E124" s="1" t="n">
        <v>46288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46162</v>
      </c>
      <c r="E125" s="1" t="n">
        <v>46288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14678-2025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45742</v>
      </c>
      <c r="E126" s="1" t="n">
        <v>46288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45971</v>
      </c>
      <c r="E127" s="1" t="n">
        <v>46288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23854-2026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46167</v>
      </c>
      <c r="E128" s="1" t="n">
        <v>46288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20.9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45351</v>
      </c>
      <c r="E129" s="1" t="n">
        <v>46288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57086-2025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45979</v>
      </c>
      <c r="E130" s="1" t="n">
        <v>46288</v>
      </c>
      <c r="F130" t="inlineStr">
        <is>
          <t>ÖREBRO LÄN</t>
        </is>
      </c>
      <c r="G130" t="inlineStr">
        <is>
          <t>DEGERFORS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21952-2024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45443</v>
      </c>
      <c r="E131" s="1" t="n">
        <v>46288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24460-2026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46170</v>
      </c>
      <c r="E132" s="1" t="n">
        <v>46288</v>
      </c>
      <c r="F132" t="inlineStr">
        <is>
          <t>ÖREBRO LÄN</t>
        </is>
      </c>
      <c r="G132" t="inlineStr">
        <is>
          <t>DEGERFORS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46170</v>
      </c>
      <c r="E133" s="1" t="n">
        <v>46288</v>
      </c>
      <c r="F133" t="inlineStr">
        <is>
          <t>ÖREBRO LÄN</t>
        </is>
      </c>
      <c r="G133" t="inlineStr">
        <is>
          <t>DEGERFORS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62972-2023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45272</v>
      </c>
      <c r="E134" s="1" t="n">
        <v>46288</v>
      </c>
      <c r="F134" t="inlineStr">
        <is>
          <t>ÖREBRO LÄN</t>
        </is>
      </c>
      <c r="G134" t="inlineStr">
        <is>
          <t>DEGERFORS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12143-2025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45729</v>
      </c>
      <c r="E135" s="1" t="n">
        <v>46288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45996</v>
      </c>
      <c r="E136" s="1" t="n">
        <v>46288</v>
      </c>
      <c r="F136" t="inlineStr">
        <is>
          <t>ÖREBRO LÄN</t>
        </is>
      </c>
      <c r="G136" t="inlineStr">
        <is>
          <t>DEGERFORS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45996</v>
      </c>
      <c r="E137" s="1" t="n">
        <v>46288</v>
      </c>
      <c r="F137" t="inlineStr">
        <is>
          <t>ÖREBRO LÄN</t>
        </is>
      </c>
      <c r="G137" t="inlineStr">
        <is>
          <t>DEGERFORS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24689-2026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46171</v>
      </c>
      <c r="E138" s="1" t="n">
        <v>46288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15.5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46288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46288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45205</v>
      </c>
      <c r="E141" s="1" t="n">
        <v>46288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20577-2023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45057</v>
      </c>
      <c r="E142" s="1" t="n">
        <v>46288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45365-2023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45192</v>
      </c>
      <c r="E143" s="1" t="n">
        <v>46288</v>
      </c>
      <c r="F143" t="inlineStr">
        <is>
          <t>ÖREBRO LÄN</t>
        </is>
      </c>
      <c r="G143" t="inlineStr">
        <is>
          <t>DEGERFORS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6387-2024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45338</v>
      </c>
      <c r="E144" s="1" t="n">
        <v>46288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46027</v>
      </c>
      <c r="E145" s="1" t="n">
        <v>46288</v>
      </c>
      <c r="F145" t="inlineStr">
        <is>
          <t>ÖREBRO LÄN</t>
        </is>
      </c>
      <c r="G145" t="inlineStr">
        <is>
          <t>DEGERFORS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45337</v>
      </c>
      <c r="E146" s="1" t="n">
        <v>46288</v>
      </c>
      <c r="F146" t="inlineStr">
        <is>
          <t>ÖREBRO LÄN</t>
        </is>
      </c>
      <c r="G146" t="inlineStr">
        <is>
          <t>DEGERFORS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6394-2024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45338</v>
      </c>
      <c r="E147" s="1" t="n">
        <v>46288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46185</v>
      </c>
      <c r="E148" s="1" t="n">
        <v>46288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46185</v>
      </c>
      <c r="E149" s="1" t="n">
        <v>46288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11085-2023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44986</v>
      </c>
      <c r="E150" s="1" t="n">
        <v>46288</v>
      </c>
      <c r="F150" t="inlineStr">
        <is>
          <t>ÖREBRO LÄN</t>
        </is>
      </c>
      <c r="G150" t="inlineStr">
        <is>
          <t>DEGERFORS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46185</v>
      </c>
      <c r="E151" s="1" t="n">
        <v>46288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27411-2026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46189</v>
      </c>
      <c r="E152" s="1" t="n">
        <v>46288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28789-2026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46288</v>
      </c>
      <c r="F153" t="inlineStr">
        <is>
          <t>ÖREBRO LÄN</t>
        </is>
      </c>
      <c r="G153" t="inlineStr">
        <is>
          <t>DEGERFORS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46191</v>
      </c>
      <c r="E154" s="1" t="n">
        <v>46288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46191</v>
      </c>
      <c r="E155" s="1" t="n">
        <v>46288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46288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28708-2026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46198</v>
      </c>
      <c r="E157" s="1" t="n">
        <v>46288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45330</v>
      </c>
      <c r="E158" s="1" t="n">
        <v>46288</v>
      </c>
      <c r="F158" t="inlineStr">
        <is>
          <t>ÖREBRO LÄN</t>
        </is>
      </c>
      <c r="G158" t="inlineStr">
        <is>
          <t>DEGERFORS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50378-2024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45601</v>
      </c>
      <c r="E159" s="1" t="n">
        <v>46288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45116</v>
      </c>
      <c r="E160" s="1" t="n">
        <v>46288</v>
      </c>
      <c r="F160" t="inlineStr">
        <is>
          <t>ÖREBRO LÄN</t>
        </is>
      </c>
      <c r="G160" t="inlineStr">
        <is>
          <t>DEGERFORS</t>
        </is>
      </c>
      <c r="I160" t="n">
        <v>17.2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46288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45190</v>
      </c>
      <c r="E162" s="1" t="n">
        <v>46288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45222</v>
      </c>
      <c r="E163" s="1" t="n">
        <v>46288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46202</v>
      </c>
      <c r="E164" s="1" t="n">
        <v>46288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9273-2026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46070</v>
      </c>
      <c r="E165" s="1" t="n">
        <v>46288</v>
      </c>
      <c r="F165" t="inlineStr">
        <is>
          <t>ÖREBRO LÄN</t>
        </is>
      </c>
      <c r="G165" t="inlineStr">
        <is>
          <t>DEGERFORS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46199</v>
      </c>
      <c r="E166" s="1" t="n">
        <v>46288</v>
      </c>
      <c r="F166" t="inlineStr">
        <is>
          <t>ÖREBRO LÄN</t>
        </is>
      </c>
      <c r="G166" t="inlineStr">
        <is>
          <t>DEGERFORS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12159-2026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46086</v>
      </c>
      <c r="E167" s="1" t="n">
        <v>46288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12160-2026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46086</v>
      </c>
      <c r="E168" s="1" t="n">
        <v>46288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46288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11.9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46288</v>
      </c>
      <c r="F170" t="inlineStr">
        <is>
          <t>ÖREBRO LÄN</t>
        </is>
      </c>
      <c r="G170" t="inlineStr">
        <is>
          <t>DEGERFORS</t>
        </is>
      </c>
      <c r="I170" t="n">
        <v>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46092</v>
      </c>
      <c r="E171" s="1" t="n">
        <v>46288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46094</v>
      </c>
      <c r="E172" s="1" t="n">
        <v>46288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44781</v>
      </c>
      <c r="E173" s="1" t="n">
        <v>46288</v>
      </c>
      <c r="F173" t="inlineStr">
        <is>
          <t>ÖREBRO LÄN</t>
        </is>
      </c>
      <c r="G173" t="inlineStr">
        <is>
          <t>DEGERFORS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46093</v>
      </c>
      <c r="E174" s="1" t="n">
        <v>46288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13405-2024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45387</v>
      </c>
      <c r="E175" s="1" t="n">
        <v>46288</v>
      </c>
      <c r="F175" t="inlineStr">
        <is>
          <t>ÖREBRO LÄN</t>
        </is>
      </c>
      <c r="G175" t="inlineStr">
        <is>
          <t>DEGERFORS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46093</v>
      </c>
      <c r="E176" s="1" t="n">
        <v>46288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12729-2024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45384</v>
      </c>
      <c r="E177" s="1" t="n">
        <v>46288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29552-2026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46204</v>
      </c>
      <c r="E178" s="1" t="n">
        <v>46288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46129</v>
      </c>
      <c r="E179" s="1" t="n">
        <v>46288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8.300000000000001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18506-2026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46127</v>
      </c>
      <c r="E180" s="1" t="n">
        <v>46288</v>
      </c>
      <c r="F180" t="inlineStr">
        <is>
          <t>ÖREBRO LÄN</t>
        </is>
      </c>
      <c r="G180" t="inlineStr">
        <is>
          <t>DEGERFORS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46132</v>
      </c>
      <c r="E181" s="1" t="n">
        <v>46288</v>
      </c>
      <c r="F181" t="inlineStr">
        <is>
          <t>ÖREBRO LÄN</t>
        </is>
      </c>
      <c r="G181" t="inlineStr">
        <is>
          <t>DEGERFORS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63905-2021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44509</v>
      </c>
      <c r="E182" s="1" t="n">
        <v>46288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38743-2022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44816</v>
      </c>
      <c r="E183" s="1" t="n">
        <v>46288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46288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46288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45351</v>
      </c>
      <c r="E186" s="1" t="n">
        <v>46288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45106</v>
      </c>
      <c r="E187" s="1" t="n">
        <v>46288</v>
      </c>
      <c r="F187" t="inlineStr">
        <is>
          <t>ÖREBRO LÄN</t>
        </is>
      </c>
      <c r="G187" t="inlineStr">
        <is>
          <t>DEGERFORS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59158-2022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44904</v>
      </c>
      <c r="E188" s="1" t="n">
        <v>46288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35213-2026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46260</v>
      </c>
      <c r="E189" s="1" t="n">
        <v>46288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9.5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18773-2025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46288</v>
      </c>
      <c r="F190" t="inlineStr">
        <is>
          <t>ÖREBRO LÄN</t>
        </is>
      </c>
      <c r="G190" t="inlineStr">
        <is>
          <t>DEGERFORS</t>
        </is>
      </c>
      <c r="I190" t="n">
        <v>13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44986</v>
      </c>
      <c r="E191" s="1" t="n">
        <v>46288</v>
      </c>
      <c r="F191" t="inlineStr">
        <is>
          <t>ÖREBRO LÄN</t>
        </is>
      </c>
      <c r="G191" t="inlineStr">
        <is>
          <t>DEGERFORS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44989</v>
      </c>
      <c r="E192" s="1" t="n">
        <v>46288</v>
      </c>
      <c r="F192" t="inlineStr">
        <is>
          <t>ÖREBRO LÄN</t>
        </is>
      </c>
      <c r="G192" t="inlineStr">
        <is>
          <t>DEGERFORS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11084-2023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44986</v>
      </c>
      <c r="E193" s="1" t="n">
        <v>46288</v>
      </c>
      <c r="F193" t="inlineStr">
        <is>
          <t>ÖREBRO LÄN</t>
        </is>
      </c>
      <c r="G193" t="inlineStr">
        <is>
          <t>DEGERFORS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50764-2024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46288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45520</v>
      </c>
      <c r="E195" s="1" t="n">
        <v>46288</v>
      </c>
      <c r="F195" t="inlineStr">
        <is>
          <t>ÖREBRO LÄN</t>
        </is>
      </c>
      <c r="G195" t="inlineStr">
        <is>
          <t>DEGERFORS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36339-2026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46268</v>
      </c>
      <c r="E196" s="1" t="n">
        <v>46288</v>
      </c>
      <c r="F196" t="inlineStr">
        <is>
          <t>ÖREBRO LÄN</t>
        </is>
      </c>
      <c r="G196" t="inlineStr">
        <is>
          <t>DEGERFORS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36345-2026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46268</v>
      </c>
      <c r="E197" s="1" t="n">
        <v>46288</v>
      </c>
      <c r="F197" t="inlineStr">
        <is>
          <t>ÖREBRO LÄN</t>
        </is>
      </c>
      <c r="G197" t="inlineStr">
        <is>
          <t>DEGERFORS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45861-2023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45195</v>
      </c>
      <c r="E198" s="1" t="n">
        <v>46288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46268</v>
      </c>
      <c r="E199" s="1" t="n">
        <v>46288</v>
      </c>
      <c r="F199" t="inlineStr">
        <is>
          <t>ÖREBRO LÄN</t>
        </is>
      </c>
      <c r="G199" t="inlineStr">
        <is>
          <t>DEGERFORS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45569</v>
      </c>
      <c r="E200" s="1" t="n">
        <v>46288</v>
      </c>
      <c r="F200" t="inlineStr">
        <is>
          <t>ÖREBRO LÄN</t>
        </is>
      </c>
      <c r="G200" t="inlineStr">
        <is>
          <t>DEGERFORS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31813-2026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46230</v>
      </c>
      <c r="E201" s="1" t="n">
        <v>46288</v>
      </c>
      <c r="F201" t="inlineStr">
        <is>
          <t>ÖREBRO LÄN</t>
        </is>
      </c>
      <c r="G201" t="inlineStr">
        <is>
          <t>DEGERFORS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46288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46288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44816</v>
      </c>
      <c r="E204" s="1" t="n">
        <v>46288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46231</v>
      </c>
      <c r="E205" s="1" t="n">
        <v>46288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37809-2026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46279</v>
      </c>
      <c r="E206" s="1" t="n">
        <v>46288</v>
      </c>
      <c r="F206" t="inlineStr">
        <is>
          <t>ÖREBRO LÄN</t>
        </is>
      </c>
      <c r="G206" t="inlineStr">
        <is>
          <t>DEGERFORS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52131-2021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46288</v>
      </c>
      <c r="F207" t="inlineStr">
        <is>
          <t>ÖREBRO LÄN</t>
        </is>
      </c>
      <c r="G207" t="inlineStr">
        <is>
          <t>DEGERFORS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46281</v>
      </c>
      <c r="E208" s="1" t="n">
        <v>46288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32506-2026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46288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46283</v>
      </c>
      <c r="E210" s="1" t="n">
        <v>46288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11.3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38463-2026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46282</v>
      </c>
      <c r="E211" s="1" t="n">
        <v>46288</v>
      </c>
      <c r="F211" t="inlineStr">
        <is>
          <t>ÖREBRO LÄN</t>
        </is>
      </c>
      <c r="G211" t="inlineStr">
        <is>
          <t>DEGERFORS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46288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46283</v>
      </c>
      <c r="E213" s="1" t="n">
        <v>46288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61750-2021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46288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45705</v>
      </c>
      <c r="E215" s="1" t="n">
        <v>46288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46288</v>
      </c>
      <c r="F216" t="inlineStr">
        <is>
          <t>ÖREBRO LÄN</t>
        </is>
      </c>
      <c r="G216" t="inlineStr">
        <is>
          <t>DEGERFORS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46288</v>
      </c>
      <c r="F217" t="inlineStr">
        <is>
          <t>ÖREBRO LÄN</t>
        </is>
      </c>
      <c r="G217" t="inlineStr">
        <is>
          <t>DEGERFORS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46241</v>
      </c>
      <c r="E218" s="1" t="n">
        <v>46288</v>
      </c>
      <c r="F218" t="inlineStr">
        <is>
          <t>ÖREBRO LÄN</t>
        </is>
      </c>
      <c r="G218" t="inlineStr">
        <is>
          <t>DEGERFORS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46288</v>
      </c>
      <c r="F219" t="inlineStr">
        <is>
          <t>ÖREBRO LÄN</t>
        </is>
      </c>
      <c r="G219" t="inlineStr">
        <is>
          <t>DEGERFORS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46288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32154-2023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45119</v>
      </c>
      <c r="E221" s="1" t="n">
        <v>46288</v>
      </c>
      <c r="F221" t="inlineStr">
        <is>
          <t>ÖREBRO LÄN</t>
        </is>
      </c>
      <c r="G221" t="inlineStr">
        <is>
          <t>DEGERFORS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46288</v>
      </c>
      <c r="F222" t="inlineStr">
        <is>
          <t>ÖREBRO LÄN</t>
        </is>
      </c>
      <c r="G222" t="inlineStr">
        <is>
          <t>DEGERFORS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46288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46288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45635</v>
      </c>
      <c r="E225" s="1" t="n">
        <v>46288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50102-2023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45215</v>
      </c>
      <c r="E226" s="1" t="n">
        <v>46288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46288</v>
      </c>
      <c r="F227" t="inlineStr">
        <is>
          <t>ÖREBRO LÄN</t>
        </is>
      </c>
      <c r="G227" t="inlineStr">
        <is>
          <t>DEGERFORS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45443</v>
      </c>
      <c r="E228" s="1" t="n">
        <v>46288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45453</v>
      </c>
      <c r="E229" s="1" t="n">
        <v>46288</v>
      </c>
      <c r="F229" t="inlineStr">
        <is>
          <t>ÖREBRO LÄN</t>
        </is>
      </c>
      <c r="G229" t="inlineStr">
        <is>
          <t>DEGERFORS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45798</v>
      </c>
      <c r="E230" s="1" t="n">
        <v>46288</v>
      </c>
      <c r="F230" t="inlineStr">
        <is>
          <t>ÖREBRO LÄN</t>
        </is>
      </c>
      <c r="G230" t="inlineStr">
        <is>
          <t>DEGERFORS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45330</v>
      </c>
      <c r="E231" s="1" t="n">
        <v>46288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26820-2025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45810</v>
      </c>
      <c r="E232" s="1" t="n">
        <v>46288</v>
      </c>
      <c r="F232" t="inlineStr">
        <is>
          <t>ÖREBRO LÄN</t>
        </is>
      </c>
      <c r="G232" t="inlineStr">
        <is>
          <t>DEGERFORS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26783-2025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45810</v>
      </c>
      <c r="E233" s="1" t="n">
        <v>46288</v>
      </c>
      <c r="F233" t="inlineStr">
        <is>
          <t>ÖREBRO LÄN</t>
        </is>
      </c>
      <c r="G233" t="inlineStr">
        <is>
          <t>DEGERFORS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28367-2025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45819</v>
      </c>
      <c r="E234" s="1" t="n">
        <v>46288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28368-2025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45819</v>
      </c>
      <c r="E235" s="1" t="n">
        <v>46288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44719</v>
      </c>
      <c r="E236" s="1" t="n">
        <v>46288</v>
      </c>
      <c r="F236" t="inlineStr">
        <is>
          <t>ÖREBRO LÄN</t>
        </is>
      </c>
      <c r="G236" t="inlineStr">
        <is>
          <t>DEGERFORS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46288</v>
      </c>
      <c r="F237" t="inlineStr">
        <is>
          <t>ÖREBRO LÄN</t>
        </is>
      </c>
      <c r="G237" t="inlineStr">
        <is>
          <t>DEGERFORS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45639</v>
      </c>
      <c r="E238" s="1" t="n">
        <v>46288</v>
      </c>
      <c r="F238" t="inlineStr">
        <is>
          <t>ÖREBRO LÄN</t>
        </is>
      </c>
      <c r="G238" t="inlineStr">
        <is>
          <t>DEGERFORS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479-2022</t>
        </is>
      </c>
      <c r="B239" t="inlineStr">
        <is>
          <t>samrådsanmälan</t>
        </is>
      </c>
      <c r="C239" t="inlineStr">
        <is>
          <t>Skogsbilväg</t>
        </is>
      </c>
      <c r="D239" s="1" t="n">
        <v>44587</v>
      </c>
      <c r="E239" s="1" t="n">
        <v>46288</v>
      </c>
      <c r="F239" t="inlineStr">
        <is>
          <t>ÖREBRO LÄN</t>
        </is>
      </c>
      <c r="G239" t="inlineStr">
        <is>
          <t>DEGERFORS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1697-2025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45805</v>
      </c>
      <c r="E240" s="1" t="n">
        <v>46288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1694-2025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45805</v>
      </c>
      <c r="E241" s="1" t="n">
        <v>46288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794-2025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45729</v>
      </c>
      <c r="E242" s="1" t="n">
        <v>46288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793-2025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45729</v>
      </c>
      <c r="E243" s="1" t="n">
        <v>46288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963-2025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45742</v>
      </c>
      <c r="E244" s="1" t="n">
        <v>46288</v>
      </c>
      <c r="F244" t="inlineStr">
        <is>
          <t>ÖREBRO LÄN</t>
        </is>
      </c>
      <c r="G244" t="inlineStr">
        <is>
          <t>DEGERFORS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964-2025</t>
        </is>
      </c>
      <c r="B245" t="inlineStr">
        <is>
          <t>samrådsanmälan</t>
        </is>
      </c>
      <c r="C245" t="inlineStr">
        <is>
          <t>Annan skogsbruksåtgärd</t>
        </is>
      </c>
      <c r="D245" s="1" t="n">
        <v>45742</v>
      </c>
      <c r="E245" s="1" t="n">
        <v>46288</v>
      </c>
      <c r="F245" t="inlineStr">
        <is>
          <t>ÖREBRO LÄN</t>
        </is>
      </c>
      <c r="G245" t="inlineStr">
        <is>
          <t>DEGERFORS</t>
        </is>
      </c>
      <c r="H245" t="inlineStr">
        <is>
          <t>Sveaskog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>
      <c r="A246" t="inlineStr">
        <is>
          <t>S 2595-2025</t>
        </is>
      </c>
      <c r="B246" t="inlineStr">
        <is>
          <t>samrådsanmälan</t>
        </is>
      </c>
      <c r="C246" t="inlineStr">
        <is>
          <t>Annan skogsbruksåtgärd</t>
        </is>
      </c>
      <c r="D246" s="1" t="n">
        <v>45916</v>
      </c>
      <c r="E246" s="1" t="n">
        <v>46288</v>
      </c>
      <c r="F246" t="inlineStr">
        <is>
          <t>ÖREBRO LÄN</t>
        </is>
      </c>
      <c r="G246" t="inlineStr">
        <is>
          <t>DEGERFORS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2026-09-23T01:52:45Z</dcterms:created>
  <dcterms:modified xmlns:dcterms="http://purl.org/dc/terms/" xmlns:xsi="http://www.w3.org/2001/XMLSchema-instance" xsi:type="dcterms:W3CDTF">2026-09-23T01:52:46Z</dcterms:modified>
</cp:coreProperties>
</file>