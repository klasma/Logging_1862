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46241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46241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46241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46241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23008-2026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46161</v>
      </c>
      <c r="E6" s="1" t="n">
        <v>46241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2.4</v>
      </c>
      <c r="J6" t="n">
        <v>7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t="n">
        <v>11</v>
      </c>
      <c r="V6" s="2" t="inlineStr">
        <is>
          <t>Björktrast
Duvhök
Talltita
Vedskivlav
Brandticka
Nattskärra
Spillkråka
Tjäder
Tofsmes</t>
        </is>
      </c>
      <c r="W6">
        <f>HYPERLINK("https://klasma.github.io/Logging_1862/artfynd/A 23008-2026 artfynd.xlsx", "A 23008-2026")</f>
        <v/>
      </c>
      <c r="X6">
        <f>HYPERLINK("https://klasma.github.io/Logging_1862/kartor/A 23008-2026 karta.png", "A 23008-2026")</f>
        <v/>
      </c>
      <c r="Y6">
        <f>HYPERLINK("https://klasma.github.io/Logging_1862/kartor_geotiff/A 23008-2026 georefererad karta.tif", "A 23008-2026")</f>
        <v/>
      </c>
      <c r="AA6">
        <f>HYPERLINK("https://klasma.github.io/Logging_1862/klagomål/A 23008-2026 FSC-klagomål.docx", "A 23008-2026")</f>
        <v/>
      </c>
      <c r="AB6">
        <f>HYPERLINK("https://klasma.github.io/Logging_1862/klagomålsmail/A 23008-2026 FSC-klagomål mail.docx", "A 23008-2026")</f>
        <v/>
      </c>
      <c r="AC6">
        <f>HYPERLINK("https://klasma.github.io/Logging_1862/tillsyn/A 23008-2026 tillsynsbegäran.docx", "A 23008-2026")</f>
        <v/>
      </c>
      <c r="AD6">
        <f>HYPERLINK("https://klasma.github.io/Logging_1862/tillsynsmail/A 23008-2026 tillsynsbegäran mail.docx", "A 23008-2026")</f>
        <v/>
      </c>
      <c r="AE6">
        <f>HYPERLINK("https://klasma.github.io/Logging_1862/fåglar/A 23008-2026 prioriterade fågelarter.docx", "A 23008-2026")</f>
        <v/>
      </c>
    </row>
    <row r="7" ht="15" customHeight="1">
      <c r="A7" t="inlineStr">
        <is>
          <t>A 25541-2023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45089</v>
      </c>
      <c r="E7" s="1" t="n">
        <v>46241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1.8</v>
      </c>
      <c r="J7" t="n">
        <v>2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9</v>
      </c>
      <c r="U7" t="n">
        <v>9</v>
      </c>
      <c r="V7" s="2" t="inlineStr">
        <is>
          <t>Gräddticka
Gransotdyna
Tretåig hackspett
Ullticka
Vedflikmossa
Brandticka
Vedticka
Spillkråka</t>
        </is>
      </c>
      <c r="W7">
        <f>HYPERLINK("https://klasma.github.io/Logging_1862/artfynd/A 25541-2023 artfynd.xlsx", "A 25541-2023")</f>
        <v/>
      </c>
      <c r="X7">
        <f>HYPERLINK("https://klasma.github.io/Logging_1862/kartor/A 25541-2023 karta.png", "A 25541-2023")</f>
        <v/>
      </c>
      <c r="Y7">
        <f>HYPERLINK("https://klasma.github.io/Logging_1862/kartor_geotiff/A 25541-2023 georefererad karta.tif", "A 25541-2023")</f>
        <v/>
      </c>
      <c r="AA7">
        <f>HYPERLINK("https://klasma.github.io/Logging_1862/klagomål/A 25541-2023 FSC-klagomål.docx", "A 25541-2023")</f>
        <v/>
      </c>
      <c r="AB7">
        <f>HYPERLINK("https://klasma.github.io/Logging_1862/klagomålsmail/A 25541-2023 FSC-klagomål mail.docx", "A 25541-2023")</f>
        <v/>
      </c>
      <c r="AC7">
        <f>HYPERLINK("https://klasma.github.io/Logging_1862/tillsyn/A 25541-2023 tillsynsbegäran.docx", "A 25541-2023")</f>
        <v/>
      </c>
      <c r="AD7">
        <f>HYPERLINK("https://klasma.github.io/Logging_1862/tillsynsmail/A 25541-2023 tillsynsbegäran mail.docx", "A 25541-2023")</f>
        <v/>
      </c>
      <c r="AE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46241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3.3</v>
      </c>
      <c r="J8" t="n">
        <v>6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19</v>
      </c>
      <c r="U8" t="n">
        <v>19</v>
      </c>
      <c r="V8" s="2" t="inlineStr">
        <is>
          <t>Tretåig hackspett
Grönpyrola
Thomsons trägnagare
Spillkråka
Tjäder
Gröngöling
Kungsfågel
Fläcknycklar</t>
        </is>
      </c>
      <c r="W8">
        <f>HYPERLINK("https://klasma.github.io/Logging_1862/artfynd/A 41519-2023 artfynd.xlsx", "A 41519-2023")</f>
        <v/>
      </c>
      <c r="X8">
        <f>HYPERLINK("https://klasma.github.io/Logging_1862/kartor/A 41519-2023 karta.png", "A 41519-2023")</f>
        <v/>
      </c>
      <c r="Y8">
        <f>HYPERLINK("https://klasma.github.io/Logging_1862/kartor_geotiff/A 41519-2023 georefererad karta.tif", "A 41519-2023")</f>
        <v/>
      </c>
      <c r="AA8">
        <f>HYPERLINK("https://klasma.github.io/Logging_1862/klagomål/A 41519-2023 FSC-klagomål.docx", "A 41519-2023")</f>
        <v/>
      </c>
      <c r="AB8">
        <f>HYPERLINK("https://klasma.github.io/Logging_1862/klagomålsmail/A 41519-2023 FSC-klagomål mail.docx", "A 41519-2023")</f>
        <v/>
      </c>
      <c r="AC8">
        <f>HYPERLINK("https://klasma.github.io/Logging_1862/tillsyn/A 41519-2023 tillsynsbegäran.docx", "A 41519-2023")</f>
        <v/>
      </c>
      <c r="AD8">
        <f>HYPERLINK("https://klasma.github.io/Logging_1862/tillsynsmail/A 41519-2023 tillsynsbegäran mail.docx", "A 41519-2023")</f>
        <v/>
      </c>
      <c r="AE8">
        <f>HYPERLINK("https://klasma.github.io/Logging_1862/fåglar/A 41519-2023 prioriterade fågelarter.docx", "A 41519-2023")</f>
        <v/>
      </c>
    </row>
    <row r="9" ht="15" customHeight="1">
      <c r="A9" t="inlineStr">
        <is>
          <t>A 22868-2026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46160</v>
      </c>
      <c r="E9" s="1" t="n">
        <v>46241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7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11</v>
      </c>
      <c r="U9" t="n">
        <v>11</v>
      </c>
      <c r="V9" s="2" t="inlineStr">
        <is>
          <t>Björktrast
Nordfladdermus
Talltita
Grönpyrola
Nattskärra
Spillkråka
Tjäder
Tofsmes</t>
        </is>
      </c>
      <c r="W9">
        <f>HYPERLINK("https://klasma.github.io/Logging_1862/artfynd/A 22868-2026 artfynd.xlsx", "A 22868-2026")</f>
        <v/>
      </c>
      <c r="X9">
        <f>HYPERLINK("https://klasma.github.io/Logging_1862/kartor/A 22868-2026 karta.png", "A 22868-2026")</f>
        <v/>
      </c>
      <c r="Y9">
        <f>HYPERLINK("https://klasma.github.io/Logging_1862/kartor_geotiff/A 22868-2026 georefererad karta.tif", "A 22868-2026")</f>
        <v/>
      </c>
      <c r="AA9">
        <f>HYPERLINK("https://klasma.github.io/Logging_1862/klagomål/A 22868-2026 FSC-klagomål.docx", "A 22868-2026")</f>
        <v/>
      </c>
      <c r="AB9">
        <f>HYPERLINK("https://klasma.github.io/Logging_1862/klagomålsmail/A 22868-2026 FSC-klagomål mail.docx", "A 22868-2026")</f>
        <v/>
      </c>
      <c r="AC9">
        <f>HYPERLINK("https://klasma.github.io/Logging_1862/tillsyn/A 22868-2026 tillsynsbegäran.docx", "A 22868-2026")</f>
        <v/>
      </c>
      <c r="AD9">
        <f>HYPERLINK("https://klasma.github.io/Logging_1862/tillsynsmail/A 22868-2026 tillsynsbegäran mail.docx", "A 22868-2026")</f>
        <v/>
      </c>
      <c r="AE9">
        <f>HYPERLINK("https://klasma.github.io/Logging_1862/fåglar/A 22868-2026 prioriterade fågelarter.docx", "A 22868-2026")</f>
        <v/>
      </c>
    </row>
    <row r="10" ht="15" customHeight="1">
      <c r="A10" t="inlineStr">
        <is>
          <t>A 12721-2024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46241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3.5</v>
      </c>
      <c r="J10" t="n">
        <v>4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Kolflarnlav
Tretåig hackspett
Vaddporing
Flagellkvastmossa
Spillkråka
Tjäder
Fläcknycklar</t>
        </is>
      </c>
      <c r="W10">
        <f>HYPERLINK("https://klasma.github.io/Logging_1862/artfynd/A 12721-2024 artfynd.xlsx", "A 12721-2024")</f>
        <v/>
      </c>
      <c r="X10">
        <f>HYPERLINK("https://klasma.github.io/Logging_1862/kartor/A 12721-2024 karta.png", "A 12721-2024")</f>
        <v/>
      </c>
      <c r="Y10">
        <f>HYPERLINK("https://klasma.github.io/Logging_1862/kartor_geotiff/A 12721-2024 georefererad karta.tif", "A 12721-2024")</f>
        <v/>
      </c>
      <c r="AA10">
        <f>HYPERLINK("https://klasma.github.io/Logging_1862/klagomål/A 12721-2024 FSC-klagomål.docx", "A 12721-2024")</f>
        <v/>
      </c>
      <c r="AB10">
        <f>HYPERLINK("https://klasma.github.io/Logging_1862/klagomålsmail/A 12721-2024 FSC-klagomål mail.docx", "A 12721-2024")</f>
        <v/>
      </c>
      <c r="AC10">
        <f>HYPERLINK("https://klasma.github.io/Logging_1862/tillsyn/A 12721-2024 tillsynsbegäran.docx", "A 12721-2024")</f>
        <v/>
      </c>
      <c r="AD10">
        <f>HYPERLINK("https://klasma.github.io/Logging_1862/tillsynsmail/A 12721-2024 tillsynsbegäran mail.docx", "A 12721-2024")</f>
        <v/>
      </c>
      <c r="AE10">
        <f>HYPERLINK("https://klasma.github.io/Logging_1862/fåglar/A 12721-2024 prioriterade fågelarter.docx", "A 12721-2024")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46241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4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21</v>
      </c>
      <c r="U11" t="n">
        <v>20</v>
      </c>
      <c r="V11" s="2" t="inlineStr">
        <is>
          <t>Jungfrulin
Motaggsvamp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27668-2026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46190</v>
      </c>
      <c r="E12" s="1" t="n">
        <v>46241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2.3</v>
      </c>
      <c r="J12" t="n">
        <v>6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24</v>
      </c>
      <c r="U12" t="n">
        <v>24</v>
      </c>
      <c r="V12" s="2" t="inlineStr">
        <is>
          <t>Tretåig hackspett
Grönpyrola
Mattlummer
Spillkråka
Tjäder
Vanlig snok
Revlummer</t>
        </is>
      </c>
      <c r="W12">
        <f>HYPERLINK("https://klasma.github.io/Logging_1862/artfynd/A 27668-2026 artfynd.xlsx", "A 27668-2026")</f>
        <v/>
      </c>
      <c r="X12">
        <f>HYPERLINK("https://klasma.github.io/Logging_1862/kartor/A 27668-2026 karta.png", "A 27668-2026")</f>
        <v/>
      </c>
      <c r="Y12">
        <f>HYPERLINK("https://klasma.github.io/Logging_1862/kartor_geotiff/A 27668-2026 georefererad karta.tif", "A 27668-2026")</f>
        <v/>
      </c>
      <c r="AA12">
        <f>HYPERLINK("https://klasma.github.io/Logging_1862/klagomål/A 27668-2026 FSC-klagomål.docx", "A 27668-2026")</f>
        <v/>
      </c>
      <c r="AB12">
        <f>HYPERLINK("https://klasma.github.io/Logging_1862/klagomålsmail/A 27668-2026 FSC-klagomål mail.docx", "A 27668-2026")</f>
        <v/>
      </c>
      <c r="AC12">
        <f>HYPERLINK("https://klasma.github.io/Logging_1862/tillsyn/A 27668-2026 tillsynsbegäran.docx", "A 27668-2026")</f>
        <v/>
      </c>
      <c r="AD12">
        <f>HYPERLINK("https://klasma.github.io/Logging_1862/tillsynsmail/A 27668-2026 tillsynsbegäran mail.docx", "A 27668-2026")</f>
        <v/>
      </c>
      <c r="AE12">
        <f>HYPERLINK("https://klasma.github.io/Logging_1862/fåglar/A 27668-2026 prioriterade fågelarter.docx", "A 27668-2026")</f>
        <v/>
      </c>
    </row>
    <row r="13" ht="15" customHeight="1">
      <c r="A13" t="inlineStr">
        <is>
          <t>A 73321-2021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44550</v>
      </c>
      <c r="E13" s="1" t="n">
        <v>46241</v>
      </c>
      <c r="F13" t="inlineStr">
        <is>
          <t>ÖREBRO LÄN</t>
        </is>
      </c>
      <c r="G13" t="inlineStr">
        <is>
          <t>DEGERFORS</t>
        </is>
      </c>
      <c r="I13" t="n">
        <v>17</v>
      </c>
      <c r="J13" t="n">
        <v>3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8</v>
      </c>
      <c r="U13" t="n">
        <v>8</v>
      </c>
      <c r="V13" s="2" t="inlineStr">
        <is>
          <t>Knärot
Grynig filtlav
Gulsparv
Rynkskinn
Vedticka
Spillkråka</t>
        </is>
      </c>
      <c r="W13">
        <f>HYPERLINK("https://klasma.github.io/Logging_1862/artfynd/A 73321-2021 artfynd.xlsx", "A 73321-2021")</f>
        <v/>
      </c>
      <c r="X13">
        <f>HYPERLINK("https://klasma.github.io/Logging_1862/kartor/A 73321-2021 karta.png", "A 73321-2021")</f>
        <v/>
      </c>
      <c r="Y13">
        <f>HYPERLINK("https://klasma.github.io/Logging_1862/kartor_geotiff/A 73321-2021 georefererad karta.tif", "A 73321-2021")</f>
        <v/>
      </c>
      <c r="Z13">
        <f>HYPERLINK("https://klasma.github.io/Logging_1862/knärot/A 73321-2021 karta knärot.png", "A 73321-2021")</f>
        <v/>
      </c>
      <c r="AA13">
        <f>HYPERLINK("https://klasma.github.io/Logging_1862/klagomål/A 73321-2021 FSC-klagomål.docx", "A 73321-2021")</f>
        <v/>
      </c>
      <c r="AB13">
        <f>HYPERLINK("https://klasma.github.io/Logging_1862/klagomålsmail/A 73321-2021 FSC-klagomål mail.docx", "A 73321-2021")</f>
        <v/>
      </c>
      <c r="AC13">
        <f>HYPERLINK("https://klasma.github.io/Logging_1862/tillsyn/A 73321-2021 tillsynsbegäran.docx", "A 73321-2021")</f>
        <v/>
      </c>
      <c r="AD13">
        <f>HYPERLINK("https://klasma.github.io/Logging_1862/tillsynsmail/A 73321-2021 tillsynsbegäran mail.docx", "A 73321-2021")</f>
        <v/>
      </c>
      <c r="AE13">
        <f>HYPERLINK("https://klasma.github.io/Logging_1862/fåglar/A 73321-2021 prioriterade fågelarter.docx", "A 73321-2021")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46241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29553-2026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46204</v>
      </c>
      <c r="E15" s="1" t="n">
        <v>46241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6.5</v>
      </c>
      <c r="J15" t="n">
        <v>2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6</v>
      </c>
      <c r="U15" t="n">
        <v>2</v>
      </c>
      <c r="V15" s="2" t="inlineStr">
        <is>
          <t>Garnlav
Skuggblåslav
Talltita
Ullticka
Vedskivlav
Tofsmes</t>
        </is>
      </c>
      <c r="W15">
        <f>HYPERLINK("https://klasma.github.io/Logging_1862/artfynd/A 29553-2026 artfynd.xlsx", "A 29553-2026")</f>
        <v/>
      </c>
      <c r="X15">
        <f>HYPERLINK("https://klasma.github.io/Logging_1862/kartor/A 29553-2026 karta.png", "A 29553-2026")</f>
        <v/>
      </c>
      <c r="Y15">
        <f>HYPERLINK("https://klasma.github.io/Logging_1862/kartor_geotiff/A 29553-2026 georefererad karta.tif", "A 29553-2026")</f>
        <v/>
      </c>
      <c r="AA15">
        <f>HYPERLINK("https://klasma.github.io/Logging_1862/klagomål/A 29553-2026 FSC-klagomål.docx", "A 29553-2026")</f>
        <v/>
      </c>
      <c r="AB15">
        <f>HYPERLINK("https://klasma.github.io/Logging_1862/klagomålsmail/A 29553-2026 FSC-klagomål mail.docx", "A 29553-2026")</f>
        <v/>
      </c>
      <c r="AC15">
        <f>HYPERLINK("https://klasma.github.io/Logging_1862/tillsyn/A 29553-2026 tillsynsbegäran.docx", "A 29553-2026")</f>
        <v/>
      </c>
      <c r="AD15">
        <f>HYPERLINK("https://klasma.github.io/Logging_1862/tillsynsmail/A 29553-2026 tillsynsbegäran mail.docx", "A 29553-2026")</f>
        <v/>
      </c>
      <c r="AE15">
        <f>HYPERLINK("https://klasma.github.io/Logging_1862/fåglar/A 29553-2026 prioriterade fågelarter.docx", "A 29553-2026")</f>
        <v/>
      </c>
    </row>
    <row r="16" ht="15" customHeight="1">
      <c r="A16" t="inlineStr">
        <is>
          <t>A 27663-2026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46241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6.8</v>
      </c>
      <c r="J16" t="n">
        <v>5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15</v>
      </c>
      <c r="U16" t="n">
        <v>15</v>
      </c>
      <c r="V16" s="2" t="inlineStr">
        <is>
          <t>Tretåig hackspett
Thomsons trägnagare
Mattlummer
Spillkråka
Tjäder
Revlummer</t>
        </is>
      </c>
      <c r="W16">
        <f>HYPERLINK("https://klasma.github.io/Logging_1862/artfynd/A 27663-2026 artfynd.xlsx", "A 27663-2026")</f>
        <v/>
      </c>
      <c r="X16">
        <f>HYPERLINK("https://klasma.github.io/Logging_1862/kartor/A 27663-2026 karta.png", "A 27663-2026")</f>
        <v/>
      </c>
      <c r="Y16">
        <f>HYPERLINK("https://klasma.github.io/Logging_1862/kartor_geotiff/A 27663-2026 georefererad karta.tif", "A 27663-2026")</f>
        <v/>
      </c>
      <c r="AA16">
        <f>HYPERLINK("https://klasma.github.io/Logging_1862/klagomål/A 27663-2026 FSC-klagomål.docx", "A 27663-2026")</f>
        <v/>
      </c>
      <c r="AB16">
        <f>HYPERLINK("https://klasma.github.io/Logging_1862/klagomålsmail/A 27663-2026 FSC-klagomål mail.docx", "A 27663-2026")</f>
        <v/>
      </c>
      <c r="AC16">
        <f>HYPERLINK("https://klasma.github.io/Logging_1862/tillsyn/A 27663-2026 tillsynsbegäran.docx", "A 27663-2026")</f>
        <v/>
      </c>
      <c r="AD16">
        <f>HYPERLINK("https://klasma.github.io/Logging_1862/tillsynsmail/A 27663-2026 tillsynsbegäran mail.docx", "A 27663-2026")</f>
        <v/>
      </c>
      <c r="AE16">
        <f>HYPERLINK("https://klasma.github.io/Logging_1862/fåglar/A 27663-2026 prioriterade fågelarter.docx", "A 27663-2026")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46241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46241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46241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46241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46241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46241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46241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46241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46241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46241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46241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46241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28976-2026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46199</v>
      </c>
      <c r="E29" s="1" t="n">
        <v>46241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2.3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Orange taggsvamp
Talltita</t>
        </is>
      </c>
      <c r="W29">
        <f>HYPERLINK("https://klasma.github.io/Logging_1862/artfynd/A 28976-2026 artfynd.xlsx", "A 28976-2026")</f>
        <v/>
      </c>
      <c r="X29">
        <f>HYPERLINK("https://klasma.github.io/Logging_1862/kartor/A 28976-2026 karta.png", "A 28976-2026")</f>
        <v/>
      </c>
      <c r="Y29">
        <f>HYPERLINK("https://klasma.github.io/Logging_1862/kartor_geotiff/A 28976-2026 georefererad karta.tif", "A 28976-2026")</f>
        <v/>
      </c>
      <c r="AA29">
        <f>HYPERLINK("https://klasma.github.io/Logging_1862/klagomål/A 28976-2026 FSC-klagomål.docx", "A 28976-2026")</f>
        <v/>
      </c>
      <c r="AB29">
        <f>HYPERLINK("https://klasma.github.io/Logging_1862/klagomålsmail/A 28976-2026 FSC-klagomål mail.docx", "A 28976-2026")</f>
        <v/>
      </c>
      <c r="AC29">
        <f>HYPERLINK("https://klasma.github.io/Logging_1862/tillsyn/A 28976-2026 tillsynsbegäran.docx", "A 28976-2026")</f>
        <v/>
      </c>
      <c r="AD29">
        <f>HYPERLINK("https://klasma.github.io/Logging_1862/tillsynsmail/A 28976-2026 tillsynsbegäran mail.docx", "A 28976-2026")</f>
        <v/>
      </c>
      <c r="AE29">
        <f>HYPERLINK("https://klasma.github.io/Logging_1862/fåglar/A 28976-2026 prioriterade fågelarter.docx", "A 28976-2026")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46241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46241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46241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38914-2023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46241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Tretåig hackspett
Tjäder</t>
        </is>
      </c>
      <c r="W33">
        <f>HYPERLINK("https://klasma.github.io/Logging_1862/artfynd/A 38914-2023 artfynd.xlsx", "A 38914-2023")</f>
        <v/>
      </c>
      <c r="X33">
        <f>HYPERLINK("https://klasma.github.io/Logging_1862/kartor/A 38914-2023 karta.png", "A 38914-2023")</f>
        <v/>
      </c>
      <c r="Y33">
        <f>HYPERLINK("https://klasma.github.io/Logging_1862/kartor_geotiff/A 38914-2023 georefererad karta.tif", "A 38914-2023")</f>
        <v/>
      </c>
      <c r="AA33">
        <f>HYPERLINK("https://klasma.github.io/Logging_1862/klagomål/A 38914-2023 FSC-klagomål.docx", "A 38914-2023")</f>
        <v/>
      </c>
      <c r="AB33">
        <f>HYPERLINK("https://klasma.github.io/Logging_1862/klagomålsmail/A 38914-2023 FSC-klagomål mail.docx", "A 38914-2023")</f>
        <v/>
      </c>
      <c r="AC33">
        <f>HYPERLINK("https://klasma.github.io/Logging_1862/tillsyn/A 38914-2023 tillsynsbegäran.docx", "A 38914-2023")</f>
        <v/>
      </c>
      <c r="AD33">
        <f>HYPERLINK("https://klasma.github.io/Logging_1862/tillsynsmail/A 38914-2023 tillsynsbegäran mail.docx", "A 38914-2023")</f>
        <v/>
      </c>
      <c r="AE33">
        <f>HYPERLINK("https://klasma.github.io/Logging_1862/fåglar/A 38914-2023 prioriterade fågelarter.docx", "A 38914-2023")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46241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46241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46241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46241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46241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48285-2023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45205</v>
      </c>
      <c r="E39" s="1" t="n">
        <v>46241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48285-2023 artfynd.xlsx", "A 48285-2023")</f>
        <v/>
      </c>
      <c r="X39">
        <f>HYPERLINK("https://klasma.github.io/Logging_1862/kartor/A 48285-2023 karta.png", "A 48285-2023")</f>
        <v/>
      </c>
      <c r="Y39">
        <f>HYPERLINK("https://klasma.github.io/Logging_1862/kartor_geotiff/A 48285-2023 georefererad karta.tif", "A 48285-2023")</f>
        <v/>
      </c>
      <c r="AA39">
        <f>HYPERLINK("https://klasma.github.io/Logging_1862/klagomål/A 48285-2023 FSC-klagomål.docx", "A 48285-2023")</f>
        <v/>
      </c>
      <c r="AB39">
        <f>HYPERLINK("https://klasma.github.io/Logging_1862/klagomålsmail/A 48285-2023 FSC-klagomål mail.docx", "A 48285-2023")</f>
        <v/>
      </c>
      <c r="AC39">
        <f>HYPERLINK("https://klasma.github.io/Logging_1862/tillsyn/A 48285-2023 tillsynsbegäran.docx", "A 48285-2023")</f>
        <v/>
      </c>
      <c r="AD39">
        <f>HYPERLINK("https://klasma.github.io/Logging_1862/tillsynsmail/A 48285-2023 tillsynsbegäran mail.docx", "A 48285-2023")</f>
        <v/>
      </c>
      <c r="AE39">
        <f>HYPERLINK("https://klasma.github.io/Logging_1862/fåglar/A 48285-2023 prioriterade fågelarter.docx", "A 48285-2023")</f>
        <v/>
      </c>
    </row>
    <row r="40" ht="15" customHeight="1">
      <c r="A40" t="inlineStr">
        <is>
          <t>A 49306-2025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45938</v>
      </c>
      <c r="E40" s="1" t="n">
        <v>46241</v>
      </c>
      <c r="F40" t="inlineStr">
        <is>
          <t>ÖREBRO LÄN</t>
        </is>
      </c>
      <c r="G40" t="inlineStr">
        <is>
          <t>DEGERFORS</t>
        </is>
      </c>
      <c r="I40" t="n">
        <v>5.8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HYPERLINK("https://klasma.github.io/Logging_1862/artfynd/A 49306-2025 artfynd.xlsx", "A 49306-2025")</f>
        <v/>
      </c>
      <c r="X40">
        <f>HYPERLINK("https://klasma.github.io/Logging_1862/kartor/A 49306-2025 karta.png", "A 49306-2025")</f>
        <v/>
      </c>
      <c r="Y40">
        <f>HYPERLINK("https://klasma.github.io/Logging_1862/kartor_geotiff/A 49306-2025 georefererad karta.tif", "A 49306-2025")</f>
        <v/>
      </c>
      <c r="AA40">
        <f>HYPERLINK("https://klasma.github.io/Logging_1862/klagomål/A 49306-2025 FSC-klagomål.docx", "A 49306-2025")</f>
        <v/>
      </c>
      <c r="AB40">
        <f>HYPERLINK("https://klasma.github.io/Logging_1862/klagomålsmail/A 49306-2025 FSC-klagomål mail.docx", "A 49306-2025")</f>
        <v/>
      </c>
      <c r="AC40">
        <f>HYPERLINK("https://klasma.github.io/Logging_1862/tillsyn/A 49306-2025 tillsynsbegäran.docx", "A 49306-2025")</f>
        <v/>
      </c>
      <c r="AD40">
        <f>HYPERLINK("https://klasma.github.io/Logging_1862/tillsynsmail/A 49306-2025 tillsynsbegäran mail.docx", "A 49306-2025")</f>
        <v/>
      </c>
    </row>
    <row r="41" ht="15" customHeight="1">
      <c r="A41" t="inlineStr">
        <is>
          <t>A 27093-2023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46241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5.9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27093-2023 artfynd.xlsx", "A 27093-2023")</f>
        <v/>
      </c>
      <c r="X41">
        <f>HYPERLINK("https://klasma.github.io/Logging_1862/kartor/A 27093-2023 karta.png", "A 27093-2023")</f>
        <v/>
      </c>
      <c r="Y41">
        <f>HYPERLINK("https://klasma.github.io/Logging_1862/kartor_geotiff/A 27093-2023 georefererad karta.tif", "A 27093-2023")</f>
        <v/>
      </c>
      <c r="AA41">
        <f>HYPERLINK("https://klasma.github.io/Logging_1862/klagomål/A 27093-2023 FSC-klagomål.docx", "A 27093-2023")</f>
        <v/>
      </c>
      <c r="AB41">
        <f>HYPERLINK("https://klasma.github.io/Logging_1862/klagomålsmail/A 27093-2023 FSC-klagomål mail.docx", "A 27093-2023")</f>
        <v/>
      </c>
      <c r="AC41">
        <f>HYPERLINK("https://klasma.github.io/Logging_1862/tillsyn/A 27093-2023 tillsynsbegäran.docx", "A 27093-2023")</f>
        <v/>
      </c>
      <c r="AD41">
        <f>HYPERLINK("https://klasma.github.io/Logging_1862/tillsynsmail/A 27093-2023 tillsynsbegäran mail.docx", "A 27093-2023")</f>
        <v/>
      </c>
      <c r="AE41">
        <f>HYPERLINK("https://klasma.github.io/Logging_1862/fåglar/A 27093-2023 prioriterade fågelarter.docx", "A 27093-2023")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46241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47941-2024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46241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Brunfläckig pärlemorfjäril</t>
        </is>
      </c>
      <c r="W43">
        <f>HYPERLINK("https://klasma.github.io/Logging_1862/artfynd/A 47941-2024 artfynd.xlsx", "A 47941-2024")</f>
        <v/>
      </c>
      <c r="X43">
        <f>HYPERLINK("https://klasma.github.io/Logging_1862/kartor/A 47941-2024 karta.png", "A 47941-2024")</f>
        <v/>
      </c>
      <c r="Y43">
        <f>HYPERLINK("https://klasma.github.io/Logging_1862/kartor_geotiff/A 47941-2024 georefererad karta.tif", "A 47941-2024")</f>
        <v/>
      </c>
      <c r="AA43">
        <f>HYPERLINK("https://klasma.github.io/Logging_1862/klagomål/A 47941-2024 FSC-klagomål.docx", "A 47941-2024")</f>
        <v/>
      </c>
      <c r="AB43">
        <f>HYPERLINK("https://klasma.github.io/Logging_1862/klagomålsmail/A 47941-2024 FSC-klagomål mail.docx", "A 47941-2024")</f>
        <v/>
      </c>
      <c r="AC43">
        <f>HYPERLINK("https://klasma.github.io/Logging_1862/tillsyn/A 47941-2024 tillsynsbegäran.docx", "A 47941-2024")</f>
        <v/>
      </c>
      <c r="AD43">
        <f>HYPERLINK("https://klasma.github.io/Logging_1862/tillsynsmail/A 47941-2024 tillsynsbegäran mail.docx", "A 47941-2024")</f>
        <v/>
      </c>
    </row>
    <row r="44" ht="15" customHeight="1">
      <c r="A44" t="inlineStr">
        <is>
          <t>A 38907-2023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46241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38907-2023 artfynd.xlsx", "A 38907-2023")</f>
        <v/>
      </c>
      <c r="X44">
        <f>HYPERLINK("https://klasma.github.io/Logging_1862/kartor/A 38907-2023 karta.png", "A 38907-2023")</f>
        <v/>
      </c>
      <c r="Y44">
        <f>HYPERLINK("https://klasma.github.io/Logging_1862/kartor_geotiff/A 38907-2023 georefererad karta.tif", "A 38907-2023")</f>
        <v/>
      </c>
      <c r="AA44">
        <f>HYPERLINK("https://klasma.github.io/Logging_1862/klagomål/A 38907-2023 FSC-klagomål.docx", "A 38907-2023")</f>
        <v/>
      </c>
      <c r="AB44">
        <f>HYPERLINK("https://klasma.github.io/Logging_1862/klagomålsmail/A 38907-2023 FSC-klagomål mail.docx", "A 38907-2023")</f>
        <v/>
      </c>
      <c r="AC44">
        <f>HYPERLINK("https://klasma.github.io/Logging_1862/tillsyn/A 38907-2023 tillsynsbegäran.docx", "A 38907-2023")</f>
        <v/>
      </c>
      <c r="AD44">
        <f>HYPERLINK("https://klasma.github.io/Logging_1862/tillsynsmail/A 38907-2023 tillsynsbegäran mail.docx", "A 38907-2023")</f>
        <v/>
      </c>
      <c r="AE44">
        <f>HYPERLINK("https://klasma.github.io/Logging_1862/fåglar/A 38907-2023 prioriterade fågelarter.docx", "A 38907-2023")</f>
        <v/>
      </c>
    </row>
    <row r="45" ht="15" customHeight="1">
      <c r="A45" t="inlineStr">
        <is>
          <t>A 14121-2022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44651</v>
      </c>
      <c r="E45" s="1" t="n">
        <v>46241</v>
      </c>
      <c r="F45" t="inlineStr">
        <is>
          <t>ÖREBRO LÄN</t>
        </is>
      </c>
      <c r="G45" t="inlineStr">
        <is>
          <t>DEGERFORS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Hårklomossa</t>
        </is>
      </c>
      <c r="W45">
        <f>HYPERLINK("https://klasma.github.io/Logging_1862/artfynd/A 14121-2022 artfynd.xlsx", "A 14121-2022")</f>
        <v/>
      </c>
      <c r="X45">
        <f>HYPERLINK("https://klasma.github.io/Logging_1862/kartor/A 14121-2022 karta.png", "A 14121-2022")</f>
        <v/>
      </c>
      <c r="Y45">
        <f>HYPERLINK("https://klasma.github.io/Logging_1862/kartor_geotiff/A 14121-2022 georefererad karta.tif", "A 14121-2022")</f>
        <v/>
      </c>
      <c r="AA45">
        <f>HYPERLINK("https://klasma.github.io/Logging_1862/klagomål/A 14121-2022 FSC-klagomål.docx", "A 14121-2022")</f>
        <v/>
      </c>
      <c r="AB45">
        <f>HYPERLINK("https://klasma.github.io/Logging_1862/klagomålsmail/A 14121-2022 FSC-klagomål mail.docx", "A 14121-2022")</f>
        <v/>
      </c>
      <c r="AC45">
        <f>HYPERLINK("https://klasma.github.io/Logging_1862/tillsyn/A 14121-2022 tillsynsbegäran.docx", "A 14121-2022")</f>
        <v/>
      </c>
      <c r="AD45">
        <f>HYPERLINK("https://klasma.github.io/Logging_1862/tillsynsmail/A 14121-2022 tillsynsbegäran mail.docx", "A 14121-2022")</f>
        <v/>
      </c>
    </row>
    <row r="46" ht="15" customHeight="1">
      <c r="A46" t="inlineStr">
        <is>
          <t>A 33297-2023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45116</v>
      </c>
      <c r="E46" s="1" t="n">
        <v>46241</v>
      </c>
      <c r="F46" t="inlineStr">
        <is>
          <t>ÖREBRO LÄN</t>
        </is>
      </c>
      <c r="G46" t="inlineStr">
        <is>
          <t>DEGERFORS</t>
        </is>
      </c>
      <c r="I46" t="n">
        <v>7.2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HYPERLINK("https://klasma.github.io/Logging_1862/artfynd/A 33297-2023 artfynd.xlsx", "A 33297-2023")</f>
        <v/>
      </c>
      <c r="X46">
        <f>HYPERLINK("https://klasma.github.io/Logging_1862/kartor/A 33297-2023 karta.png", "A 33297-2023")</f>
        <v/>
      </c>
      <c r="Y46">
        <f>HYPERLINK("https://klasma.github.io/Logging_1862/kartor_geotiff/A 33297-2023 georefererad karta.tif", "A 33297-2023")</f>
        <v/>
      </c>
      <c r="AA46">
        <f>HYPERLINK("https://klasma.github.io/Logging_1862/klagomål/A 33297-2023 FSC-klagomål.docx", "A 33297-2023")</f>
        <v/>
      </c>
      <c r="AB46">
        <f>HYPERLINK("https://klasma.github.io/Logging_1862/klagomålsmail/A 33297-2023 FSC-klagomål mail.docx", "A 33297-2023")</f>
        <v/>
      </c>
      <c r="AC46">
        <f>HYPERLINK("https://klasma.github.io/Logging_1862/tillsyn/A 33297-2023 tillsynsbegäran.docx", "A 33297-2023")</f>
        <v/>
      </c>
      <c r="AD46">
        <f>HYPERLINK("https://klasma.github.io/Logging_1862/tillsynsmail/A 33297-2023 tillsynsbegäran mail.docx", "A 33297-2023")</f>
        <v/>
      </c>
    </row>
    <row r="47" ht="15" customHeight="1">
      <c r="A47" t="inlineStr">
        <is>
          <t>A 14177-2026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46241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Motaggsvamp</t>
        </is>
      </c>
      <c r="W47">
        <f>HYPERLINK("https://klasma.github.io/Logging_1862/artfynd/A 14177-2026 artfynd.xlsx", "A 14177-2026")</f>
        <v/>
      </c>
      <c r="X47">
        <f>HYPERLINK("https://klasma.github.io/Logging_1862/kartor/A 14177-2026 karta.png", "A 14177-2026")</f>
        <v/>
      </c>
      <c r="Y47">
        <f>HYPERLINK("https://klasma.github.io/Logging_1862/kartor_geotiff/A 14177-2026 georefererad karta.tif", "A 14177-2026")</f>
        <v/>
      </c>
      <c r="AA47">
        <f>HYPERLINK("https://klasma.github.io/Logging_1862/klagomål/A 14177-2026 FSC-klagomål.docx", "A 14177-2026")</f>
        <v/>
      </c>
      <c r="AB47">
        <f>HYPERLINK("https://klasma.github.io/Logging_1862/klagomålsmail/A 14177-2026 FSC-klagomål mail.docx", "A 14177-2026")</f>
        <v/>
      </c>
      <c r="AC47">
        <f>HYPERLINK("https://klasma.github.io/Logging_1862/tillsyn/A 14177-2026 tillsynsbegäran.docx", "A 14177-2026")</f>
        <v/>
      </c>
      <c r="AD47">
        <f>HYPERLINK("https://klasma.github.io/Logging_1862/tillsynsmail/A 14177-2026 tillsynsbegäran mail.docx", "A 14177-2026")</f>
        <v/>
      </c>
    </row>
    <row r="48" ht="15" customHeight="1">
      <c r="A48" t="inlineStr">
        <is>
          <t>A 27071-2026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46241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HYPERLINK("https://klasma.github.io/Logging_1862/artfynd/A 27071-2026 artfynd.xlsx", "A 27071-2026")</f>
        <v/>
      </c>
      <c r="X48">
        <f>HYPERLINK("https://klasma.github.io/Logging_1862/kartor/A 27071-2026 karta.png", "A 27071-2026")</f>
        <v/>
      </c>
      <c r="Y48">
        <f>HYPERLINK("https://klasma.github.io/Logging_1862/kartor_geotiff/A 27071-2026 georefererad karta.tif", "A 27071-2026")</f>
        <v/>
      </c>
      <c r="AA48">
        <f>HYPERLINK("https://klasma.github.io/Logging_1862/klagomål/A 27071-2026 FSC-klagomål.docx", "A 27071-2026")</f>
        <v/>
      </c>
      <c r="AB48">
        <f>HYPERLINK("https://klasma.github.io/Logging_1862/klagomålsmail/A 27071-2026 FSC-klagomål mail.docx", "A 27071-2026")</f>
        <v/>
      </c>
      <c r="AC48">
        <f>HYPERLINK("https://klasma.github.io/Logging_1862/tillsyn/A 27071-2026 tillsynsbegäran.docx", "A 27071-2026")</f>
        <v/>
      </c>
      <c r="AD48">
        <f>HYPERLINK("https://klasma.github.io/Logging_1862/tillsynsmail/A 27071-2026 tillsynsbegäran mail.docx", "A 27071-2026")</f>
        <v/>
      </c>
    </row>
    <row r="49" ht="15" customHeight="1">
      <c r="A49" t="inlineStr">
        <is>
          <t>A 26971-2026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46241</v>
      </c>
      <c r="F49" t="inlineStr">
        <is>
          <t>ÖREBRO LÄN</t>
        </is>
      </c>
      <c r="G49" t="inlineStr">
        <is>
          <t>DEGERFORS</t>
        </is>
      </c>
      <c r="I49" t="n">
        <v>2.1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Stuplav</t>
        </is>
      </c>
      <c r="W49">
        <f>HYPERLINK("https://klasma.github.io/Logging_1862/artfynd/A 26971-2026 artfynd.xlsx", "A 26971-2026")</f>
        <v/>
      </c>
      <c r="X49">
        <f>HYPERLINK("https://klasma.github.io/Logging_1862/kartor/A 26971-2026 karta.png", "A 26971-2026")</f>
        <v/>
      </c>
      <c r="Y49">
        <f>HYPERLINK("https://klasma.github.io/Logging_1862/kartor_geotiff/A 26971-2026 georefererad karta.tif", "A 26971-2026")</f>
        <v/>
      </c>
      <c r="AA49">
        <f>HYPERLINK("https://klasma.github.io/Logging_1862/klagomål/A 26971-2026 FSC-klagomål.docx", "A 26971-2026")</f>
        <v/>
      </c>
      <c r="AB49">
        <f>HYPERLINK("https://klasma.github.io/Logging_1862/klagomålsmail/A 26971-2026 FSC-klagomål mail.docx", "A 26971-2026")</f>
        <v/>
      </c>
      <c r="AC49">
        <f>HYPERLINK("https://klasma.github.io/Logging_1862/tillsyn/A 26971-2026 tillsynsbegäran.docx", "A 26971-2026")</f>
        <v/>
      </c>
      <c r="AD49">
        <f>HYPERLINK("https://klasma.github.io/Logging_1862/tillsynsmail/A 26971-2026 tillsynsbegäran mail.docx", "A 26971-2026")</f>
        <v/>
      </c>
    </row>
    <row r="50" ht="15" customHeight="1">
      <c r="A50" t="inlineStr">
        <is>
          <t>A 27072-2026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46186</v>
      </c>
      <c r="E50" s="1" t="n">
        <v>46241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7.6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27072-2026 artfynd.xlsx", "A 27072-2026")</f>
        <v/>
      </c>
      <c r="X50">
        <f>HYPERLINK("https://klasma.github.io/Logging_1862/kartor/A 27072-2026 karta.png", "A 27072-2026")</f>
        <v/>
      </c>
      <c r="Y50">
        <f>HYPERLINK("https://klasma.github.io/Logging_1862/kartor_geotiff/A 27072-2026 georefererad karta.tif", "A 27072-2026")</f>
        <v/>
      </c>
      <c r="AA50">
        <f>HYPERLINK("https://klasma.github.io/Logging_1862/klagomål/A 27072-2026 FSC-klagomål.docx", "A 27072-2026")</f>
        <v/>
      </c>
      <c r="AB50">
        <f>HYPERLINK("https://klasma.github.io/Logging_1862/klagomålsmail/A 27072-2026 FSC-klagomål mail.docx", "A 27072-2026")</f>
        <v/>
      </c>
      <c r="AC50">
        <f>HYPERLINK("https://klasma.github.io/Logging_1862/tillsyn/A 27072-2026 tillsynsbegäran.docx", "A 27072-2026")</f>
        <v/>
      </c>
      <c r="AD50">
        <f>HYPERLINK("https://klasma.github.io/Logging_1862/tillsynsmail/A 27072-2026 tillsynsbegäran mail.docx", "A 27072-2026")</f>
        <v/>
      </c>
      <c r="AE50">
        <f>HYPERLINK("https://klasma.github.io/Logging_1862/fåglar/A 27072-2026 prioriterade fågelarter.docx", "A 27072-2026")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46241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46241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46241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46241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46241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46241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46241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46241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46241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46241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46241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46241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46241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46241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46241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46241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46241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46241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46241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46241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6394-2024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45338</v>
      </c>
      <c r="E71" s="1" t="n">
        <v>46241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45861-2023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45195</v>
      </c>
      <c r="E72" s="1" t="n">
        <v>46241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46241</v>
      </c>
      <c r="F73" t="inlineStr">
        <is>
          <t>ÖREBRO LÄN</t>
        </is>
      </c>
      <c r="G73" t="inlineStr">
        <is>
          <t>DEGERFORS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46241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45387</v>
      </c>
      <c r="E75" s="1" t="n">
        <v>46241</v>
      </c>
      <c r="F75" t="inlineStr">
        <is>
          <t>ÖREBRO LÄN</t>
        </is>
      </c>
      <c r="G75" t="inlineStr">
        <is>
          <t>DEGERFORS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46241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46241</v>
      </c>
      <c r="F77" t="inlineStr">
        <is>
          <t>ÖREBRO LÄN</t>
        </is>
      </c>
      <c r="G77" t="inlineStr">
        <is>
          <t>DEGERFORS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45601</v>
      </c>
      <c r="E78" s="1" t="n">
        <v>46241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46241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46241</v>
      </c>
      <c r="F80" t="inlineStr">
        <is>
          <t>ÖREBRO LÄN</t>
        </is>
      </c>
      <c r="G80" t="inlineStr">
        <is>
          <t>DEGERFORS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45338</v>
      </c>
      <c r="E81" s="1" t="n">
        <v>46241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59158-2022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44904</v>
      </c>
      <c r="E82" s="1" t="n">
        <v>46241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45330</v>
      </c>
      <c r="E83" s="1" t="n">
        <v>46241</v>
      </c>
      <c r="F83" t="inlineStr">
        <is>
          <t>ÖREBRO LÄN</t>
        </is>
      </c>
      <c r="G83" t="inlineStr">
        <is>
          <t>DEGERFORS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43768-2024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45569</v>
      </c>
      <c r="E84" s="1" t="n">
        <v>46241</v>
      </c>
      <c r="F84" t="inlineStr">
        <is>
          <t>ÖREBRO LÄN</t>
        </is>
      </c>
      <c r="G84" t="inlineStr">
        <is>
          <t>DEGERFORS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45589</v>
      </c>
      <c r="E85" s="1" t="n">
        <v>46241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21952-2024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45443</v>
      </c>
      <c r="E86" s="1" t="n">
        <v>46241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46241</v>
      </c>
      <c r="F87" t="inlineStr">
        <is>
          <t>ÖREBRO LÄN</t>
        </is>
      </c>
      <c r="G87" t="inlineStr">
        <is>
          <t>DEGERFORS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62972-2023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46241</v>
      </c>
      <c r="F88" t="inlineStr">
        <is>
          <t>ÖREBRO LÄN</t>
        </is>
      </c>
      <c r="G88" t="inlineStr">
        <is>
          <t>DEGERFORS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37333-2025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45876</v>
      </c>
      <c r="E89" s="1" t="n">
        <v>46241</v>
      </c>
      <c r="F89" t="inlineStr">
        <is>
          <t>ÖREBRO LÄN</t>
        </is>
      </c>
      <c r="G89" t="inlineStr">
        <is>
          <t>DEGERFORS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45876</v>
      </c>
      <c r="E90" s="1" t="n">
        <v>46241</v>
      </c>
      <c r="F90" t="inlineStr">
        <is>
          <t>ÖREBRO LÄN</t>
        </is>
      </c>
      <c r="G90" t="inlineStr">
        <is>
          <t>DEGERFORS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38874-2025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45887</v>
      </c>
      <c r="E91" s="1" t="n">
        <v>46241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46241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50377-2024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45601</v>
      </c>
      <c r="E93" s="1" t="n">
        <v>46241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46241</v>
      </c>
      <c r="F94" t="inlineStr">
        <is>
          <t>ÖREBRO LÄN</t>
        </is>
      </c>
      <c r="G94" t="inlineStr">
        <is>
          <t>DEGERFORS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46241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46241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18506-2026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46241</v>
      </c>
      <c r="F97" t="inlineStr">
        <is>
          <t>ÖREBRO LÄN</t>
        </is>
      </c>
      <c r="G97" t="inlineStr">
        <is>
          <t>DEGERFORS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11085-2023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46241</v>
      </c>
      <c r="F98" t="inlineStr">
        <is>
          <t>ÖREBRO LÄN</t>
        </is>
      </c>
      <c r="G98" t="inlineStr">
        <is>
          <t>DEGERFORS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50764-2024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45602</v>
      </c>
      <c r="E99" s="1" t="n">
        <v>46241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46241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46241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46241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19227-2026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46132</v>
      </c>
      <c r="E103" s="1" t="n">
        <v>46241</v>
      </c>
      <c r="F103" t="inlineStr">
        <is>
          <t>ÖREBRO LÄN</t>
        </is>
      </c>
      <c r="G103" t="inlineStr">
        <is>
          <t>DEGERFORS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18913-2026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46129</v>
      </c>
      <c r="E104" s="1" t="n">
        <v>46241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38921-2023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46241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63905-2021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44509</v>
      </c>
      <c r="E106" s="1" t="n">
        <v>46241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46241</v>
      </c>
      <c r="F107" t="inlineStr">
        <is>
          <t>ÖREBRO LÄN</t>
        </is>
      </c>
      <c r="G107" t="inlineStr">
        <is>
          <t>DEGERFORS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45912</v>
      </c>
      <c r="E108" s="1" t="n">
        <v>46241</v>
      </c>
      <c r="F108" t="inlineStr">
        <is>
          <t>ÖREBRO LÄN</t>
        </is>
      </c>
      <c r="G108" t="inlineStr">
        <is>
          <t>DEGERFORS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20476-2026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46241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20577-2023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45057</v>
      </c>
      <c r="E110" s="1" t="n">
        <v>46241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44989</v>
      </c>
      <c r="E111" s="1" t="n">
        <v>46241</v>
      </c>
      <c r="F111" t="inlineStr">
        <is>
          <t>ÖREBRO LÄN</t>
        </is>
      </c>
      <c r="G111" t="inlineStr">
        <is>
          <t>DEGERFORS</t>
        </is>
      </c>
      <c r="I111" t="n">
        <v>9.5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44839</v>
      </c>
      <c r="E112" s="1" t="n">
        <v>46241</v>
      </c>
      <c r="F112" t="inlineStr">
        <is>
          <t>ÖREBRO LÄN</t>
        </is>
      </c>
      <c r="G112" t="inlineStr">
        <is>
          <t>DEGERFORS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46241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46241</v>
      </c>
      <c r="F114" t="inlineStr">
        <is>
          <t>ÖREBRO LÄN</t>
        </is>
      </c>
      <c r="G114" t="inlineStr">
        <is>
          <t>DEGERFORS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46241</v>
      </c>
      <c r="F115" t="inlineStr">
        <is>
          <t>ÖREBRO LÄN</t>
        </is>
      </c>
      <c r="G115" t="inlineStr">
        <is>
          <t>DEGERFORS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54082-2024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45616</v>
      </c>
      <c r="E116" s="1" t="n">
        <v>46241</v>
      </c>
      <c r="F116" t="inlineStr">
        <is>
          <t>ÖREBRO LÄN</t>
        </is>
      </c>
      <c r="G116" t="inlineStr">
        <is>
          <t>DEGERFORS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20478-2026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46140</v>
      </c>
      <c r="E117" s="1" t="n">
        <v>46241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45735</v>
      </c>
      <c r="E118" s="1" t="n">
        <v>46241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18.5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46241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20567-2026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46140</v>
      </c>
      <c r="E120" s="1" t="n">
        <v>46241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20568-2026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46140</v>
      </c>
      <c r="E121" s="1" t="n">
        <v>46241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44986</v>
      </c>
      <c r="E122" s="1" t="n">
        <v>46241</v>
      </c>
      <c r="F122" t="inlineStr">
        <is>
          <t>ÖREBRO LÄN</t>
        </is>
      </c>
      <c r="G122" t="inlineStr">
        <is>
          <t>DEGERFORS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56478-2024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45624</v>
      </c>
      <c r="E123" s="1" t="n">
        <v>46241</v>
      </c>
      <c r="F123" t="inlineStr">
        <is>
          <t>ÖREBRO LÄN</t>
        </is>
      </c>
      <c r="G123" t="inlineStr">
        <is>
          <t>DEGERFORS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57086-2025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45979</v>
      </c>
      <c r="E124" s="1" t="n">
        <v>46241</v>
      </c>
      <c r="F124" t="inlineStr">
        <is>
          <t>ÖREBRO LÄN</t>
        </is>
      </c>
      <c r="G124" t="inlineStr">
        <is>
          <t>DEGERFORS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46241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61750-2021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44501</v>
      </c>
      <c r="E126" s="1" t="n">
        <v>46241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46148</v>
      </c>
      <c r="E127" s="1" t="n">
        <v>46241</v>
      </c>
      <c r="F127" t="inlineStr">
        <is>
          <t>ÖREBRO LÄN</t>
        </is>
      </c>
      <c r="G127" t="inlineStr">
        <is>
          <t>DEGERFORS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46148</v>
      </c>
      <c r="E128" s="1" t="n">
        <v>46241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21442-2026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46148</v>
      </c>
      <c r="E129" s="1" t="n">
        <v>46241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21401-2026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46241</v>
      </c>
      <c r="F130" t="inlineStr">
        <is>
          <t>ÖREBRO LÄN</t>
        </is>
      </c>
      <c r="G130" t="inlineStr">
        <is>
          <t>DEGERFORS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29607-2022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44754</v>
      </c>
      <c r="E131" s="1" t="n">
        <v>46241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45337</v>
      </c>
      <c r="E132" s="1" t="n">
        <v>46241</v>
      </c>
      <c r="F132" t="inlineStr">
        <is>
          <t>ÖREBRO LÄN</t>
        </is>
      </c>
      <c r="G132" t="inlineStr">
        <is>
          <t>DEGERFORS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45995</v>
      </c>
      <c r="E133" s="1" t="n">
        <v>46241</v>
      </c>
      <c r="F133" t="inlineStr">
        <is>
          <t>ÖREBRO LÄN</t>
        </is>
      </c>
      <c r="G133" t="inlineStr">
        <is>
          <t>DEGERFORS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21660-2026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46241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21663-2026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46241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21662-2026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46149</v>
      </c>
      <c r="E136" s="1" t="n">
        <v>46241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45996</v>
      </c>
      <c r="E137" s="1" t="n">
        <v>46241</v>
      </c>
      <c r="F137" t="inlineStr">
        <is>
          <t>ÖREBRO LÄN</t>
        </is>
      </c>
      <c r="G137" t="inlineStr">
        <is>
          <t>DEGERFORS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44841-2023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45190</v>
      </c>
      <c r="E138" s="1" t="n">
        <v>46241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46241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46241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33658-2024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45520</v>
      </c>
      <c r="E141" s="1" t="n">
        <v>46241</v>
      </c>
      <c r="F141" t="inlineStr">
        <is>
          <t>ÖREBRO LÄN</t>
        </is>
      </c>
      <c r="G141" t="inlineStr">
        <is>
          <t>DEGERFORS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38233-2023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45160</v>
      </c>
      <c r="E142" s="1" t="n">
        <v>46241</v>
      </c>
      <c r="F142" t="inlineStr">
        <is>
          <t>ÖREBRO LÄN</t>
        </is>
      </c>
      <c r="G142" t="inlineStr">
        <is>
          <t>DEGERFORS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45996</v>
      </c>
      <c r="E143" s="1" t="n">
        <v>46241</v>
      </c>
      <c r="F143" t="inlineStr">
        <is>
          <t>ÖREBRO LÄN</t>
        </is>
      </c>
      <c r="G143" t="inlineStr">
        <is>
          <t>DEGERFORS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46202</v>
      </c>
      <c r="E144" s="1" t="n">
        <v>46241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46202</v>
      </c>
      <c r="E145" s="1" t="n">
        <v>46241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45205</v>
      </c>
      <c r="E146" s="1" t="n">
        <v>46241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46241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50766-2024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45602</v>
      </c>
      <c r="E148" s="1" t="n">
        <v>46241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28930-2026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46199</v>
      </c>
      <c r="E149" s="1" t="n">
        <v>46241</v>
      </c>
      <c r="F149" t="inlineStr">
        <is>
          <t>ÖREBRO LÄN</t>
        </is>
      </c>
      <c r="G149" t="inlineStr">
        <is>
          <t>DEGERFORS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46241</v>
      </c>
      <c r="F150" t="inlineStr">
        <is>
          <t>ÖREBRO LÄN</t>
        </is>
      </c>
      <c r="G150" t="inlineStr">
        <is>
          <t>DEGERFORS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46241</v>
      </c>
      <c r="F151" t="inlineStr">
        <is>
          <t>ÖREBRO LÄN</t>
        </is>
      </c>
      <c r="G151" t="inlineStr">
        <is>
          <t>DEGERFORS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50208-2024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46241</v>
      </c>
      <c r="F152" t="inlineStr">
        <is>
          <t>ÖREBRO LÄN</t>
        </is>
      </c>
      <c r="G152" t="inlineStr">
        <is>
          <t>DEGERFORS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14678-2025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45742</v>
      </c>
      <c r="E153" s="1" t="n">
        <v>46241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23230-2026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46162</v>
      </c>
      <c r="E154" s="1" t="n">
        <v>46241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46241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46204</v>
      </c>
      <c r="E156" s="1" t="n">
        <v>46241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12143-2025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45729</v>
      </c>
      <c r="E157" s="1" t="n">
        <v>46241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45609</v>
      </c>
      <c r="E158" s="1" t="n">
        <v>46241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46241</v>
      </c>
      <c r="F159" t="inlineStr">
        <is>
          <t>ÖREBRO LÄN</t>
        </is>
      </c>
      <c r="G159" t="inlineStr">
        <is>
          <t>DEGERFORS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60937-2024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45645</v>
      </c>
      <c r="E160" s="1" t="n">
        <v>46241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45645</v>
      </c>
      <c r="E161" s="1" t="n">
        <v>46241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46167</v>
      </c>
      <c r="E162" s="1" t="n">
        <v>46241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45190</v>
      </c>
      <c r="E163" s="1" t="n">
        <v>46241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24462-2026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46241</v>
      </c>
      <c r="F164" t="inlineStr">
        <is>
          <t>ÖREBRO LÄN</t>
        </is>
      </c>
      <c r="G164" t="inlineStr">
        <is>
          <t>DEGERFORS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45222</v>
      </c>
      <c r="E165" s="1" t="n">
        <v>46241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24689-2026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46171</v>
      </c>
      <c r="E166" s="1" t="n">
        <v>46241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46170</v>
      </c>
      <c r="E167" s="1" t="n">
        <v>46241</v>
      </c>
      <c r="F167" t="inlineStr">
        <is>
          <t>ÖREBRO LÄN</t>
        </is>
      </c>
      <c r="G167" t="inlineStr">
        <is>
          <t>DEGERFORS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9273-2026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46241</v>
      </c>
      <c r="F168" t="inlineStr">
        <is>
          <t>ÖREBRO LÄN</t>
        </is>
      </c>
      <c r="G168" t="inlineStr">
        <is>
          <t>DEGERFORS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12159-2026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46086</v>
      </c>
      <c r="E169" s="1" t="n">
        <v>46241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45116</v>
      </c>
      <c r="E170" s="1" t="n">
        <v>46241</v>
      </c>
      <c r="F170" t="inlineStr">
        <is>
          <t>ÖREBRO LÄN</t>
        </is>
      </c>
      <c r="G170" t="inlineStr">
        <is>
          <t>DEGERFORS</t>
        </is>
      </c>
      <c r="I170" t="n">
        <v>17.2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12160-2026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46086</v>
      </c>
      <c r="E171" s="1" t="n">
        <v>46241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46241</v>
      </c>
      <c r="F172" t="inlineStr">
        <is>
          <t>ÖREBRO LÄN</t>
        </is>
      </c>
      <c r="G172" t="inlineStr">
        <is>
          <t>DEGERFORS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13039-2026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46093</v>
      </c>
      <c r="E173" s="1" t="n">
        <v>46241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46093</v>
      </c>
      <c r="E174" s="1" t="n">
        <v>46241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46241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8.800000000000001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13293-2026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46241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45351</v>
      </c>
      <c r="E177" s="1" t="n">
        <v>46241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45351</v>
      </c>
      <c r="E178" s="1" t="n">
        <v>46241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60907-2023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45261</v>
      </c>
      <c r="E179" s="1" t="n">
        <v>46241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32211-2022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44781</v>
      </c>
      <c r="E180" s="1" t="n">
        <v>46241</v>
      </c>
      <c r="F180" t="inlineStr">
        <is>
          <t>ÖREBRO LÄN</t>
        </is>
      </c>
      <c r="G180" t="inlineStr">
        <is>
          <t>DEGERFORS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26857-2026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46185</v>
      </c>
      <c r="E181" s="1" t="n">
        <v>46241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46185</v>
      </c>
      <c r="E182" s="1" t="n">
        <v>46241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46185</v>
      </c>
      <c r="E183" s="1" t="n">
        <v>46241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46230</v>
      </c>
      <c r="E184" s="1" t="n">
        <v>46241</v>
      </c>
      <c r="F184" t="inlineStr">
        <is>
          <t>ÖREBRO LÄN</t>
        </is>
      </c>
      <c r="G184" t="inlineStr">
        <is>
          <t>DEGERFORS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46231</v>
      </c>
      <c r="E185" s="1" t="n">
        <v>46241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31871-2026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46231</v>
      </c>
      <c r="E186" s="1" t="n">
        <v>46241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46189</v>
      </c>
      <c r="E187" s="1" t="n">
        <v>46241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46231</v>
      </c>
      <c r="E188" s="1" t="n">
        <v>46241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73693-2021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46241</v>
      </c>
      <c r="F189" t="inlineStr">
        <is>
          <t>ÖREBRO LÄN</t>
        </is>
      </c>
      <c r="G189" t="inlineStr">
        <is>
          <t>DEGERFORS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36437-2024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45535</v>
      </c>
      <c r="E190" s="1" t="n">
        <v>46241</v>
      </c>
      <c r="F190" t="inlineStr">
        <is>
          <t>ÖREBRO LÄN</t>
        </is>
      </c>
      <c r="G190" t="inlineStr">
        <is>
          <t>DEGERFORS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46191</v>
      </c>
      <c r="E191" s="1" t="n">
        <v>46241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27746-2026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46191</v>
      </c>
      <c r="E192" s="1" t="n">
        <v>46241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46195</v>
      </c>
      <c r="E193" s="1" t="n">
        <v>46241</v>
      </c>
      <c r="F193" t="inlineStr">
        <is>
          <t>ÖREBRO LÄN</t>
        </is>
      </c>
      <c r="G193" t="inlineStr">
        <is>
          <t>DEGERFORS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45365-2023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45192</v>
      </c>
      <c r="E194" s="1" t="n">
        <v>46241</v>
      </c>
      <c r="F194" t="inlineStr">
        <is>
          <t>ÖREBRO LÄN</t>
        </is>
      </c>
      <c r="G194" t="inlineStr">
        <is>
          <t>DEGERFORS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52131-2021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44463</v>
      </c>
      <c r="E195" s="1" t="n">
        <v>46241</v>
      </c>
      <c r="F195" t="inlineStr">
        <is>
          <t>ÖREBRO LÄN</t>
        </is>
      </c>
      <c r="G195" t="inlineStr">
        <is>
          <t>DEGERFORS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37672-2024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45541</v>
      </c>
      <c r="E196" s="1" t="n">
        <v>46241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28696-2026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46241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44735-2021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44438</v>
      </c>
      <c r="E198" s="1" t="n">
        <v>46241</v>
      </c>
      <c r="F198" t="inlineStr">
        <is>
          <t>ÖREBRO LÄN</t>
        </is>
      </c>
      <c r="G198" t="inlineStr">
        <is>
          <t>DEGERFORS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46239</v>
      </c>
      <c r="E199" s="1" t="n">
        <v>46241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28695-2026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46198</v>
      </c>
      <c r="E200" s="1" t="n">
        <v>46241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46239</v>
      </c>
      <c r="E201" s="1" t="n">
        <v>46241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28708-2026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46241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2565-2022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44579</v>
      </c>
      <c r="E203" s="1" t="n">
        <v>46241</v>
      </c>
      <c r="F203" t="inlineStr">
        <is>
          <t>ÖREBRO LÄN</t>
        </is>
      </c>
      <c r="G203" t="inlineStr">
        <is>
          <t>DEGERFORS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10674-2024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45369</v>
      </c>
      <c r="E204" s="1" t="n">
        <v>46241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18773-2025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46241</v>
      </c>
      <c r="F205" t="inlineStr">
        <is>
          <t>ÖREBRO LÄN</t>
        </is>
      </c>
      <c r="G205" t="inlineStr">
        <is>
          <t>DEGERFORS</t>
        </is>
      </c>
      <c r="I205" t="n">
        <v>13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45222</v>
      </c>
      <c r="E206" s="1" t="n">
        <v>46241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45376</v>
      </c>
      <c r="E207" s="1" t="n">
        <v>46241</v>
      </c>
      <c r="F207" t="inlineStr">
        <is>
          <t>ÖREBRO LÄN</t>
        </is>
      </c>
      <c r="G207" t="inlineStr">
        <is>
          <t>DEGERFORS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45621</v>
      </c>
      <c r="E208" s="1" t="n">
        <v>46241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8059-2024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45351</v>
      </c>
      <c r="E209" s="1" t="n">
        <v>46241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45233</v>
      </c>
      <c r="E210" s="1" t="n">
        <v>46241</v>
      </c>
      <c r="F210" t="inlineStr">
        <is>
          <t>ÖREBRO LÄN</t>
        </is>
      </c>
      <c r="G210" t="inlineStr">
        <is>
          <t>DEGERFORS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44816</v>
      </c>
      <c r="E211" s="1" t="n">
        <v>46241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45384</v>
      </c>
      <c r="E212" s="1" t="n">
        <v>46241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44986</v>
      </c>
      <c r="E213" s="1" t="n">
        <v>46241</v>
      </c>
      <c r="F213" t="inlineStr">
        <is>
          <t>ÖREBRO LÄN</t>
        </is>
      </c>
      <c r="G213" t="inlineStr">
        <is>
          <t>DEGERFORS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46241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46241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18831-2025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45764</v>
      </c>
      <c r="E216" s="1" t="n">
        <v>46241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46241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46241</v>
      </c>
      <c r="F218" t="inlineStr">
        <is>
          <t>ÖREBRO LÄN</t>
        </is>
      </c>
      <c r="G218" t="inlineStr">
        <is>
          <t>DEGERFORS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50102-2023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45215</v>
      </c>
      <c r="E219" s="1" t="n">
        <v>46241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45223</v>
      </c>
      <c r="E220" s="1" t="n">
        <v>46241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62982-2023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45272</v>
      </c>
      <c r="E221" s="1" t="n">
        <v>46241</v>
      </c>
      <c r="F221" t="inlineStr">
        <is>
          <t>ÖREBRO LÄN</t>
        </is>
      </c>
      <c r="G221" t="inlineStr">
        <is>
          <t>DEGERFORS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46241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45443</v>
      </c>
      <c r="E223" s="1" t="n">
        <v>46241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23460-2024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45453</v>
      </c>
      <c r="E224" s="1" t="n">
        <v>46241</v>
      </c>
      <c r="F224" t="inlineStr">
        <is>
          <t>ÖREBRO LÄN</t>
        </is>
      </c>
      <c r="G224" t="inlineStr">
        <is>
          <t>DEGERFORS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45330</v>
      </c>
      <c r="E225" s="1" t="n">
        <v>46241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46241</v>
      </c>
      <c r="F226" t="inlineStr">
        <is>
          <t>ÖREBRO LÄN</t>
        </is>
      </c>
      <c r="G226" t="inlineStr">
        <is>
          <t>DEGERFORS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45810</v>
      </c>
      <c r="E227" s="1" t="n">
        <v>46241</v>
      </c>
      <c r="F227" t="inlineStr">
        <is>
          <t>ÖREBRO LÄN</t>
        </is>
      </c>
      <c r="G227" t="inlineStr">
        <is>
          <t>DEGERFORS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26820-2025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45810</v>
      </c>
      <c r="E228" s="1" t="n">
        <v>46241</v>
      </c>
      <c r="F228" t="inlineStr">
        <is>
          <t>ÖREBRO LÄN</t>
        </is>
      </c>
      <c r="G228" t="inlineStr">
        <is>
          <t>DEGERFORS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45819</v>
      </c>
      <c r="E229" s="1" t="n">
        <v>46241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45819</v>
      </c>
      <c r="E230" s="1" t="n">
        <v>46241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23066-2022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44719</v>
      </c>
      <c r="E231" s="1" t="n">
        <v>46241</v>
      </c>
      <c r="F231" t="inlineStr">
        <is>
          <t>ÖREBRO LÄN</t>
        </is>
      </c>
      <c r="G231" t="inlineStr">
        <is>
          <t>DEGERFORS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46241</v>
      </c>
      <c r="F232" t="inlineStr">
        <is>
          <t>ÖREBRO LÄN</t>
        </is>
      </c>
      <c r="G232" t="inlineStr">
        <is>
          <t>DEGERFORS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45639</v>
      </c>
      <c r="E233" s="1" t="n">
        <v>46241</v>
      </c>
      <c r="F233" t="inlineStr">
        <is>
          <t>ÖREBRO LÄN</t>
        </is>
      </c>
      <c r="G233" t="inlineStr">
        <is>
          <t>DEGERFORS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46241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46241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46241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46241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46241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46241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46241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46241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2026-08-07T01:52:34Z</dcterms:created>
  <dcterms:modified xmlns:dcterms="http://purl.org/dc/terms/" xmlns:xsi="http://www.w3.org/2001/XMLSchema-instance" xsi:type="dcterms:W3CDTF">2026-08-07T01:52:34Z</dcterms:modified>
</cp:coreProperties>
</file>