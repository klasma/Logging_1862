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46231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t="n">
        <v>8</v>
      </c>
      <c r="V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2">
        <f>HYPERLINK("https://klasma.github.io/Logging_1862/artfynd/A 5800-2026 artfynd.xlsx", "A 5800-2026")</f>
        <v/>
      </c>
      <c r="X2">
        <f>HYPERLINK("https://klasma.github.io/Logging_1862/kartor/A 5800-2026 karta.png", "A 5800-2026")</f>
        <v/>
      </c>
      <c r="Y2">
        <f>HYPERLINK("https://klasma.github.io/Logging_1862/kartor_geotiff/A 5800-2026 georefererad karta.tif", "A 5800-2026")</f>
        <v/>
      </c>
      <c r="AA2">
        <f>HYPERLINK("https://klasma.github.io/Logging_1862/klagomål/A 5800-2026 FSC-klagomål.docx", "A 5800-2026")</f>
        <v/>
      </c>
      <c r="AB2">
        <f>HYPERLINK("https://klasma.github.io/Logging_1862/klagomålsmail/A 5800-2026 FSC-klagomål mail.docx", "A 5800-2026")</f>
        <v/>
      </c>
      <c r="AC2">
        <f>HYPERLINK("https://klasma.github.io/Logging_1862/tillsyn/A 5800-2026 tillsynsbegäran.docx", "A 5800-2026")</f>
        <v/>
      </c>
      <c r="AD2">
        <f>HYPERLINK("https://klasma.github.io/Logging_1862/tillsynsmail/A 5800-2026 tillsynsbegäran mail.docx", "A 5800-2026")</f>
        <v/>
      </c>
      <c r="AE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46231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39</v>
      </c>
      <c r="U3" t="n">
        <v>39</v>
      </c>
      <c r="V3" s="2" t="inlineStr">
        <is>
          <t>Tornseglare
Dropptaggsvamp
Duvhök
Enkelbeckasin
Talltita
Grönpyrola
Nattskärra
Spillkråka
Tjäder
Tofsmes
Havsörn
Sångsvan
Åkergroda</t>
        </is>
      </c>
      <c r="W3">
        <f>HYPERLINK("https://klasma.github.io/Logging_1862/artfynd/A 22870-2026 artfynd.xlsx", "A 22870-2026")</f>
        <v/>
      </c>
      <c r="X3">
        <f>HYPERLINK("https://klasma.github.io/Logging_1862/kartor/A 22870-2026 karta.png", "A 22870-2026")</f>
        <v/>
      </c>
      <c r="Y3">
        <f>HYPERLINK("https://klasma.github.io/Logging_1862/kartor_geotiff/A 22870-2026 georefererad karta.tif", "A 22870-2026")</f>
        <v/>
      </c>
      <c r="AA3">
        <f>HYPERLINK("https://klasma.github.io/Logging_1862/klagomål/A 22870-2026 FSC-klagomål.docx", "A 22870-2026")</f>
        <v/>
      </c>
      <c r="AB3">
        <f>HYPERLINK("https://klasma.github.io/Logging_1862/klagomålsmail/A 22870-2026 FSC-klagomål mail.docx", "A 22870-2026")</f>
        <v/>
      </c>
      <c r="AC3">
        <f>HYPERLINK("https://klasma.github.io/Logging_1862/tillsyn/A 22870-2026 tillsynsbegäran.docx", "A 22870-2026")</f>
        <v/>
      </c>
      <c r="AD3">
        <f>HYPERLINK("https://klasma.github.io/Logging_1862/tillsynsmail/A 22870-2026 tillsynsbegäran mail.docx", "A 22870-2026")</f>
        <v/>
      </c>
      <c r="AE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46231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8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10</v>
      </c>
      <c r="T4" t="n">
        <v>18</v>
      </c>
      <c r="U4" t="n">
        <v>17</v>
      </c>
      <c r="V4" s="2" t="inlineStr">
        <is>
          <t>Tornseglare
Dropptaggsvamp
Duvhök
Järnsparv
Orange taggsvamp
Talltita
Spillkråka
Tjäder
Tofsmes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46231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8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10</v>
      </c>
      <c r="T5" t="n">
        <v>32</v>
      </c>
      <c r="U5" t="n">
        <v>32</v>
      </c>
      <c r="V5" s="2" t="inlineStr">
        <is>
          <t>Tornseglare
Dropptaggsvamp
Duvhök
Talltita
Tretåig hackspett
Grönpyrola
Nattskärra
Spillkråka
Tofsmes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46231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46231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46231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22868-2026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46160</v>
      </c>
      <c r="E9" s="1" t="n">
        <v>46231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Björktrast
Talltita
Grönpyrola
Nattskärra
Spillkråka
Tjäder
Tofsmes</t>
        </is>
      </c>
      <c r="W9">
        <f>HYPERLINK("https://klasma.github.io/Logging_1862/artfynd/A 22868-2026 artfynd.xlsx", "A 22868-2026")</f>
        <v/>
      </c>
      <c r="X9">
        <f>HYPERLINK("https://klasma.github.io/Logging_1862/kartor/A 22868-2026 karta.png", "A 22868-2026")</f>
        <v/>
      </c>
      <c r="Y9">
        <f>HYPERLINK("https://klasma.github.io/Logging_1862/kartor_geotiff/A 22868-2026 georefererad karta.tif", "A 22868-2026")</f>
        <v/>
      </c>
      <c r="AA9">
        <f>HYPERLINK("https://klasma.github.io/Logging_1862/klagomål/A 22868-2026 FSC-klagomål.docx", "A 22868-2026")</f>
        <v/>
      </c>
      <c r="AB9">
        <f>HYPERLINK("https://klasma.github.io/Logging_1862/klagomålsmail/A 22868-2026 FSC-klagomål mail.docx", "A 22868-2026")</f>
        <v/>
      </c>
      <c r="AC9">
        <f>HYPERLINK("https://klasma.github.io/Logging_1862/tillsyn/A 22868-2026 tillsynsbegäran.docx", "A 22868-2026")</f>
        <v/>
      </c>
      <c r="AD9">
        <f>HYPERLINK("https://klasma.github.io/Logging_1862/tillsynsmail/A 22868-2026 tillsynsbegäran mail.docx", "A 22868-2026")</f>
        <v/>
      </c>
      <c r="AE9">
        <f>HYPERLINK("https://klasma.github.io/Logging_1862/fåglar/A 22868-2026 prioriterade fågelarter.docx", "A 22868-2026")</f>
        <v/>
      </c>
    </row>
    <row r="10" ht="15" customHeight="1">
      <c r="A10" t="inlineStr">
        <is>
          <t>A 12721-2024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46231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3.5</v>
      </c>
      <c r="J10" t="n">
        <v>4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Kolflarnlav
Tretåig hackspett
Vaddporing
Flagellkvastmossa
Spillkråka
Tjäder
Fläcknycklar</t>
        </is>
      </c>
      <c r="W10">
        <f>HYPERLINK("https://klasma.github.io/Logging_1862/artfynd/A 12721-2024 artfynd.xlsx", "A 12721-2024")</f>
        <v/>
      </c>
      <c r="X10">
        <f>HYPERLINK("https://klasma.github.io/Logging_1862/kartor/A 12721-2024 karta.png", "A 12721-2024")</f>
        <v/>
      </c>
      <c r="Y10">
        <f>HYPERLINK("https://klasma.github.io/Logging_1862/kartor_geotiff/A 12721-2024 georefererad karta.tif", "A 12721-2024")</f>
        <v/>
      </c>
      <c r="AA10">
        <f>HYPERLINK("https://klasma.github.io/Logging_1862/klagomål/A 12721-2024 FSC-klagomål.docx", "A 12721-2024")</f>
        <v/>
      </c>
      <c r="AB10">
        <f>HYPERLINK("https://klasma.github.io/Logging_1862/klagomålsmail/A 12721-2024 FSC-klagomål mail.docx", "A 12721-2024")</f>
        <v/>
      </c>
      <c r="AC10">
        <f>HYPERLINK("https://klasma.github.io/Logging_1862/tillsyn/A 12721-2024 tillsynsbegäran.docx", "A 12721-2024")</f>
        <v/>
      </c>
      <c r="AD10">
        <f>HYPERLINK("https://klasma.github.io/Logging_1862/tillsynsmail/A 12721-2024 tillsynsbegäran mail.docx", "A 12721-2024")</f>
        <v/>
      </c>
      <c r="AE10">
        <f>HYPERLINK("https://klasma.github.io/Logging_1862/fåglar/A 12721-2024 prioriterade fågelarter.docx", "A 12721-2024")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46231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4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21</v>
      </c>
      <c r="U11" t="n">
        <v>20</v>
      </c>
      <c r="V11" s="2" t="inlineStr">
        <is>
          <t>Jungfrulin
Motaggsvamp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73321-2021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44550</v>
      </c>
      <c r="E12" s="1" t="n">
        <v>46231</v>
      </c>
      <c r="F12" t="inlineStr">
        <is>
          <t>ÖREBRO LÄN</t>
        </is>
      </c>
      <c r="G12" t="inlineStr">
        <is>
          <t>DEGERFORS</t>
        </is>
      </c>
      <c r="I12" t="n">
        <v>17</v>
      </c>
      <c r="J12" t="n">
        <v>3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8</v>
      </c>
      <c r="U12" t="n">
        <v>8</v>
      </c>
      <c r="V12" s="2" t="inlineStr">
        <is>
          <t>Knärot
Grynig filtlav
Gulsparv
Rynkskinn
Vedticka
Spillkråka</t>
        </is>
      </c>
      <c r="W12">
        <f>HYPERLINK("https://klasma.github.io/Logging_1862/artfynd/A 73321-2021 artfynd.xlsx", "A 73321-2021")</f>
        <v/>
      </c>
      <c r="X12">
        <f>HYPERLINK("https://klasma.github.io/Logging_1862/kartor/A 73321-2021 karta.png", "A 73321-2021")</f>
        <v/>
      </c>
      <c r="Y12">
        <f>HYPERLINK("https://klasma.github.io/Logging_1862/kartor_geotiff/A 73321-2021 georefererad karta.tif", "A 73321-2021")</f>
        <v/>
      </c>
      <c r="Z12">
        <f>HYPERLINK("https://klasma.github.io/Logging_1862/knärot/A 73321-2021 karta knärot.png", "A 73321-2021")</f>
        <v/>
      </c>
      <c r="AA12">
        <f>HYPERLINK("https://klasma.github.io/Logging_1862/klagomål/A 73321-2021 FSC-klagomål.docx", "A 73321-2021")</f>
        <v/>
      </c>
      <c r="AB12">
        <f>HYPERLINK("https://klasma.github.io/Logging_1862/klagomålsmail/A 73321-2021 FSC-klagomål mail.docx", "A 73321-2021")</f>
        <v/>
      </c>
      <c r="AC12">
        <f>HYPERLINK("https://klasma.github.io/Logging_1862/tillsyn/A 73321-2021 tillsynsbegäran.docx", "A 73321-2021")</f>
        <v/>
      </c>
      <c r="AD12">
        <f>HYPERLINK("https://klasma.github.io/Logging_1862/tillsynsmail/A 73321-2021 tillsynsbegäran mail.docx", "A 73321-2021")</f>
        <v/>
      </c>
      <c r="AE12">
        <f>HYPERLINK("https://klasma.github.io/Logging_1862/fåglar/A 73321-2021 prioriterade fågelarter.docx", "A 73321-2021")</f>
        <v/>
      </c>
    </row>
    <row r="13" ht="15" customHeight="1">
      <c r="A13" t="inlineStr">
        <is>
          <t>A 29553-2026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46231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6.5</v>
      </c>
      <c r="J13" t="n">
        <v>2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6</v>
      </c>
      <c r="U13" t="n">
        <v>2</v>
      </c>
      <c r="V13" s="2" t="inlineStr">
        <is>
          <t>Garnlav
Skuggblåslav
Talltita
Ullticka
Vedskivlav
Tofsmes</t>
        </is>
      </c>
      <c r="W13">
        <f>HYPERLINK("https://klasma.github.io/Logging_1862/artfynd/A 29553-2026 artfynd.xlsx", "A 29553-2026")</f>
        <v/>
      </c>
      <c r="X13">
        <f>HYPERLINK("https://klasma.github.io/Logging_1862/kartor/A 29553-2026 karta.png", "A 29553-2026")</f>
        <v/>
      </c>
      <c r="Y13">
        <f>HYPERLINK("https://klasma.github.io/Logging_1862/kartor_geotiff/A 29553-2026 georefererad karta.tif", "A 29553-2026")</f>
        <v/>
      </c>
      <c r="AA13">
        <f>HYPERLINK("https://klasma.github.io/Logging_1862/klagomål/A 29553-2026 FSC-klagomål.docx", "A 29553-2026")</f>
        <v/>
      </c>
      <c r="AB13">
        <f>HYPERLINK("https://klasma.github.io/Logging_1862/klagomålsmail/A 29553-2026 FSC-klagomål mail.docx", "A 29553-2026")</f>
        <v/>
      </c>
      <c r="AC13">
        <f>HYPERLINK("https://klasma.github.io/Logging_1862/tillsyn/A 29553-2026 tillsynsbegäran.docx", "A 29553-2026")</f>
        <v/>
      </c>
      <c r="AD13">
        <f>HYPERLINK("https://klasma.github.io/Logging_1862/tillsynsmail/A 29553-2026 tillsynsbegäran mail.docx", "A 29553-2026")</f>
        <v/>
      </c>
      <c r="AE13">
        <f>HYPERLINK("https://klasma.github.io/Logging_1862/fåglar/A 29553-2026 prioriterade fågelarter.docx", "A 29553-2026")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46231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27668-2026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46190</v>
      </c>
      <c r="E15" s="1" t="n">
        <v>46231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2.3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Tretåig hackspett
Mattlummer
Spillkråka
Vanlig snok
Revlummer</t>
        </is>
      </c>
      <c r="W15">
        <f>HYPERLINK("https://klasma.github.io/Logging_1862/artfynd/A 27668-2026 artfynd.xlsx", "A 27668-2026")</f>
        <v/>
      </c>
      <c r="X15">
        <f>HYPERLINK("https://klasma.github.io/Logging_1862/kartor/A 27668-2026 karta.png", "A 27668-2026")</f>
        <v/>
      </c>
      <c r="Y15">
        <f>HYPERLINK("https://klasma.github.io/Logging_1862/kartor_geotiff/A 27668-2026 georefererad karta.tif", "A 27668-2026")</f>
        <v/>
      </c>
      <c r="AA15">
        <f>HYPERLINK("https://klasma.github.io/Logging_1862/klagomål/A 27668-2026 FSC-klagomål.docx", "A 27668-2026")</f>
        <v/>
      </c>
      <c r="AB15">
        <f>HYPERLINK("https://klasma.github.io/Logging_1862/klagomålsmail/A 27668-2026 FSC-klagomål mail.docx", "A 27668-2026")</f>
        <v/>
      </c>
      <c r="AC15">
        <f>HYPERLINK("https://klasma.github.io/Logging_1862/tillsyn/A 27668-2026 tillsynsbegäran.docx", "A 27668-2026")</f>
        <v/>
      </c>
      <c r="AD15">
        <f>HYPERLINK("https://klasma.github.io/Logging_1862/tillsynsmail/A 27668-2026 tillsynsbegäran mail.docx", "A 27668-2026")</f>
        <v/>
      </c>
      <c r="AE15">
        <f>HYPERLINK("https://klasma.github.io/Logging_1862/fåglar/A 27668-2026 prioriterade fågelarter.docx", "A 27668-2026")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46231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36081-2025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45866</v>
      </c>
      <c r="E17" s="1" t="n">
        <v>46231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1.5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Jungfrulin
Skogsklocka
Svinrot
Springkorn</t>
        </is>
      </c>
      <c r="W17">
        <f>HYPERLINK("https://klasma.github.io/Logging_1862/artfynd/A 36081-2025 artfynd.xlsx", "A 36081-2025")</f>
        <v/>
      </c>
      <c r="X17">
        <f>HYPERLINK("https://klasma.github.io/Logging_1862/kartor/A 36081-2025 karta.png", "A 36081-2025")</f>
        <v/>
      </c>
      <c r="Y17">
        <f>HYPERLINK("https://klasma.github.io/Logging_1862/kartor_geotiff/A 36081-2025 georefererad karta.tif", "A 36081-2025")</f>
        <v/>
      </c>
      <c r="AA17">
        <f>HYPERLINK("https://klasma.github.io/Logging_1862/klagomål/A 36081-2025 FSC-klagomål.docx", "A 36081-2025")</f>
        <v/>
      </c>
      <c r="AB17">
        <f>HYPERLINK("https://klasma.github.io/Logging_1862/klagomålsmail/A 36081-2025 FSC-klagomål mail.docx", "A 36081-2025")</f>
        <v/>
      </c>
      <c r="AC17">
        <f>HYPERLINK("https://klasma.github.io/Logging_1862/tillsyn/A 36081-2025 tillsynsbegäran.docx", "A 36081-2025")</f>
        <v/>
      </c>
      <c r="AD17">
        <f>HYPERLINK("https://klasma.github.io/Logging_1862/tillsynsmail/A 36081-2025 tillsynsbegäran mail.docx", "A 36081-2025")</f>
        <v/>
      </c>
    </row>
    <row r="18" ht="15" customHeight="1">
      <c r="A18" t="inlineStr">
        <is>
          <t>A 27663-2026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46190</v>
      </c>
      <c r="E18" s="1" t="n">
        <v>46231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6.8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6</v>
      </c>
      <c r="U18" t="n">
        <v>6</v>
      </c>
      <c r="V18" s="2" t="inlineStr">
        <is>
          <t>Tretåig hackspett
Thomsons trägnagare
Tjäder
Revlummer</t>
        </is>
      </c>
      <c r="W18">
        <f>HYPERLINK("https://klasma.github.io/Logging_1862/artfynd/A 27663-2026 artfynd.xlsx", "A 27663-2026")</f>
        <v/>
      </c>
      <c r="X18">
        <f>HYPERLINK("https://klasma.github.io/Logging_1862/kartor/A 27663-2026 karta.png", "A 27663-2026")</f>
        <v/>
      </c>
      <c r="Y18">
        <f>HYPERLINK("https://klasma.github.io/Logging_1862/kartor_geotiff/A 27663-2026 georefererad karta.tif", "A 27663-2026")</f>
        <v/>
      </c>
      <c r="AA18">
        <f>HYPERLINK("https://klasma.github.io/Logging_1862/klagomål/A 27663-2026 FSC-klagomål.docx", "A 27663-2026")</f>
        <v/>
      </c>
      <c r="AB18">
        <f>HYPERLINK("https://klasma.github.io/Logging_1862/klagomålsmail/A 27663-2026 FSC-klagomål mail.docx", "A 27663-2026")</f>
        <v/>
      </c>
      <c r="AC18">
        <f>HYPERLINK("https://klasma.github.io/Logging_1862/tillsyn/A 27663-2026 tillsynsbegäran.docx", "A 27663-2026")</f>
        <v/>
      </c>
      <c r="AD18">
        <f>HYPERLINK("https://klasma.github.io/Logging_1862/tillsynsmail/A 27663-2026 tillsynsbegäran mail.docx", "A 27663-2026")</f>
        <v/>
      </c>
      <c r="AE18">
        <f>HYPERLINK("https://klasma.github.io/Logging_1862/fåglar/A 27663-2026 prioriterade fågelarter.docx", "A 27663-2026")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46231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Jungfrulin
Skogsklocka
Svinrot
Springkorn</t>
        </is>
      </c>
      <c r="W19">
        <f>HYPERLINK("https://klasma.github.io/Logging_1862/artfynd/A 8063-2024 artfynd.xlsx", "A 8063-2024")</f>
        <v/>
      </c>
      <c r="X19">
        <f>HYPERLINK("https://klasma.github.io/Logging_1862/kartor/A 8063-2024 karta.png", "A 8063-2024")</f>
        <v/>
      </c>
      <c r="Y19">
        <f>HYPERLINK("https://klasma.github.io/Logging_1862/kartor_geotiff/A 8063-2024 georefererad karta.tif", "A 8063-2024")</f>
        <v/>
      </c>
      <c r="AA19">
        <f>HYPERLINK("https://klasma.github.io/Logging_1862/klagomål/A 8063-2024 FSC-klagomål.docx", "A 8063-2024")</f>
        <v/>
      </c>
      <c r="AB19">
        <f>HYPERLINK("https://klasma.github.io/Logging_1862/klagomålsmail/A 8063-2024 FSC-klagomål mail.docx", "A 8063-2024")</f>
        <v/>
      </c>
      <c r="AC19">
        <f>HYPERLINK("https://klasma.github.io/Logging_1862/tillsyn/A 8063-2024 tillsynsbegäran.docx", "A 8063-2024")</f>
        <v/>
      </c>
      <c r="AD19">
        <f>HYPERLINK("https://klasma.github.io/Logging_1862/tillsynsmail/A 8063-2024 tillsynsbegäran mail.docx", "A 8063-2024")</f>
        <v/>
      </c>
    </row>
    <row r="20" ht="15" customHeight="1">
      <c r="A20" t="inlineStr">
        <is>
          <t>A 47975-2025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46231</v>
      </c>
      <c r="F20" t="inlineStr">
        <is>
          <t>ÖREBRO LÄN</t>
        </is>
      </c>
      <c r="G20" t="inlineStr">
        <is>
          <t>DEGERFORS</t>
        </is>
      </c>
      <c r="I20" t="n">
        <v>11.8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10</v>
      </c>
      <c r="U20" t="n">
        <v>10</v>
      </c>
      <c r="V20" s="2" t="inlineStr">
        <is>
          <t>Tretåig hackspett
Spillkråka
Kråka
Kungsfågel</t>
        </is>
      </c>
      <c r="W20">
        <f>HYPERLINK("https://klasma.github.io/Logging_1862/artfynd/A 47975-2025 artfynd.xlsx", "A 47975-2025")</f>
        <v/>
      </c>
      <c r="X20">
        <f>HYPERLINK("https://klasma.github.io/Logging_1862/kartor/A 47975-2025 karta.png", "A 47975-2025")</f>
        <v/>
      </c>
      <c r="Y20">
        <f>HYPERLINK("https://klasma.github.io/Logging_1862/kartor_geotiff/A 47975-2025 georefererad karta.tif", "A 47975-2025")</f>
        <v/>
      </c>
      <c r="AA20">
        <f>HYPERLINK("https://klasma.github.io/Logging_1862/klagomål/A 47975-2025 FSC-klagomål.docx", "A 47975-2025")</f>
        <v/>
      </c>
      <c r="AB20">
        <f>HYPERLINK("https://klasma.github.io/Logging_1862/klagomålsmail/A 47975-2025 FSC-klagomål mail.docx", "A 47975-2025")</f>
        <v/>
      </c>
      <c r="AC20">
        <f>HYPERLINK("https://klasma.github.io/Logging_1862/tillsyn/A 47975-2025 tillsynsbegäran.docx", "A 47975-2025")</f>
        <v/>
      </c>
      <c r="AD20">
        <f>HYPERLINK("https://klasma.github.io/Logging_1862/tillsynsmail/A 47975-2025 tillsynsbegäran mail.docx", "A 47975-2025")</f>
        <v/>
      </c>
      <c r="AE20">
        <f>HYPERLINK("https://klasma.github.io/Logging_1862/fåglar/A 47975-2025 prioriterade fågelarter.docx", "A 47975-2025")</f>
        <v/>
      </c>
    </row>
    <row r="21" ht="15" customHeight="1">
      <c r="A21" t="inlineStr">
        <is>
          <t>A 38915-2023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46231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4.5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Mattlummer
Spillkråka
Sångsvan</t>
        </is>
      </c>
      <c r="W21">
        <f>HYPERLINK("https://klasma.github.io/Logging_1862/artfynd/A 38915-2023 artfynd.xlsx", "A 38915-2023")</f>
        <v/>
      </c>
      <c r="X21">
        <f>HYPERLINK("https://klasma.github.io/Logging_1862/kartor/A 38915-2023 karta.png", "A 38915-2023")</f>
        <v/>
      </c>
      <c r="Y21">
        <f>HYPERLINK("https://klasma.github.io/Logging_1862/kartor_geotiff/A 38915-2023 georefererad karta.tif", "A 38915-2023")</f>
        <v/>
      </c>
      <c r="AA21">
        <f>HYPERLINK("https://klasma.github.io/Logging_1862/klagomål/A 38915-2023 FSC-klagomål.docx", "A 38915-2023")</f>
        <v/>
      </c>
      <c r="AB21">
        <f>HYPERLINK("https://klasma.github.io/Logging_1862/klagomålsmail/A 38915-2023 FSC-klagomål mail.docx", "A 38915-2023")</f>
        <v/>
      </c>
      <c r="AC21">
        <f>HYPERLINK("https://klasma.github.io/Logging_1862/tillsyn/A 38915-2023 tillsynsbegäran.docx", "A 38915-2023")</f>
        <v/>
      </c>
      <c r="AD21">
        <f>HYPERLINK("https://klasma.github.io/Logging_1862/tillsynsmail/A 38915-2023 tillsynsbegäran mail.docx", "A 38915-2023")</f>
        <v/>
      </c>
      <c r="AE21">
        <f>HYPERLINK("https://klasma.github.io/Logging_1862/fåglar/A 38915-2023 prioriterade fågelarter.docx", "A 38915-2023")</f>
        <v/>
      </c>
    </row>
    <row r="22" ht="15" customHeight="1">
      <c r="A22" t="inlineStr">
        <is>
          <t>A 48284-2023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46231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6.7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9</v>
      </c>
      <c r="U22" t="n">
        <v>9</v>
      </c>
      <c r="V22" s="2" t="inlineStr">
        <is>
          <t>Tretåig hackspett
Spillkråka
Kungsfågel
Revlummer</t>
        </is>
      </c>
      <c r="W22">
        <f>HYPERLINK("https://klasma.github.io/Logging_1862/artfynd/A 48284-2023 artfynd.xlsx", "A 48284-2023")</f>
        <v/>
      </c>
      <c r="X22">
        <f>HYPERLINK("https://klasma.github.io/Logging_1862/kartor/A 48284-2023 karta.png", "A 48284-2023")</f>
        <v/>
      </c>
      <c r="Y22">
        <f>HYPERLINK("https://klasma.github.io/Logging_1862/kartor_geotiff/A 48284-2023 georefererad karta.tif", "A 48284-2023")</f>
        <v/>
      </c>
      <c r="AA22">
        <f>HYPERLINK("https://klasma.github.io/Logging_1862/klagomål/A 48284-2023 FSC-klagomål.docx", "A 48284-2023")</f>
        <v/>
      </c>
      <c r="AB22">
        <f>HYPERLINK("https://klasma.github.io/Logging_1862/klagomålsmail/A 48284-2023 FSC-klagomål mail.docx", "A 48284-2023")</f>
        <v/>
      </c>
      <c r="AC22">
        <f>HYPERLINK("https://klasma.github.io/Logging_1862/tillsyn/A 48284-2023 tillsynsbegäran.docx", "A 48284-2023")</f>
        <v/>
      </c>
      <c r="AD22">
        <f>HYPERLINK("https://klasma.github.io/Logging_1862/tillsynsmail/A 48284-2023 tillsynsbegäran mail.docx", "A 48284-2023")</f>
        <v/>
      </c>
      <c r="AE22">
        <f>HYPERLINK("https://klasma.github.io/Logging_1862/fåglar/A 48284-2023 prioriterade fågelarter.docx", "A 48284-2023")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46231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46231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46231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4256-2026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46045</v>
      </c>
      <c r="E26" s="1" t="n">
        <v>46231</v>
      </c>
      <c r="F26" t="inlineStr">
        <is>
          <t>ÖREBRO LÄN</t>
        </is>
      </c>
      <c r="G26" t="inlineStr">
        <is>
          <t>DEGERFORS</t>
        </is>
      </c>
      <c r="I26" t="n">
        <v>2.9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Skogsklocka
Slåtterfibbla</t>
        </is>
      </c>
      <c r="W26">
        <f>HYPERLINK("https://klasma.github.io/Logging_1862/artfynd/A 4256-2026 artfynd.xlsx", "A 4256-2026")</f>
        <v/>
      </c>
      <c r="X26">
        <f>HYPERLINK("https://klasma.github.io/Logging_1862/kartor/A 4256-2026 karta.png", "A 4256-2026")</f>
        <v/>
      </c>
      <c r="Y26">
        <f>HYPERLINK("https://klasma.github.io/Logging_1862/kartor_geotiff/A 4256-2026 georefererad karta.tif", "A 4256-2026")</f>
        <v/>
      </c>
      <c r="AA26">
        <f>HYPERLINK("https://klasma.github.io/Logging_1862/klagomål/A 4256-2026 FSC-klagomål.docx", "A 4256-2026")</f>
        <v/>
      </c>
      <c r="AB26">
        <f>HYPERLINK("https://klasma.github.io/Logging_1862/klagomålsmail/A 4256-2026 FSC-klagomål mail.docx", "A 4256-2026")</f>
        <v/>
      </c>
      <c r="AC26">
        <f>HYPERLINK("https://klasma.github.io/Logging_1862/tillsyn/A 4256-2026 tillsynsbegäran.docx", "A 4256-2026")</f>
        <v/>
      </c>
      <c r="AD26">
        <f>HYPERLINK("https://klasma.github.io/Logging_1862/tillsynsmail/A 4256-2026 tillsynsbegäran mail.docx", "A 4256-2026")</f>
        <v/>
      </c>
    </row>
    <row r="27" ht="15" customHeight="1">
      <c r="A27" t="inlineStr">
        <is>
          <t>A 28976-2026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46231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2.3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Orange taggsvamp
Talltita</t>
        </is>
      </c>
      <c r="W27">
        <f>HYPERLINK("https://klasma.github.io/Logging_1862/artfynd/A 28976-2026 artfynd.xlsx", "A 28976-2026")</f>
        <v/>
      </c>
      <c r="X27">
        <f>HYPERLINK("https://klasma.github.io/Logging_1862/kartor/A 28976-2026 karta.png", "A 28976-2026")</f>
        <v/>
      </c>
      <c r="Y27">
        <f>HYPERLINK("https://klasma.github.io/Logging_1862/kartor_geotiff/A 28976-2026 georefererad karta.tif", "A 28976-2026")</f>
        <v/>
      </c>
      <c r="AA27">
        <f>HYPERLINK("https://klasma.github.io/Logging_1862/klagomål/A 28976-2026 FSC-klagomål.docx", "A 28976-2026")</f>
        <v/>
      </c>
      <c r="AB27">
        <f>HYPERLINK("https://klasma.github.io/Logging_1862/klagomålsmail/A 28976-2026 FSC-klagomål mail.docx", "A 28976-2026")</f>
        <v/>
      </c>
      <c r="AC27">
        <f>HYPERLINK("https://klasma.github.io/Logging_1862/tillsyn/A 28976-2026 tillsynsbegäran.docx", "A 28976-2026")</f>
        <v/>
      </c>
      <c r="AD27">
        <f>HYPERLINK("https://klasma.github.io/Logging_1862/tillsynsmail/A 28976-2026 tillsynsbegäran mail.docx", "A 28976-2026")</f>
        <v/>
      </c>
      <c r="AE27">
        <f>HYPERLINK("https://klasma.github.io/Logging_1862/fåglar/A 28976-2026 prioriterade fågelarter.docx", "A 28976-2026")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46231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46231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38914-2023 artfynd.xlsx", "A 38914-2023")</f>
        <v/>
      </c>
      <c r="X29">
        <f>HYPERLINK("https://klasma.github.io/Logging_1862/kartor/A 38914-2023 karta.png", "A 38914-2023")</f>
        <v/>
      </c>
      <c r="Y29">
        <f>HYPERLINK("https://klasma.github.io/Logging_1862/kartor_geotiff/A 38914-2023 georefererad karta.tif", "A 38914-2023")</f>
        <v/>
      </c>
      <c r="AA29">
        <f>HYPERLINK("https://klasma.github.io/Logging_1862/klagomål/A 38914-2023 FSC-klagomål.docx", "A 38914-2023")</f>
        <v/>
      </c>
      <c r="AB29">
        <f>HYPERLINK("https://klasma.github.io/Logging_1862/klagomålsmail/A 38914-2023 FSC-klagomål mail.docx", "A 38914-2023")</f>
        <v/>
      </c>
      <c r="AC29">
        <f>HYPERLINK("https://klasma.github.io/Logging_1862/tillsyn/A 38914-2023 tillsynsbegäran.docx", "A 38914-2023")</f>
        <v/>
      </c>
      <c r="AD29">
        <f>HYPERLINK("https://klasma.github.io/Logging_1862/tillsynsmail/A 38914-2023 tillsynsbegäran mail.docx", "A 38914-2023")</f>
        <v/>
      </c>
      <c r="AE29">
        <f>HYPERLINK("https://klasma.github.io/Logging_1862/fåglar/A 38914-2023 prioriterade fågelarter.docx", "A 38914-2023")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46231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40870-2024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46231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Spillkråka</t>
        </is>
      </c>
      <c r="W31">
        <f>HYPERLINK("https://klasma.github.io/Logging_1862/artfynd/A 40870-2024 artfynd.xlsx", "A 40870-2024")</f>
        <v/>
      </c>
      <c r="X31">
        <f>HYPERLINK("https://klasma.github.io/Logging_1862/kartor/A 40870-2024 karta.png", "A 40870-2024")</f>
        <v/>
      </c>
      <c r="Y31">
        <f>HYPERLINK("https://klasma.github.io/Logging_1862/kartor_geotiff/A 40870-2024 georefererad karta.tif", "A 40870-2024")</f>
        <v/>
      </c>
      <c r="AA31">
        <f>HYPERLINK("https://klasma.github.io/Logging_1862/klagomål/A 40870-2024 FSC-klagomål.docx", "A 40870-2024")</f>
        <v/>
      </c>
      <c r="AB31">
        <f>HYPERLINK("https://klasma.github.io/Logging_1862/klagomålsmail/A 40870-2024 FSC-klagomål mail.docx", "A 40870-2024")</f>
        <v/>
      </c>
      <c r="AC31">
        <f>HYPERLINK("https://klasma.github.io/Logging_1862/tillsyn/A 40870-2024 tillsynsbegäran.docx", "A 40870-2024")</f>
        <v/>
      </c>
      <c r="AD31">
        <f>HYPERLINK("https://klasma.github.io/Logging_1862/tillsynsmail/A 40870-2024 tillsynsbegäran mail.docx", "A 40870-2024")</f>
        <v/>
      </c>
      <c r="AE31">
        <f>HYPERLINK("https://klasma.github.io/Logging_1862/fåglar/A 40870-2024 prioriterade fågelarter.docx", "A 40870-2024")</f>
        <v/>
      </c>
    </row>
    <row r="32" ht="15" customHeight="1">
      <c r="A32" t="inlineStr">
        <is>
          <t>A 38912-2023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46231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38912-2023 artfynd.xlsx", "A 38912-2023")</f>
        <v/>
      </c>
      <c r="X32">
        <f>HYPERLINK("https://klasma.github.io/Logging_1862/kartor/A 38912-2023 karta.png", "A 38912-2023")</f>
        <v/>
      </c>
      <c r="Y32">
        <f>HYPERLINK("https://klasma.github.io/Logging_1862/kartor_geotiff/A 38912-2023 georefererad karta.tif", "A 38912-2023")</f>
        <v/>
      </c>
      <c r="AA32">
        <f>HYPERLINK("https://klasma.github.io/Logging_1862/klagomål/A 38912-2023 FSC-klagomål.docx", "A 38912-2023")</f>
        <v/>
      </c>
      <c r="AB32">
        <f>HYPERLINK("https://klasma.github.io/Logging_1862/klagomålsmail/A 38912-2023 FSC-klagomål mail.docx", "A 38912-2023")</f>
        <v/>
      </c>
      <c r="AC32">
        <f>HYPERLINK("https://klasma.github.io/Logging_1862/tillsyn/A 38912-2023 tillsynsbegäran.docx", "A 38912-2023")</f>
        <v/>
      </c>
      <c r="AD32">
        <f>HYPERLINK("https://klasma.github.io/Logging_1862/tillsynsmail/A 38912-2023 tillsynsbegäran mail.docx", "A 38912-2023")</f>
        <v/>
      </c>
      <c r="AE32">
        <f>HYPERLINK("https://klasma.github.io/Logging_1862/fåglar/A 38912-2023 prioriterade fågelarter.docx", "A 38912-2023")</f>
        <v/>
      </c>
    </row>
    <row r="33" ht="15" customHeight="1">
      <c r="A33" t="inlineStr">
        <is>
          <t>A 54134-2021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44470</v>
      </c>
      <c r="E33" s="1" t="n">
        <v>46231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Vedtrappmossa</t>
        </is>
      </c>
      <c r="W33">
        <f>HYPERLINK("https://klasma.github.io/Logging_1862/artfynd/A 54134-2021 artfynd.xlsx", "A 54134-2021")</f>
        <v/>
      </c>
      <c r="X33">
        <f>HYPERLINK("https://klasma.github.io/Logging_1862/kartor/A 54134-2021 karta.png", "A 54134-2021")</f>
        <v/>
      </c>
      <c r="Y33">
        <f>HYPERLINK("https://klasma.github.io/Logging_1862/kartor_geotiff/A 54134-2021 georefererad karta.tif", "A 54134-2021")</f>
        <v/>
      </c>
      <c r="AA33">
        <f>HYPERLINK("https://klasma.github.io/Logging_1862/klagomål/A 54134-2021 FSC-klagomål.docx", "A 54134-2021")</f>
        <v/>
      </c>
      <c r="AB33">
        <f>HYPERLINK("https://klasma.github.io/Logging_1862/klagomålsmail/A 54134-2021 FSC-klagomål mail.docx", "A 54134-2021")</f>
        <v/>
      </c>
      <c r="AC33">
        <f>HYPERLINK("https://klasma.github.io/Logging_1862/tillsyn/A 54134-2021 tillsynsbegäran.docx", "A 54134-2021")</f>
        <v/>
      </c>
      <c r="AD33">
        <f>HYPERLINK("https://klasma.github.io/Logging_1862/tillsynsmail/A 54134-2021 tillsynsbegäran mail.docx", "A 54134-2021")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46231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54130-2021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44470</v>
      </c>
      <c r="E35" s="1" t="n">
        <v>46231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Vedtrappmossa</t>
        </is>
      </c>
      <c r="W35">
        <f>HYPERLINK("https://klasma.github.io/Logging_1862/artfynd/A 54130-2021 artfynd.xlsx", "A 54130-2021")</f>
        <v/>
      </c>
      <c r="X35">
        <f>HYPERLINK("https://klasma.github.io/Logging_1862/kartor/A 54130-2021 karta.png", "A 54130-2021")</f>
        <v/>
      </c>
      <c r="Y35">
        <f>HYPERLINK("https://klasma.github.io/Logging_1862/kartor_geotiff/A 54130-2021 georefererad karta.tif", "A 54130-2021")</f>
        <v/>
      </c>
      <c r="AA35">
        <f>HYPERLINK("https://klasma.github.io/Logging_1862/klagomål/A 54130-2021 FSC-klagomål.docx", "A 54130-2021")</f>
        <v/>
      </c>
      <c r="AB35">
        <f>HYPERLINK("https://klasma.github.io/Logging_1862/klagomålsmail/A 54130-2021 FSC-klagomål mail.docx", "A 54130-2021")</f>
        <v/>
      </c>
      <c r="AC35">
        <f>HYPERLINK("https://klasma.github.io/Logging_1862/tillsyn/A 54130-2021 tillsynsbegäran.docx", "A 54130-2021")</f>
        <v/>
      </c>
      <c r="AD35">
        <f>HYPERLINK("https://klasma.github.io/Logging_1862/tillsynsmail/A 54130-2021 tillsynsbegäran mail.docx", "A 54130-2021")</f>
        <v/>
      </c>
    </row>
    <row r="36" ht="15" customHeight="1">
      <c r="A36" t="inlineStr">
        <is>
          <t>A 47915-2024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45589</v>
      </c>
      <c r="E36" s="1" t="n">
        <v>46231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HYPERLINK("https://klasma.github.io/Logging_1862/artfynd/A 47915-2024 artfynd.xlsx", "A 47915-2024")</f>
        <v/>
      </c>
      <c r="X36">
        <f>HYPERLINK("https://klasma.github.io/Logging_1862/kartor/A 47915-2024 karta.png", "A 47915-2024")</f>
        <v/>
      </c>
      <c r="Y36">
        <f>HYPERLINK("https://klasma.github.io/Logging_1862/kartor_geotiff/A 47915-2024 georefererad karta.tif", "A 47915-2024")</f>
        <v/>
      </c>
      <c r="AA36">
        <f>HYPERLINK("https://klasma.github.io/Logging_1862/klagomål/A 47915-2024 FSC-klagomål.docx", "A 47915-2024")</f>
        <v/>
      </c>
      <c r="AB36">
        <f>HYPERLINK("https://klasma.github.io/Logging_1862/klagomålsmail/A 47915-2024 FSC-klagomål mail.docx", "A 47915-2024")</f>
        <v/>
      </c>
      <c r="AC36">
        <f>HYPERLINK("https://klasma.github.io/Logging_1862/tillsyn/A 47915-2024 tillsynsbegäran.docx", "A 47915-2024")</f>
        <v/>
      </c>
      <c r="AD36">
        <f>HYPERLINK("https://klasma.github.io/Logging_1862/tillsynsmail/A 47915-2024 tillsynsbegäran mail.docx", "A 47915-2024")</f>
        <v/>
      </c>
    </row>
    <row r="37" ht="15" customHeight="1">
      <c r="A37" t="inlineStr">
        <is>
          <t>A 14177-2026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46231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HYPERLINK("https://klasma.github.io/Logging_1862/artfynd/A 14177-2026 artfynd.xlsx", "A 14177-2026")</f>
        <v/>
      </c>
      <c r="X37">
        <f>HYPERLINK("https://klasma.github.io/Logging_1862/kartor/A 14177-2026 karta.png", "A 14177-2026")</f>
        <v/>
      </c>
      <c r="Y37">
        <f>HYPERLINK("https://klasma.github.io/Logging_1862/kartor_geotiff/A 14177-2026 georefererad karta.tif", "A 14177-2026")</f>
        <v/>
      </c>
      <c r="AA37">
        <f>HYPERLINK("https://klasma.github.io/Logging_1862/klagomål/A 14177-2026 FSC-klagomål.docx", "A 14177-2026")</f>
        <v/>
      </c>
      <c r="AB37">
        <f>HYPERLINK("https://klasma.github.io/Logging_1862/klagomålsmail/A 14177-2026 FSC-klagomål mail.docx", "A 14177-2026")</f>
        <v/>
      </c>
      <c r="AC37">
        <f>HYPERLINK("https://klasma.github.io/Logging_1862/tillsyn/A 14177-2026 tillsynsbegäran.docx", "A 14177-2026")</f>
        <v/>
      </c>
      <c r="AD37">
        <f>HYPERLINK("https://klasma.github.io/Logging_1862/tillsynsmail/A 14177-2026 tillsynsbegäran mail.docx", "A 14177-2026")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46231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48285-2023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45205</v>
      </c>
      <c r="E39" s="1" t="n">
        <v>46231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48285-2023 artfynd.xlsx", "A 48285-2023")</f>
        <v/>
      </c>
      <c r="X39">
        <f>HYPERLINK("https://klasma.github.io/Logging_1862/kartor/A 48285-2023 karta.png", "A 48285-2023")</f>
        <v/>
      </c>
      <c r="Y39">
        <f>HYPERLINK("https://klasma.github.io/Logging_1862/kartor_geotiff/A 48285-2023 georefererad karta.tif", "A 48285-2023")</f>
        <v/>
      </c>
      <c r="AA39">
        <f>HYPERLINK("https://klasma.github.io/Logging_1862/klagomål/A 48285-2023 FSC-klagomål.docx", "A 48285-2023")</f>
        <v/>
      </c>
      <c r="AB39">
        <f>HYPERLINK("https://klasma.github.io/Logging_1862/klagomålsmail/A 48285-2023 FSC-klagomål mail.docx", "A 48285-2023")</f>
        <v/>
      </c>
      <c r="AC39">
        <f>HYPERLINK("https://klasma.github.io/Logging_1862/tillsyn/A 48285-2023 tillsynsbegäran.docx", "A 48285-2023")</f>
        <v/>
      </c>
      <c r="AD39">
        <f>HYPERLINK("https://klasma.github.io/Logging_1862/tillsynsmail/A 48285-2023 tillsynsbegäran mail.docx", "A 48285-2023")</f>
        <v/>
      </c>
      <c r="AE39">
        <f>HYPERLINK("https://klasma.github.io/Logging_1862/fåglar/A 48285-2023 prioriterade fågelarter.docx", "A 48285-2023")</f>
        <v/>
      </c>
    </row>
    <row r="40" ht="15" customHeight="1">
      <c r="A40" t="inlineStr">
        <is>
          <t>A 27093-2023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46231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5.9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27093-2023 artfynd.xlsx", "A 27093-2023")</f>
        <v/>
      </c>
      <c r="X40">
        <f>HYPERLINK("https://klasma.github.io/Logging_1862/kartor/A 27093-2023 karta.png", "A 27093-2023")</f>
        <v/>
      </c>
      <c r="Y40">
        <f>HYPERLINK("https://klasma.github.io/Logging_1862/kartor_geotiff/A 27093-2023 georefererad karta.tif", "A 27093-2023")</f>
        <v/>
      </c>
      <c r="AA40">
        <f>HYPERLINK("https://klasma.github.io/Logging_1862/klagomål/A 27093-2023 FSC-klagomål.docx", "A 27093-2023")</f>
        <v/>
      </c>
      <c r="AB40">
        <f>HYPERLINK("https://klasma.github.io/Logging_1862/klagomålsmail/A 27093-2023 FSC-klagomål mail.docx", "A 27093-2023")</f>
        <v/>
      </c>
      <c r="AC40">
        <f>HYPERLINK("https://klasma.github.io/Logging_1862/tillsyn/A 27093-2023 tillsynsbegäran.docx", "A 27093-2023")</f>
        <v/>
      </c>
      <c r="AD40">
        <f>HYPERLINK("https://klasma.github.io/Logging_1862/tillsynsmail/A 27093-2023 tillsynsbegäran mail.docx", "A 27093-2023")</f>
        <v/>
      </c>
      <c r="AE40">
        <f>HYPERLINK("https://klasma.github.io/Logging_1862/fåglar/A 27093-2023 prioriterade fågelarter.docx", "A 27093-2023")</f>
        <v/>
      </c>
    </row>
    <row r="41" ht="15" customHeight="1">
      <c r="A41" t="inlineStr">
        <is>
          <t>A 49306-2025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45938</v>
      </c>
      <c r="E41" s="1" t="n">
        <v>46231</v>
      </c>
      <c r="F41" t="inlineStr">
        <is>
          <t>ÖREBRO LÄN</t>
        </is>
      </c>
      <c r="G41" t="inlineStr">
        <is>
          <t>DEGERFORS</t>
        </is>
      </c>
      <c r="I41" t="n">
        <v>5.8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HYPERLINK("https://klasma.github.io/Logging_1862/artfynd/A 49306-2025 artfynd.xlsx", "A 49306-2025")</f>
        <v/>
      </c>
      <c r="X41">
        <f>HYPERLINK("https://klasma.github.io/Logging_1862/kartor/A 49306-2025 karta.png", "A 49306-2025")</f>
        <v/>
      </c>
      <c r="Y41">
        <f>HYPERLINK("https://klasma.github.io/Logging_1862/kartor_geotiff/A 49306-2025 georefererad karta.tif", "A 49306-2025")</f>
        <v/>
      </c>
      <c r="AA41">
        <f>HYPERLINK("https://klasma.github.io/Logging_1862/klagomål/A 49306-2025 FSC-klagomål.docx", "A 49306-2025")</f>
        <v/>
      </c>
      <c r="AB41">
        <f>HYPERLINK("https://klasma.github.io/Logging_1862/klagomålsmail/A 49306-2025 FSC-klagomål mail.docx", "A 49306-2025")</f>
        <v/>
      </c>
      <c r="AC41">
        <f>HYPERLINK("https://klasma.github.io/Logging_1862/tillsyn/A 49306-2025 tillsynsbegäran.docx", "A 49306-2025")</f>
        <v/>
      </c>
      <c r="AD41">
        <f>HYPERLINK("https://klasma.github.io/Logging_1862/tillsynsmail/A 49306-2025 tillsynsbegäran mail.docx", "A 49306-2025")</f>
        <v/>
      </c>
    </row>
    <row r="42" ht="15" customHeight="1">
      <c r="A42" t="inlineStr">
        <is>
          <t>A 47941-2024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46231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Brunfläckig pärlemorfjäril</t>
        </is>
      </c>
      <c r="W42">
        <f>HYPERLINK("https://klasma.github.io/Logging_1862/artfynd/A 47941-2024 artfynd.xlsx", "A 47941-2024")</f>
        <v/>
      </c>
      <c r="X42">
        <f>HYPERLINK("https://klasma.github.io/Logging_1862/kartor/A 47941-2024 karta.png", "A 47941-2024")</f>
        <v/>
      </c>
      <c r="Y42">
        <f>HYPERLINK("https://klasma.github.io/Logging_1862/kartor_geotiff/A 47941-2024 georefererad karta.tif", "A 47941-2024")</f>
        <v/>
      </c>
      <c r="AA42">
        <f>HYPERLINK("https://klasma.github.io/Logging_1862/klagomål/A 47941-2024 FSC-klagomål.docx", "A 47941-2024")</f>
        <v/>
      </c>
      <c r="AB42">
        <f>HYPERLINK("https://klasma.github.io/Logging_1862/klagomålsmail/A 47941-2024 FSC-klagomål mail.docx", "A 47941-2024")</f>
        <v/>
      </c>
      <c r="AC42">
        <f>HYPERLINK("https://klasma.github.io/Logging_1862/tillsyn/A 47941-2024 tillsynsbegäran.docx", "A 47941-2024")</f>
        <v/>
      </c>
      <c r="AD42">
        <f>HYPERLINK("https://klasma.github.io/Logging_1862/tillsynsmail/A 47941-2024 tillsynsbegäran mail.docx", "A 47941-2024")</f>
        <v/>
      </c>
    </row>
    <row r="43" ht="15" customHeight="1">
      <c r="A43" t="inlineStr">
        <is>
          <t>A 14121-2022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46231</v>
      </c>
      <c r="F43" t="inlineStr">
        <is>
          <t>ÖREBRO LÄN</t>
        </is>
      </c>
      <c r="G43" t="inlineStr">
        <is>
          <t>DEGERFORS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Hårklomossa</t>
        </is>
      </c>
      <c r="W43">
        <f>HYPERLINK("https://klasma.github.io/Logging_1862/artfynd/A 14121-2022 artfynd.xlsx", "A 14121-2022")</f>
        <v/>
      </c>
      <c r="X43">
        <f>HYPERLINK("https://klasma.github.io/Logging_1862/kartor/A 14121-2022 karta.png", "A 14121-2022")</f>
        <v/>
      </c>
      <c r="Y43">
        <f>HYPERLINK("https://klasma.github.io/Logging_1862/kartor_geotiff/A 14121-2022 georefererad karta.tif", "A 14121-2022")</f>
        <v/>
      </c>
      <c r="AA43">
        <f>HYPERLINK("https://klasma.github.io/Logging_1862/klagomål/A 14121-2022 FSC-klagomål.docx", "A 14121-2022")</f>
        <v/>
      </c>
      <c r="AB43">
        <f>HYPERLINK("https://klasma.github.io/Logging_1862/klagomålsmail/A 14121-2022 FSC-klagomål mail.docx", "A 14121-2022")</f>
        <v/>
      </c>
      <c r="AC43">
        <f>HYPERLINK("https://klasma.github.io/Logging_1862/tillsyn/A 14121-2022 tillsynsbegäran.docx", "A 14121-2022")</f>
        <v/>
      </c>
      <c r="AD43">
        <f>HYPERLINK("https://klasma.github.io/Logging_1862/tillsynsmail/A 14121-2022 tillsynsbegäran mail.docx", "A 14121-2022")</f>
        <v/>
      </c>
    </row>
    <row r="44" ht="15" customHeight="1">
      <c r="A44" t="inlineStr">
        <is>
          <t>A 47787-2025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45931</v>
      </c>
      <c r="E44" s="1" t="n">
        <v>46231</v>
      </c>
      <c r="F44" t="inlineStr">
        <is>
          <t>ÖREBRO LÄN</t>
        </is>
      </c>
      <c r="G44" t="inlineStr">
        <is>
          <t>DEGERFORS</t>
        </is>
      </c>
      <c r="I44" t="n">
        <v>4.1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Tretåig hackspett</t>
        </is>
      </c>
      <c r="W44">
        <f>HYPERLINK("https://klasma.github.io/Logging_1862/artfynd/A 47787-2025 artfynd.xlsx", "A 47787-2025")</f>
        <v/>
      </c>
      <c r="X44">
        <f>HYPERLINK("https://klasma.github.io/Logging_1862/kartor/A 47787-2025 karta.png", "A 47787-2025")</f>
        <v/>
      </c>
      <c r="Y44">
        <f>HYPERLINK("https://klasma.github.io/Logging_1862/kartor_geotiff/A 47787-2025 georefererad karta.tif", "A 47787-2025")</f>
        <v/>
      </c>
      <c r="AA44">
        <f>HYPERLINK("https://klasma.github.io/Logging_1862/klagomål/A 47787-2025 FSC-klagomål.docx", "A 47787-2025")</f>
        <v/>
      </c>
      <c r="AB44">
        <f>HYPERLINK("https://klasma.github.io/Logging_1862/klagomålsmail/A 47787-2025 FSC-klagomål mail.docx", "A 47787-2025")</f>
        <v/>
      </c>
      <c r="AC44">
        <f>HYPERLINK("https://klasma.github.io/Logging_1862/tillsyn/A 47787-2025 tillsynsbegäran.docx", "A 47787-2025")</f>
        <v/>
      </c>
      <c r="AD44">
        <f>HYPERLINK("https://klasma.github.io/Logging_1862/tillsynsmail/A 47787-2025 tillsynsbegäran mail.docx", "A 47787-2025")</f>
        <v/>
      </c>
      <c r="AE44">
        <f>HYPERLINK("https://klasma.github.io/Logging_1862/fåglar/A 47787-2025 prioriterade fågelarter.docx", "A 47787-2025")</f>
        <v/>
      </c>
    </row>
    <row r="45" ht="15" customHeight="1">
      <c r="A45" t="inlineStr">
        <is>
          <t>A 27071-2026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46231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9.9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HYPERLINK("https://klasma.github.io/Logging_1862/artfynd/A 27071-2026 artfynd.xlsx", "A 27071-2026")</f>
        <v/>
      </c>
      <c r="X45">
        <f>HYPERLINK("https://klasma.github.io/Logging_1862/kartor/A 27071-2026 karta.png", "A 27071-2026")</f>
        <v/>
      </c>
      <c r="Y45">
        <f>HYPERLINK("https://klasma.github.io/Logging_1862/kartor_geotiff/A 27071-2026 georefererad karta.tif", "A 27071-2026")</f>
        <v/>
      </c>
      <c r="AA45">
        <f>HYPERLINK("https://klasma.github.io/Logging_1862/klagomål/A 27071-2026 FSC-klagomål.docx", "A 27071-2026")</f>
        <v/>
      </c>
      <c r="AB45">
        <f>HYPERLINK("https://klasma.github.io/Logging_1862/klagomålsmail/A 27071-2026 FSC-klagomål mail.docx", "A 27071-2026")</f>
        <v/>
      </c>
      <c r="AC45">
        <f>HYPERLINK("https://klasma.github.io/Logging_1862/tillsyn/A 27071-2026 tillsynsbegäran.docx", "A 27071-2026")</f>
        <v/>
      </c>
      <c r="AD45">
        <f>HYPERLINK("https://klasma.github.io/Logging_1862/tillsynsmail/A 27071-2026 tillsynsbegäran mail.docx", "A 27071-2026")</f>
        <v/>
      </c>
    </row>
    <row r="46" ht="15" customHeight="1">
      <c r="A46" t="inlineStr">
        <is>
          <t>A 33297-2023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45116</v>
      </c>
      <c r="E46" s="1" t="n">
        <v>46231</v>
      </c>
      <c r="F46" t="inlineStr">
        <is>
          <t>ÖREBRO LÄN</t>
        </is>
      </c>
      <c r="G46" t="inlineStr">
        <is>
          <t>DEGERFORS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HYPERLINK("https://klasma.github.io/Logging_1862/artfynd/A 33297-2023 artfynd.xlsx", "A 33297-2023")</f>
        <v/>
      </c>
      <c r="X46">
        <f>HYPERLINK("https://klasma.github.io/Logging_1862/kartor/A 33297-2023 karta.png", "A 33297-2023")</f>
        <v/>
      </c>
      <c r="Y46">
        <f>HYPERLINK("https://klasma.github.io/Logging_1862/kartor_geotiff/A 33297-2023 georefererad karta.tif", "A 33297-2023")</f>
        <v/>
      </c>
      <c r="AA46">
        <f>HYPERLINK("https://klasma.github.io/Logging_1862/klagomål/A 33297-2023 FSC-klagomål.docx", "A 33297-2023")</f>
        <v/>
      </c>
      <c r="AB46">
        <f>HYPERLINK("https://klasma.github.io/Logging_1862/klagomålsmail/A 33297-2023 FSC-klagomål mail.docx", "A 33297-2023")</f>
        <v/>
      </c>
      <c r="AC46">
        <f>HYPERLINK("https://klasma.github.io/Logging_1862/tillsyn/A 33297-2023 tillsynsbegäran.docx", "A 33297-2023")</f>
        <v/>
      </c>
      <c r="AD46">
        <f>HYPERLINK("https://klasma.github.io/Logging_1862/tillsynsmail/A 33297-2023 tillsynsbegäran mail.docx", "A 33297-2023")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46231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46231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38907-2023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45163</v>
      </c>
      <c r="E49" s="1" t="n">
        <v>46231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HYPERLINK("https://klasma.github.io/Logging_1862/artfynd/A 38907-2023 artfynd.xlsx", "A 38907-2023")</f>
        <v/>
      </c>
      <c r="X49">
        <f>HYPERLINK("https://klasma.github.io/Logging_1862/kartor/A 38907-2023 karta.png", "A 38907-2023")</f>
        <v/>
      </c>
      <c r="Y49">
        <f>HYPERLINK("https://klasma.github.io/Logging_1862/kartor_geotiff/A 38907-2023 georefererad karta.tif", "A 38907-2023")</f>
        <v/>
      </c>
      <c r="AA49">
        <f>HYPERLINK("https://klasma.github.io/Logging_1862/klagomål/A 38907-2023 FSC-klagomål.docx", "A 38907-2023")</f>
        <v/>
      </c>
      <c r="AB49">
        <f>HYPERLINK("https://klasma.github.io/Logging_1862/klagomålsmail/A 38907-2023 FSC-klagomål mail.docx", "A 38907-2023")</f>
        <v/>
      </c>
      <c r="AC49">
        <f>HYPERLINK("https://klasma.github.io/Logging_1862/tillsyn/A 38907-2023 tillsynsbegäran.docx", "A 38907-2023")</f>
        <v/>
      </c>
      <c r="AD49">
        <f>HYPERLINK("https://klasma.github.io/Logging_1862/tillsynsmail/A 38907-2023 tillsynsbegäran mail.docx", "A 38907-2023")</f>
        <v/>
      </c>
      <c r="AE49">
        <f>HYPERLINK("https://klasma.github.io/Logging_1862/fåglar/A 38907-2023 prioriterade fågelarter.docx", "A 38907-2023")</f>
        <v/>
      </c>
    </row>
    <row r="50" ht="15" customHeight="1">
      <c r="A50" t="inlineStr">
        <is>
          <t>A 2357-2022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46231</v>
      </c>
      <c r="F50" t="inlineStr">
        <is>
          <t>ÖREBRO LÄN</t>
        </is>
      </c>
      <c r="G50" t="inlineStr">
        <is>
          <t>DEGERFORS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2357-2022 artfynd.xlsx", "A 2357-2022")</f>
        <v/>
      </c>
      <c r="X50">
        <f>HYPERLINK("https://klasma.github.io/Logging_1862/kartor/A 2357-2022 karta.png", "A 2357-2022")</f>
        <v/>
      </c>
      <c r="Y50">
        <f>HYPERLINK("https://klasma.github.io/Logging_1862/kartor_geotiff/A 2357-2022 georefererad karta.tif", "A 2357-2022")</f>
        <v/>
      </c>
      <c r="AA50">
        <f>HYPERLINK("https://klasma.github.io/Logging_1862/klagomål/A 2357-2022 FSC-klagomål.docx", "A 2357-2022")</f>
        <v/>
      </c>
      <c r="AB50">
        <f>HYPERLINK("https://klasma.github.io/Logging_1862/klagomålsmail/A 2357-2022 FSC-klagomål mail.docx", "A 2357-2022")</f>
        <v/>
      </c>
      <c r="AC50">
        <f>HYPERLINK("https://klasma.github.io/Logging_1862/tillsyn/A 2357-2022 tillsynsbegäran.docx", "A 2357-2022")</f>
        <v/>
      </c>
      <c r="AD50">
        <f>HYPERLINK("https://klasma.github.io/Logging_1862/tillsynsmail/A 2357-2022 tillsynsbegäran mail.docx", "A 2357-2022")</f>
        <v/>
      </c>
      <c r="AE50">
        <f>HYPERLINK("https://klasma.github.io/Logging_1862/fåglar/A 2357-2022 prioriterade fågelarter.docx", "A 2357-2022")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46231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36798-2022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46231</v>
      </c>
      <c r="F52" t="inlineStr">
        <is>
          <t>ÖREBRO LÄN</t>
        </is>
      </c>
      <c r="G52" t="inlineStr">
        <is>
          <t>DEGERFORS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46231</v>
      </c>
      <c r="F53" t="inlineStr">
        <is>
          <t>ÖREBRO LÄN</t>
        </is>
      </c>
      <c r="G53" t="inlineStr">
        <is>
          <t>DEGERFORS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50599-2022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46231</v>
      </c>
      <c r="F54" t="inlineStr">
        <is>
          <t>ÖREBRO LÄN</t>
        </is>
      </c>
      <c r="G54" t="inlineStr">
        <is>
          <t>DEGERFORS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7510-2022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44607</v>
      </c>
      <c r="E55" s="1" t="n">
        <v>46231</v>
      </c>
      <c r="F55" t="inlineStr">
        <is>
          <t>ÖREBRO LÄN</t>
        </is>
      </c>
      <c r="G55" t="inlineStr">
        <is>
          <t>DEGERFORS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46231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46231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46231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60889-2021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44497</v>
      </c>
      <c r="E59" s="1" t="n">
        <v>46231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46231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46231</v>
      </c>
      <c r="F61" t="inlineStr">
        <is>
          <t>ÖREBRO LÄN</t>
        </is>
      </c>
      <c r="G61" t="inlineStr">
        <is>
          <t>DEGERFORS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46231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52457-2021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46231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44643</v>
      </c>
      <c r="E64" s="1" t="n">
        <v>46231</v>
      </c>
      <c r="F64" t="inlineStr">
        <is>
          <t>ÖREBRO LÄN</t>
        </is>
      </c>
      <c r="G64" t="inlineStr">
        <is>
          <t>DEGERFORS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54139-2021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46231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68578-2021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46231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46231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46231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46231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6394-2024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45338</v>
      </c>
      <c r="E70" s="1" t="n">
        <v>46231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45861-2023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45195</v>
      </c>
      <c r="E71" s="1" t="n">
        <v>46231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46231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46231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13405-2024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45387</v>
      </c>
      <c r="E74" s="1" t="n">
        <v>46231</v>
      </c>
      <c r="F74" t="inlineStr">
        <is>
          <t>ÖREBRO LÄN</t>
        </is>
      </c>
      <c r="G74" t="inlineStr">
        <is>
          <t>DEGERFORS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46231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46231</v>
      </c>
      <c r="F76" t="inlineStr">
        <is>
          <t>ÖREBRO LÄN</t>
        </is>
      </c>
      <c r="G76" t="inlineStr">
        <is>
          <t>DEGERFORS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45601</v>
      </c>
      <c r="E77" s="1" t="n">
        <v>46231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45798</v>
      </c>
      <c r="E78" s="1" t="n">
        <v>46231</v>
      </c>
      <c r="F78" t="inlineStr">
        <is>
          <t>ÖREBRO LÄN</t>
        </is>
      </c>
      <c r="G78" t="inlineStr">
        <is>
          <t>DEGERFORS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46027</v>
      </c>
      <c r="E79" s="1" t="n">
        <v>46231</v>
      </c>
      <c r="F79" t="inlineStr">
        <is>
          <t>ÖREBRO LÄN</t>
        </is>
      </c>
      <c r="G79" t="inlineStr">
        <is>
          <t>DEGERFORS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46231</v>
      </c>
      <c r="F80" t="inlineStr">
        <is>
          <t>ÖREBRO LÄN</t>
        </is>
      </c>
      <c r="G80" t="inlineStr">
        <is>
          <t>DEGERFORS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45629</v>
      </c>
      <c r="E81" s="1" t="n">
        <v>46231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45810</v>
      </c>
      <c r="E82" s="1" t="n">
        <v>46231</v>
      </c>
      <c r="F82" t="inlineStr">
        <is>
          <t>ÖREBRO LÄN</t>
        </is>
      </c>
      <c r="G82" t="inlineStr">
        <is>
          <t>DEGERFORS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46231</v>
      </c>
      <c r="F83" t="inlineStr">
        <is>
          <t>ÖREBRO LÄN</t>
        </is>
      </c>
      <c r="G83" t="inlineStr">
        <is>
          <t>DEGERFORS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6387-2024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45338</v>
      </c>
      <c r="E84" s="1" t="n">
        <v>46231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46231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46231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59158-2022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44904</v>
      </c>
      <c r="E87" s="1" t="n">
        <v>46231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46231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46231</v>
      </c>
      <c r="F89" t="inlineStr">
        <is>
          <t>ÖREBRO LÄN</t>
        </is>
      </c>
      <c r="G89" t="inlineStr">
        <is>
          <t>DEGERFORS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46231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46231</v>
      </c>
      <c r="F91" t="inlineStr">
        <is>
          <t>ÖREBRO LÄN</t>
        </is>
      </c>
      <c r="G91" t="inlineStr">
        <is>
          <t>DEGERFORS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45569</v>
      </c>
      <c r="E92" s="1" t="n">
        <v>46231</v>
      </c>
      <c r="F92" t="inlineStr">
        <is>
          <t>ÖREBRO LÄN</t>
        </is>
      </c>
      <c r="G92" t="inlineStr">
        <is>
          <t>DEGERFORS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46231</v>
      </c>
      <c r="F93" t="inlineStr">
        <is>
          <t>ÖREBRO LÄN</t>
        </is>
      </c>
      <c r="G93" t="inlineStr">
        <is>
          <t>DEGERFORS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45639</v>
      </c>
      <c r="E94" s="1" t="n">
        <v>46231</v>
      </c>
      <c r="F94" t="inlineStr">
        <is>
          <t>ÖREBRO LÄN</t>
        </is>
      </c>
      <c r="G94" t="inlineStr">
        <is>
          <t>DEGERFORS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47935-2024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45589</v>
      </c>
      <c r="E95" s="1" t="n">
        <v>46231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21952-2024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45443</v>
      </c>
      <c r="E96" s="1" t="n">
        <v>46231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46070</v>
      </c>
      <c r="E97" s="1" t="n">
        <v>46231</v>
      </c>
      <c r="F97" t="inlineStr">
        <is>
          <t>ÖREBRO LÄN</t>
        </is>
      </c>
      <c r="G97" t="inlineStr">
        <is>
          <t>DEGERFORS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46231</v>
      </c>
      <c r="F98" t="inlineStr">
        <is>
          <t>ÖREBRO LÄN</t>
        </is>
      </c>
      <c r="G98" t="inlineStr">
        <is>
          <t>DEGERFORS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46086</v>
      </c>
      <c r="E99" s="1" t="n">
        <v>46231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46231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46231</v>
      </c>
      <c r="F101" t="inlineStr">
        <is>
          <t>ÖREBRO LÄN</t>
        </is>
      </c>
      <c r="G101" t="inlineStr">
        <is>
          <t>DEGERFORS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46231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46093</v>
      </c>
      <c r="E103" s="1" t="n">
        <v>46231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37333-2025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45876</v>
      </c>
      <c r="E104" s="1" t="n">
        <v>46231</v>
      </c>
      <c r="F104" t="inlineStr">
        <is>
          <t>ÖREBRO LÄN</t>
        </is>
      </c>
      <c r="G104" t="inlineStr">
        <is>
          <t>DEGERFORS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50377-2024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46231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37265-2025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45876</v>
      </c>
      <c r="E106" s="1" t="n">
        <v>46231</v>
      </c>
      <c r="F106" t="inlineStr">
        <is>
          <t>ÖREBRO LÄN</t>
        </is>
      </c>
      <c r="G106" t="inlineStr">
        <is>
          <t>DEGERFORS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46092</v>
      </c>
      <c r="E107" s="1" t="n">
        <v>46231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8.800000000000001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15594-2025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46231</v>
      </c>
      <c r="F108" t="inlineStr">
        <is>
          <t>ÖREBRO LÄN</t>
        </is>
      </c>
      <c r="G108" t="inlineStr">
        <is>
          <t>DEGERFORS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46094</v>
      </c>
      <c r="E109" s="1" t="n">
        <v>46231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46231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45902</v>
      </c>
      <c r="E111" s="1" t="n">
        <v>46231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46231</v>
      </c>
      <c r="F112" t="inlineStr">
        <is>
          <t>ÖREBRO LÄN</t>
        </is>
      </c>
      <c r="G112" t="inlineStr">
        <is>
          <t>DEGERFORS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46231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18506-2026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46231</v>
      </c>
      <c r="F114" t="inlineStr">
        <is>
          <t>ÖREBRO LÄN</t>
        </is>
      </c>
      <c r="G114" t="inlineStr">
        <is>
          <t>DEGERFORS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45163</v>
      </c>
      <c r="E115" s="1" t="n">
        <v>46231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46132</v>
      </c>
      <c r="E116" s="1" t="n">
        <v>46231</v>
      </c>
      <c r="F116" t="inlineStr">
        <is>
          <t>ÖREBRO LÄN</t>
        </is>
      </c>
      <c r="G116" t="inlineStr">
        <is>
          <t>DEGERFORS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46231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46231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46231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46231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63905-2021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46231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12148-2025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45729</v>
      </c>
      <c r="E122" s="1" t="n">
        <v>46231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46231</v>
      </c>
      <c r="F123" t="inlineStr">
        <is>
          <t>ÖREBRO LÄN</t>
        </is>
      </c>
      <c r="G123" t="inlineStr">
        <is>
          <t>DEGERFORS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46231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20577-2023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45057</v>
      </c>
      <c r="E125" s="1" t="n">
        <v>46231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10797-2023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44989</v>
      </c>
      <c r="E126" s="1" t="n">
        <v>46231</v>
      </c>
      <c r="F126" t="inlineStr">
        <is>
          <t>ÖREBRO LÄN</t>
        </is>
      </c>
      <c r="G126" t="inlineStr">
        <is>
          <t>DEGERFORS</t>
        </is>
      </c>
      <c r="I126" t="n">
        <v>9.5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44839</v>
      </c>
      <c r="E127" s="1" t="n">
        <v>46231</v>
      </c>
      <c r="F127" t="inlineStr">
        <is>
          <t>ÖREBRO LÄN</t>
        </is>
      </c>
      <c r="G127" t="inlineStr">
        <is>
          <t>DEGERFORS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46231</v>
      </c>
      <c r="F128" t="inlineStr">
        <is>
          <t>ÖREBRO LÄN</t>
        </is>
      </c>
      <c r="G128" t="inlineStr">
        <is>
          <t>DEGERFORS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45106</v>
      </c>
      <c r="E129" s="1" t="n">
        <v>46231</v>
      </c>
      <c r="F129" t="inlineStr">
        <is>
          <t>ÖREBRO LÄN</t>
        </is>
      </c>
      <c r="G129" t="inlineStr">
        <is>
          <t>DEGERFORS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46231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46231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46231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46231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46148</v>
      </c>
      <c r="E134" s="1" t="n">
        <v>46231</v>
      </c>
      <c r="F134" t="inlineStr">
        <is>
          <t>ÖREBRO LÄN</t>
        </is>
      </c>
      <c r="G134" t="inlineStr">
        <is>
          <t>DEGERFORS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46148</v>
      </c>
      <c r="E135" s="1" t="n">
        <v>46231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21442-2026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46148</v>
      </c>
      <c r="E136" s="1" t="n">
        <v>46231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27411-2026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46189</v>
      </c>
      <c r="E137" s="1" t="n">
        <v>46231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46148</v>
      </c>
      <c r="E138" s="1" t="n">
        <v>46231</v>
      </c>
      <c r="F138" t="inlineStr">
        <is>
          <t>ÖREBRO LÄN</t>
        </is>
      </c>
      <c r="G138" t="inlineStr">
        <is>
          <t>DEGERFORS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27671-2026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46190</v>
      </c>
      <c r="E139" s="1" t="n">
        <v>46231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44986</v>
      </c>
      <c r="E140" s="1" t="n">
        <v>46231</v>
      </c>
      <c r="F140" t="inlineStr">
        <is>
          <t>ÖREBRO LÄN</t>
        </is>
      </c>
      <c r="G140" t="inlineStr">
        <is>
          <t>DEGERFORS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46231</v>
      </c>
      <c r="F141" t="inlineStr">
        <is>
          <t>ÖREBRO LÄN</t>
        </is>
      </c>
      <c r="G141" t="inlineStr">
        <is>
          <t>DEGERFORS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46191</v>
      </c>
      <c r="E142" s="1" t="n">
        <v>46231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46191</v>
      </c>
      <c r="E143" s="1" t="n">
        <v>46231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46231</v>
      </c>
      <c r="F144" t="inlineStr">
        <is>
          <t>ÖREBRO LÄN</t>
        </is>
      </c>
      <c r="G144" t="inlineStr">
        <is>
          <t>DEGERFORS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46231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46231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46231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46231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44501</v>
      </c>
      <c r="E149" s="1" t="n">
        <v>46231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29607-2022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46231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46231</v>
      </c>
      <c r="F151" t="inlineStr">
        <is>
          <t>ÖREBRO LÄN</t>
        </is>
      </c>
      <c r="G151" t="inlineStr">
        <is>
          <t>DEGERFORS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46231</v>
      </c>
      <c r="F152" t="inlineStr">
        <is>
          <t>ÖREBRO LÄN</t>
        </is>
      </c>
      <c r="G152" t="inlineStr">
        <is>
          <t>DEGERFORS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28695-2026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46198</v>
      </c>
      <c r="E153" s="1" t="n">
        <v>46231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46231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46231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46231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46231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46231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46231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33658-2024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45520</v>
      </c>
      <c r="E160" s="1" t="n">
        <v>46231</v>
      </c>
      <c r="F160" t="inlineStr">
        <is>
          <t>ÖREBRO LÄN</t>
        </is>
      </c>
      <c r="G160" t="inlineStr">
        <is>
          <t>DEGERFORS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46231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38233-2023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45160</v>
      </c>
      <c r="E162" s="1" t="n">
        <v>46231</v>
      </c>
      <c r="F162" t="inlineStr">
        <is>
          <t>ÖREBRO LÄN</t>
        </is>
      </c>
      <c r="G162" t="inlineStr">
        <is>
          <t>DEGERFORS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51040-2025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46231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46199</v>
      </c>
      <c r="E164" s="1" t="n">
        <v>46231</v>
      </c>
      <c r="F164" t="inlineStr">
        <is>
          <t>ÖREBRO LÄN</t>
        </is>
      </c>
      <c r="G164" t="inlineStr">
        <is>
          <t>DEGERFORS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14678-2025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45742</v>
      </c>
      <c r="E165" s="1" t="n">
        <v>46231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46162</v>
      </c>
      <c r="E166" s="1" t="n">
        <v>46231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46231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50766-2024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45602</v>
      </c>
      <c r="E168" s="1" t="n">
        <v>46231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46231</v>
      </c>
      <c r="F169" t="inlineStr">
        <is>
          <t>ÖREBRO LÄN</t>
        </is>
      </c>
      <c r="G169" t="inlineStr">
        <is>
          <t>DEGERFORS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46204</v>
      </c>
      <c r="E170" s="1" t="n">
        <v>46231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50207-2024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45600</v>
      </c>
      <c r="E171" s="1" t="n">
        <v>46231</v>
      </c>
      <c r="F171" t="inlineStr">
        <is>
          <t>ÖREBRO LÄN</t>
        </is>
      </c>
      <c r="G171" t="inlineStr">
        <is>
          <t>DEGERFORS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50208-2024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46231</v>
      </c>
      <c r="F172" t="inlineStr">
        <is>
          <t>ÖREBRO LÄN</t>
        </is>
      </c>
      <c r="G172" t="inlineStr">
        <is>
          <t>DEGERFORS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46167</v>
      </c>
      <c r="E173" s="1" t="n">
        <v>46231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46231</v>
      </c>
      <c r="F174" t="inlineStr">
        <is>
          <t>ÖREBRO LÄN</t>
        </is>
      </c>
      <c r="G174" t="inlineStr">
        <is>
          <t>DEGERFORS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24689-2026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46231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24460-2026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46231</v>
      </c>
      <c r="F176" t="inlineStr">
        <is>
          <t>ÖREBRO LÄN</t>
        </is>
      </c>
      <c r="G176" t="inlineStr">
        <is>
          <t>DEGERFORS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12143-2025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45729</v>
      </c>
      <c r="E177" s="1" t="n">
        <v>46231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52523-2024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45609</v>
      </c>
      <c r="E178" s="1" t="n">
        <v>46231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46231</v>
      </c>
      <c r="F179" t="inlineStr">
        <is>
          <t>ÖREBRO LÄN</t>
        </is>
      </c>
      <c r="G179" t="inlineStr">
        <is>
          <t>DEGERFORS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46231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45645</v>
      </c>
      <c r="E181" s="1" t="n">
        <v>46231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46231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45190</v>
      </c>
      <c r="E183" s="1" t="n">
        <v>46231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51652-2023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46231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57086-2025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45979</v>
      </c>
      <c r="E185" s="1" t="n">
        <v>46231</v>
      </c>
      <c r="F185" t="inlineStr">
        <is>
          <t>ÖREBRO LÄN</t>
        </is>
      </c>
      <c r="G185" t="inlineStr">
        <is>
          <t>DEGERFORS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26857-2026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46185</v>
      </c>
      <c r="E186" s="1" t="n">
        <v>46231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45116</v>
      </c>
      <c r="E187" s="1" t="n">
        <v>46231</v>
      </c>
      <c r="F187" t="inlineStr">
        <is>
          <t>ÖREBRO LÄN</t>
        </is>
      </c>
      <c r="G187" t="inlineStr">
        <is>
          <t>DEGERFORS</t>
        </is>
      </c>
      <c r="I187" t="n">
        <v>17.2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46231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46185</v>
      </c>
      <c r="E189" s="1" t="n">
        <v>46231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46231</v>
      </c>
      <c r="F190" t="inlineStr">
        <is>
          <t>ÖREBRO LÄN</t>
        </is>
      </c>
      <c r="G190" t="inlineStr">
        <is>
          <t>DEGERFORS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46230</v>
      </c>
      <c r="E191" s="1" t="n">
        <v>46231</v>
      </c>
      <c r="F191" t="inlineStr">
        <is>
          <t>ÖREBRO LÄN</t>
        </is>
      </c>
      <c r="G191" t="inlineStr">
        <is>
          <t>DEGERFORS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45995</v>
      </c>
      <c r="E192" s="1" t="n">
        <v>46231</v>
      </c>
      <c r="F192" t="inlineStr">
        <is>
          <t>ÖREBRO LÄN</t>
        </is>
      </c>
      <c r="G192" t="inlineStr">
        <is>
          <t>DEGERFORS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60708-2025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45996</v>
      </c>
      <c r="E193" s="1" t="n">
        <v>46231</v>
      </c>
      <c r="F193" t="inlineStr">
        <is>
          <t>ÖREBRO LÄN</t>
        </is>
      </c>
      <c r="G193" t="inlineStr">
        <is>
          <t>DEGERFORS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45351</v>
      </c>
      <c r="E194" s="1" t="n">
        <v>46231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45351</v>
      </c>
      <c r="E195" s="1" t="n">
        <v>46231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60907-2023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45261</v>
      </c>
      <c r="E196" s="1" t="n">
        <v>46231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45996</v>
      </c>
      <c r="E197" s="1" t="n">
        <v>46231</v>
      </c>
      <c r="F197" t="inlineStr">
        <is>
          <t>ÖREBRO LÄN</t>
        </is>
      </c>
      <c r="G197" t="inlineStr">
        <is>
          <t>DEGERFORS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45205</v>
      </c>
      <c r="E198" s="1" t="n">
        <v>46231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46231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44781</v>
      </c>
      <c r="E200" s="1" t="n">
        <v>46231</v>
      </c>
      <c r="F200" t="inlineStr">
        <is>
          <t>ÖREBRO LÄN</t>
        </is>
      </c>
      <c r="G200" t="inlineStr">
        <is>
          <t>DEGERFORS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73693-2021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44552</v>
      </c>
      <c r="E201" s="1" t="n">
        <v>46231</v>
      </c>
      <c r="F201" t="inlineStr">
        <is>
          <t>ÖREBRO LÄN</t>
        </is>
      </c>
      <c r="G201" t="inlineStr">
        <is>
          <t>DEGERFORS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36437-2024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45535</v>
      </c>
      <c r="E202" s="1" t="n">
        <v>46231</v>
      </c>
      <c r="F202" t="inlineStr">
        <is>
          <t>ÖREBRO LÄN</t>
        </is>
      </c>
      <c r="G202" t="inlineStr">
        <is>
          <t>DEGERFORS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45192</v>
      </c>
      <c r="E203" s="1" t="n">
        <v>46231</v>
      </c>
      <c r="F203" t="inlineStr">
        <is>
          <t>ÖREBRO LÄN</t>
        </is>
      </c>
      <c r="G203" t="inlineStr">
        <is>
          <t>DEGERFORS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44463</v>
      </c>
      <c r="E204" s="1" t="n">
        <v>46231</v>
      </c>
      <c r="F204" t="inlineStr">
        <is>
          <t>ÖREBRO LÄN</t>
        </is>
      </c>
      <c r="G204" t="inlineStr">
        <is>
          <t>DEGERFORS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37672-2024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45541</v>
      </c>
      <c r="E205" s="1" t="n">
        <v>46231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44735-2021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44438</v>
      </c>
      <c r="E206" s="1" t="n">
        <v>46231</v>
      </c>
      <c r="F206" t="inlineStr">
        <is>
          <t>ÖREBRO LÄN</t>
        </is>
      </c>
      <c r="G206" t="inlineStr">
        <is>
          <t>DEGERFORS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44579</v>
      </c>
      <c r="E207" s="1" t="n">
        <v>46231</v>
      </c>
      <c r="F207" t="inlineStr">
        <is>
          <t>ÖREBRO LÄN</t>
        </is>
      </c>
      <c r="G207" t="inlineStr">
        <is>
          <t>DEGERFORS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10674-2024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45369</v>
      </c>
      <c r="E208" s="1" t="n">
        <v>46231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46231</v>
      </c>
      <c r="F209" t="inlineStr">
        <is>
          <t>ÖREBRO LÄN</t>
        </is>
      </c>
      <c r="G209" t="inlineStr">
        <is>
          <t>DEGERFORS</t>
        </is>
      </c>
      <c r="I209" t="n">
        <v>13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45222</v>
      </c>
      <c r="E210" s="1" t="n">
        <v>46231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45376</v>
      </c>
      <c r="E211" s="1" t="n">
        <v>46231</v>
      </c>
      <c r="F211" t="inlineStr">
        <is>
          <t>ÖREBRO LÄN</t>
        </is>
      </c>
      <c r="G211" t="inlineStr">
        <is>
          <t>DEGERFORS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45621</v>
      </c>
      <c r="E212" s="1" t="n">
        <v>46231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8059-2024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45351</v>
      </c>
      <c r="E213" s="1" t="n">
        <v>46231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45233</v>
      </c>
      <c r="E214" s="1" t="n">
        <v>46231</v>
      </c>
      <c r="F214" t="inlineStr">
        <is>
          <t>ÖREBRO LÄN</t>
        </is>
      </c>
      <c r="G214" t="inlineStr">
        <is>
          <t>DEGERFORS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46231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12729-2024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46231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46231</v>
      </c>
      <c r="F217" t="inlineStr">
        <is>
          <t>ÖREBRO LÄN</t>
        </is>
      </c>
      <c r="G217" t="inlineStr">
        <is>
          <t>DEGERFORS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46231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46231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46231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46231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46231</v>
      </c>
      <c r="F222" t="inlineStr">
        <is>
          <t>ÖREBRO LÄN</t>
        </is>
      </c>
      <c r="G222" t="inlineStr">
        <is>
          <t>DEGERFORS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46231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46231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62982-2023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45272</v>
      </c>
      <c r="E225" s="1" t="n">
        <v>46231</v>
      </c>
      <c r="F225" t="inlineStr">
        <is>
          <t>ÖREBRO LÄN</t>
        </is>
      </c>
      <c r="G225" t="inlineStr">
        <is>
          <t>DEGERFORS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46231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46231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46231</v>
      </c>
      <c r="F228" t="inlineStr">
        <is>
          <t>ÖREBRO LÄN</t>
        </is>
      </c>
      <c r="G228" t="inlineStr">
        <is>
          <t>DEGERFORS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46231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479-2022</t>
        </is>
      </c>
      <c r="B230" t="inlineStr">
        <is>
          <t>samrådsanmälan</t>
        </is>
      </c>
      <c r="C230" t="inlineStr">
        <is>
          <t>Skogsbilväg</t>
        </is>
      </c>
      <c r="D230" s="1" t="n">
        <v>44587</v>
      </c>
      <c r="E230" s="1" t="n">
        <v>46231</v>
      </c>
      <c r="F230" t="inlineStr">
        <is>
          <t>ÖREBRO LÄN</t>
        </is>
      </c>
      <c r="G230" t="inlineStr">
        <is>
          <t>DEGERFORS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1697-2025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45805</v>
      </c>
      <c r="E231" s="1" t="n">
        <v>46231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1694-2025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46231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794-2025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45729</v>
      </c>
      <c r="E233" s="1" t="n">
        <v>46231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793-2025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46231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963-2025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45742</v>
      </c>
      <c r="E235" s="1" t="n">
        <v>46231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964-2025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46231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2595-2025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45916</v>
      </c>
      <c r="E237" s="1" t="n">
        <v>46231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2026-07-28T01:47:30Z</dcterms:created>
  <dcterms:modified xmlns:dcterms="http://purl.org/dc/terms/" xmlns:xsi="http://www.w3.org/2001/XMLSchema-instance" xsi:type="dcterms:W3CDTF">2026-07-28T01:47:31Z</dcterms:modified>
</cp:coreProperties>
</file>