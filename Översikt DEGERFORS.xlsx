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46314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46314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46314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46314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46314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46314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46314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46314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46314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46314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46314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46314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46314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46314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46314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47975-2025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45932</v>
      </c>
      <c r="E17" s="1" t="n">
        <v>46314</v>
      </c>
      <c r="F17" t="inlineStr">
        <is>
          <t>ÖREBRO LÄN</t>
        </is>
      </c>
      <c r="G17" t="inlineStr">
        <is>
          <t>DEGERFORS</t>
        </is>
      </c>
      <c r="I17" t="n">
        <v>11.8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Tretåig hackspett
Spillkråka
Kråka
Kungsfågel</t>
        </is>
      </c>
      <c r="W17">
        <f>HYPERLINK("https://klasma.github.io/Logging_1862/artfynd/A 47975-2025 artfynd.xlsx", "A 47975-2025")</f>
        <v/>
      </c>
      <c r="X17">
        <f>HYPERLINK("https://klasma.github.io/Logging_1862/kartor/A 47975-2025 karta.png", "A 47975-2025")</f>
        <v/>
      </c>
      <c r="Y17">
        <f>HYPERLINK("https://klasma.github.io/Logging_1862/kartor_geotiff/A 47975-2025 georefererad karta.tif", "A 47975-2025")</f>
        <v/>
      </c>
      <c r="AA17">
        <f>HYPERLINK("https://klasma.github.io/Logging_1862/klagomål/A 47975-2025 FSC-klagomål.docx", "A 47975-2025")</f>
        <v/>
      </c>
      <c r="AB17">
        <f>HYPERLINK("https://klasma.github.io/Logging_1862/klagomålsmail/A 47975-2025 FSC-klagomål mail.docx", "A 47975-2025")</f>
        <v/>
      </c>
      <c r="AC17">
        <f>HYPERLINK("https://klasma.github.io/Logging_1862/tillsyn/A 47975-2025 tillsynsbegäran.docx", "A 47975-2025")</f>
        <v/>
      </c>
      <c r="AD17">
        <f>HYPERLINK("https://klasma.github.io/Logging_1862/tillsynsmail/A 47975-2025 tillsynsbegäran mail.docx", "A 47975-2025")</f>
        <v/>
      </c>
      <c r="AE17">
        <f>HYPERLINK("https://klasma.github.io/Logging_1862/fåglar/A 47975-2025 prioriterade fågelarter.docx", "A 47975-2025")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46314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46314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12720-2024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45384</v>
      </c>
      <c r="E20" s="1" t="n">
        <v>46314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5.1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7</v>
      </c>
      <c r="U20" t="n">
        <v>7</v>
      </c>
      <c r="V20" s="2" t="inlineStr">
        <is>
          <t>Nordfladdermus
Svinrot
Tretåig hackspett
Fläcknycklar</t>
        </is>
      </c>
      <c r="W20">
        <f>HYPERLINK("https://klasma.github.io/Logging_1862/artfynd/A 12720-2024 artfynd.xlsx", "A 12720-2024")</f>
        <v/>
      </c>
      <c r="X20">
        <f>HYPERLINK("https://klasma.github.io/Logging_1862/kartor/A 12720-2024 karta.png", "A 12720-2024")</f>
        <v/>
      </c>
      <c r="Y20">
        <f>HYPERLINK("https://klasma.github.io/Logging_1862/kartor_geotiff/A 12720-2024 georefererad karta.tif", "A 12720-2024")</f>
        <v/>
      </c>
      <c r="AA20">
        <f>HYPERLINK("https://klasma.github.io/Logging_1862/klagomål/A 12720-2024 FSC-klagomål.docx", "A 12720-2024")</f>
        <v/>
      </c>
      <c r="AB20">
        <f>HYPERLINK("https://klasma.github.io/Logging_1862/klagomålsmail/A 12720-2024 FSC-klagomål mail.docx", "A 12720-2024")</f>
        <v/>
      </c>
      <c r="AC20">
        <f>HYPERLINK("https://klasma.github.io/Logging_1862/tillsyn/A 12720-2024 tillsynsbegäran.docx", "A 12720-2024")</f>
        <v/>
      </c>
      <c r="AD20">
        <f>HYPERLINK("https://klasma.github.io/Logging_1862/tillsynsmail/A 12720-2024 tillsynsbegäran mail.docx", "A 12720-2024")</f>
        <v/>
      </c>
      <c r="AE20">
        <f>HYPERLINK("https://klasma.github.io/Logging_1862/fåglar/A 12720-2024 prioriterade fågelarter.docx", "A 12720-2024")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46314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46314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46314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46314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27671-2026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46190</v>
      </c>
      <c r="E25" s="1" t="n">
        <v>46314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Spillkråka
Tjäder
Fläcknycklar</t>
        </is>
      </c>
      <c r="W25">
        <f>HYPERLINK("https://klasma.github.io/Logging_1862/artfynd/A 27671-2026 artfynd.xlsx", "A 27671-2026")</f>
        <v/>
      </c>
      <c r="X25">
        <f>HYPERLINK("https://klasma.github.io/Logging_1862/kartor/A 27671-2026 karta.png", "A 27671-2026")</f>
        <v/>
      </c>
      <c r="Y25">
        <f>HYPERLINK("https://klasma.github.io/Logging_1862/kartor_geotiff/A 27671-2026 georefererad karta.tif", "A 27671-2026")</f>
        <v/>
      </c>
      <c r="AA25">
        <f>HYPERLINK("https://klasma.github.io/Logging_1862/klagomål/A 27671-2026 FSC-klagomål.docx", "A 27671-2026")</f>
        <v/>
      </c>
      <c r="AB25">
        <f>HYPERLINK("https://klasma.github.io/Logging_1862/klagomålsmail/A 27671-2026 FSC-klagomål mail.docx", "A 27671-2026")</f>
        <v/>
      </c>
      <c r="AC25">
        <f>HYPERLINK("https://klasma.github.io/Logging_1862/tillsyn/A 27671-2026 tillsynsbegäran.docx", "A 27671-2026")</f>
        <v/>
      </c>
      <c r="AD25">
        <f>HYPERLINK("https://klasma.github.io/Logging_1862/tillsynsmail/A 27671-2026 tillsynsbegäran mail.docx", "A 27671-2026")</f>
        <v/>
      </c>
      <c r="AE25">
        <f>HYPERLINK("https://klasma.github.io/Logging_1862/fåglar/A 27671-2026 prioriterade fågelarter.docx", "A 27671-2026")</f>
        <v/>
      </c>
    </row>
    <row r="26" ht="15" customHeight="1">
      <c r="A26" t="inlineStr">
        <is>
          <t>A 38914-2023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46314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5.4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Tjäder</t>
        </is>
      </c>
      <c r="W26">
        <f>HYPERLINK("https://klasma.github.io/Logging_1862/artfynd/A 38914-2023 artfynd.xlsx", "A 38914-2023")</f>
        <v/>
      </c>
      <c r="X26">
        <f>HYPERLINK("https://klasma.github.io/Logging_1862/kartor/A 38914-2023 karta.png", "A 38914-2023")</f>
        <v/>
      </c>
      <c r="Y26">
        <f>HYPERLINK("https://klasma.github.io/Logging_1862/kartor_geotiff/A 38914-2023 georefererad karta.tif", "A 38914-2023")</f>
        <v/>
      </c>
      <c r="AA26">
        <f>HYPERLINK("https://klasma.github.io/Logging_1862/klagomål/A 38914-2023 FSC-klagomål.docx", "A 38914-2023")</f>
        <v/>
      </c>
      <c r="AB26">
        <f>HYPERLINK("https://klasma.github.io/Logging_1862/klagomålsmail/A 38914-2023 FSC-klagomål mail.docx", "A 38914-2023")</f>
        <v/>
      </c>
      <c r="AC26">
        <f>HYPERLINK("https://klasma.github.io/Logging_1862/tillsyn/A 38914-2023 tillsynsbegäran.docx", "A 38914-2023")</f>
        <v/>
      </c>
      <c r="AD26">
        <f>HYPERLINK("https://klasma.github.io/Logging_1862/tillsynsmail/A 38914-2023 tillsynsbegäran mail.docx", "A 38914-2023")</f>
        <v/>
      </c>
      <c r="AE26">
        <f>HYPERLINK("https://klasma.github.io/Logging_1862/fåglar/A 38914-2023 prioriterade fågelarter.docx", "A 38914-2023")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46314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40870-2024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45558</v>
      </c>
      <c r="E28" s="1" t="n">
        <v>46314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1.9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Spillkråka</t>
        </is>
      </c>
      <c r="W28">
        <f>HYPERLINK("https://klasma.github.io/Logging_1862/artfynd/A 40870-2024 artfynd.xlsx", "A 40870-2024")</f>
        <v/>
      </c>
      <c r="X28">
        <f>HYPERLINK("https://klasma.github.io/Logging_1862/kartor/A 40870-2024 karta.png", "A 40870-2024")</f>
        <v/>
      </c>
      <c r="Y28">
        <f>HYPERLINK("https://klasma.github.io/Logging_1862/kartor_geotiff/A 40870-2024 georefererad karta.tif", "A 40870-2024")</f>
        <v/>
      </c>
      <c r="AA28">
        <f>HYPERLINK("https://klasma.github.io/Logging_1862/klagomål/A 40870-2024 FSC-klagomål.docx", "A 40870-2024")</f>
        <v/>
      </c>
      <c r="AB28">
        <f>HYPERLINK("https://klasma.github.io/Logging_1862/klagomålsmail/A 40870-2024 FSC-klagomål mail.docx", "A 40870-2024")</f>
        <v/>
      </c>
      <c r="AC28">
        <f>HYPERLINK("https://klasma.github.io/Logging_1862/tillsyn/A 40870-2024 tillsynsbegäran.docx", "A 40870-2024")</f>
        <v/>
      </c>
      <c r="AD28">
        <f>HYPERLINK("https://klasma.github.io/Logging_1862/tillsynsmail/A 40870-2024 tillsynsbegäran mail.docx", "A 40870-2024")</f>
        <v/>
      </c>
      <c r="AE28">
        <f>HYPERLINK("https://klasma.github.io/Logging_1862/fåglar/A 40870-2024 prioriterade fågelarter.docx", "A 40870-2024")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46314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46314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4256-2026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46314</v>
      </c>
      <c r="F31" t="inlineStr">
        <is>
          <t>ÖREBRO LÄN</t>
        </is>
      </c>
      <c r="G31" t="inlineStr">
        <is>
          <t>DEGERFORS</t>
        </is>
      </c>
      <c r="I31" t="n">
        <v>2.9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Skogsklocka
Slåtterfibbla</t>
        </is>
      </c>
      <c r="W31">
        <f>HYPERLINK("https://klasma.github.io/Logging_1862/artfynd/A 4256-2026 artfynd.xlsx", "A 4256-2026")</f>
        <v/>
      </c>
      <c r="X31">
        <f>HYPERLINK("https://klasma.github.io/Logging_1862/kartor/A 4256-2026 karta.png", "A 4256-2026")</f>
        <v/>
      </c>
      <c r="Y31">
        <f>HYPERLINK("https://klasma.github.io/Logging_1862/kartor_geotiff/A 4256-2026 georefererad karta.tif", "A 4256-2026")</f>
        <v/>
      </c>
      <c r="AA31">
        <f>HYPERLINK("https://klasma.github.io/Logging_1862/klagomål/A 4256-2026 FSC-klagomål.docx", "A 4256-2026")</f>
        <v/>
      </c>
      <c r="AB31">
        <f>HYPERLINK("https://klasma.github.io/Logging_1862/klagomålsmail/A 4256-2026 FSC-klagomål mail.docx", "A 4256-2026")</f>
        <v/>
      </c>
      <c r="AC31">
        <f>HYPERLINK("https://klasma.github.io/Logging_1862/tillsyn/A 4256-2026 tillsynsbegäran.docx", "A 4256-2026")</f>
        <v/>
      </c>
      <c r="AD31">
        <f>HYPERLINK("https://klasma.github.io/Logging_1862/tillsynsmail/A 4256-2026 tillsynsbegäran mail.docx", "A 4256-2026")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46314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58132-2021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44487</v>
      </c>
      <c r="E33" s="1" t="n">
        <v>46314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1.2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Hårklomossa</t>
        </is>
      </c>
      <c r="W33">
        <f>HYPERLINK("https://klasma.github.io/Logging_1862/artfynd/A 58132-2021 artfynd.xlsx", "A 58132-2021")</f>
        <v/>
      </c>
      <c r="X33">
        <f>HYPERLINK("https://klasma.github.io/Logging_1862/kartor/A 58132-2021 karta.png", "A 58132-2021")</f>
        <v/>
      </c>
      <c r="Y33">
        <f>HYPERLINK("https://klasma.github.io/Logging_1862/kartor_geotiff/A 58132-2021 georefererad karta.tif", "A 58132-2021")</f>
        <v/>
      </c>
      <c r="AA33">
        <f>HYPERLINK("https://klasma.github.io/Logging_1862/klagomål/A 58132-2021 FSC-klagomål.docx", "A 58132-2021")</f>
        <v/>
      </c>
      <c r="AB33">
        <f>HYPERLINK("https://klasma.github.io/Logging_1862/klagomålsmail/A 58132-2021 FSC-klagomål mail.docx", "A 58132-2021")</f>
        <v/>
      </c>
      <c r="AC33">
        <f>HYPERLINK("https://klasma.github.io/Logging_1862/tillsyn/A 58132-2021 tillsynsbegäran.docx", "A 58132-2021")</f>
        <v/>
      </c>
      <c r="AD33">
        <f>HYPERLINK("https://klasma.github.io/Logging_1862/tillsynsmail/A 58132-2021 tillsynsbegäran mail.docx", "A 58132-2021")</f>
        <v/>
      </c>
    </row>
    <row r="34" ht="15" customHeight="1">
      <c r="A34" t="inlineStr">
        <is>
          <t>A 33297-2023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45116</v>
      </c>
      <c r="E34" s="1" t="n">
        <v>46314</v>
      </c>
      <c r="F34" t="inlineStr">
        <is>
          <t>ÖREBRO LÄN</t>
        </is>
      </c>
      <c r="G34" t="inlineStr">
        <is>
          <t>DEGERFORS</t>
        </is>
      </c>
      <c r="I34" t="n">
        <v>7.2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HYPERLINK("https://klasma.github.io/Logging_1862/artfynd/A 33297-2023 artfynd.xlsx", "A 33297-2023")</f>
        <v/>
      </c>
      <c r="X34">
        <f>HYPERLINK("https://klasma.github.io/Logging_1862/kartor/A 33297-2023 karta.png", "A 33297-2023")</f>
        <v/>
      </c>
      <c r="Y34">
        <f>HYPERLINK("https://klasma.github.io/Logging_1862/kartor_geotiff/A 33297-2023 georefererad karta.tif", "A 33297-2023")</f>
        <v/>
      </c>
      <c r="AA34">
        <f>HYPERLINK("https://klasma.github.io/Logging_1862/klagomål/A 33297-2023 FSC-klagomål.docx", "A 33297-2023")</f>
        <v/>
      </c>
      <c r="AB34">
        <f>HYPERLINK("https://klasma.github.io/Logging_1862/klagomålsmail/A 33297-2023 FSC-klagomål mail.docx", "A 33297-2023")</f>
        <v/>
      </c>
      <c r="AC34">
        <f>HYPERLINK("https://klasma.github.io/Logging_1862/tillsyn/A 33297-2023 tillsynsbegäran.docx", "A 33297-2023")</f>
        <v/>
      </c>
      <c r="AD34">
        <f>HYPERLINK("https://klasma.github.io/Logging_1862/tillsynsmail/A 33297-2023 tillsynsbegäran mail.docx", "A 33297-2023")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46314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38904-2023 artfynd.xlsx", "A 38904-2023")</f>
        <v/>
      </c>
      <c r="X35">
        <f>HYPERLINK("https://klasma.github.io/Logging_1862/kartor/A 38904-2023 karta.png", "A 38904-2023")</f>
        <v/>
      </c>
      <c r="Y35">
        <f>HYPERLINK("https://klasma.github.io/Logging_1862/kartor_geotiff/A 38904-2023 georefererad karta.tif", "A 38904-2023")</f>
        <v/>
      </c>
      <c r="AA35">
        <f>HYPERLINK("https://klasma.github.io/Logging_1862/klagomål/A 38904-2023 FSC-klagomål.docx", "A 38904-2023")</f>
        <v/>
      </c>
      <c r="AB35">
        <f>HYPERLINK("https://klasma.github.io/Logging_1862/klagomålsmail/A 38904-2023 FSC-klagomål mail.docx", "A 38904-2023")</f>
        <v/>
      </c>
      <c r="AC35">
        <f>HYPERLINK("https://klasma.github.io/Logging_1862/tillsyn/A 38904-2023 tillsynsbegäran.docx", "A 38904-2023")</f>
        <v/>
      </c>
      <c r="AD35">
        <f>HYPERLINK("https://klasma.github.io/Logging_1862/tillsynsmail/A 38904-2023 tillsynsbegäran mail.docx", "A 38904-2023")</f>
        <v/>
      </c>
      <c r="AE35">
        <f>HYPERLINK("https://klasma.github.io/Logging_1862/fåglar/A 38904-2023 prioriterade fågelarter.docx", "A 38904-2023")</f>
        <v/>
      </c>
    </row>
    <row r="36" ht="15" customHeight="1">
      <c r="A36" t="inlineStr">
        <is>
          <t>A 27093-2023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46314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27093-2023 artfynd.xlsx", "A 27093-2023")</f>
        <v/>
      </c>
      <c r="X36">
        <f>HYPERLINK("https://klasma.github.io/Logging_1862/kartor/A 27093-2023 karta.png", "A 27093-2023")</f>
        <v/>
      </c>
      <c r="Y36">
        <f>HYPERLINK("https://klasma.github.io/Logging_1862/kartor_geotiff/A 27093-2023 georefererad karta.tif", "A 27093-2023")</f>
        <v/>
      </c>
      <c r="AA36">
        <f>HYPERLINK("https://klasma.github.io/Logging_1862/klagomål/A 27093-2023 FSC-klagomål.docx", "A 27093-2023")</f>
        <v/>
      </c>
      <c r="AB36">
        <f>HYPERLINK("https://klasma.github.io/Logging_1862/klagomålsmail/A 27093-2023 FSC-klagomål mail.docx", "A 27093-2023")</f>
        <v/>
      </c>
      <c r="AC36">
        <f>HYPERLINK("https://klasma.github.io/Logging_1862/tillsyn/A 27093-2023 tillsynsbegäran.docx", "A 27093-2023")</f>
        <v/>
      </c>
      <c r="AD36">
        <f>HYPERLINK("https://klasma.github.io/Logging_1862/tillsynsmail/A 27093-2023 tillsynsbegäran mail.docx", "A 27093-2023")</f>
        <v/>
      </c>
      <c r="AE36">
        <f>HYPERLINK("https://klasma.github.io/Logging_1862/fåglar/A 27093-2023 prioriterade fågelarter.docx", "A 27093-2023")</f>
        <v/>
      </c>
    </row>
    <row r="37" ht="15" customHeight="1">
      <c r="A37" t="inlineStr">
        <is>
          <t>A 48285-2023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45205</v>
      </c>
      <c r="E37" s="1" t="n">
        <v>46314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48285-2023 artfynd.xlsx", "A 48285-2023")</f>
        <v/>
      </c>
      <c r="X37">
        <f>HYPERLINK("https://klasma.github.io/Logging_1862/kartor/A 48285-2023 karta.png", "A 48285-2023")</f>
        <v/>
      </c>
      <c r="Y37">
        <f>HYPERLINK("https://klasma.github.io/Logging_1862/kartor_geotiff/A 48285-2023 georefererad karta.tif", "A 48285-2023")</f>
        <v/>
      </c>
      <c r="AA37">
        <f>HYPERLINK("https://klasma.github.io/Logging_1862/klagomål/A 48285-2023 FSC-klagomål.docx", "A 48285-2023")</f>
        <v/>
      </c>
      <c r="AB37">
        <f>HYPERLINK("https://klasma.github.io/Logging_1862/klagomålsmail/A 48285-2023 FSC-klagomål mail.docx", "A 48285-2023")</f>
        <v/>
      </c>
      <c r="AC37">
        <f>HYPERLINK("https://klasma.github.io/Logging_1862/tillsyn/A 48285-2023 tillsynsbegäran.docx", "A 48285-2023")</f>
        <v/>
      </c>
      <c r="AD37">
        <f>HYPERLINK("https://klasma.github.io/Logging_1862/tillsynsmail/A 48285-2023 tillsynsbegäran mail.docx", "A 48285-2023")</f>
        <v/>
      </c>
      <c r="AE37">
        <f>HYPERLINK("https://klasma.github.io/Logging_1862/fåglar/A 48285-2023 prioriterade fågelarter.docx", "A 48285-2023")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46314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47787-2025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45931</v>
      </c>
      <c r="E39" s="1" t="n">
        <v>46314</v>
      </c>
      <c r="F39" t="inlineStr">
        <is>
          <t>ÖREBRO LÄN</t>
        </is>
      </c>
      <c r="G39" t="inlineStr">
        <is>
          <t>DEGERFORS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Tretåig hackspett</t>
        </is>
      </c>
      <c r="W39">
        <f>HYPERLINK("https://klasma.github.io/Logging_1862/artfynd/A 47787-2025 artfynd.xlsx", "A 47787-2025")</f>
        <v/>
      </c>
      <c r="X39">
        <f>HYPERLINK("https://klasma.github.io/Logging_1862/kartor/A 47787-2025 karta.png", "A 47787-2025")</f>
        <v/>
      </c>
      <c r="Y39">
        <f>HYPERLINK("https://klasma.github.io/Logging_1862/kartor_geotiff/A 47787-2025 georefererad karta.tif", "A 47787-2025")</f>
        <v/>
      </c>
      <c r="AA39">
        <f>HYPERLINK("https://klasma.github.io/Logging_1862/klagomål/A 47787-2025 FSC-klagomål.docx", "A 47787-2025")</f>
        <v/>
      </c>
      <c r="AB39">
        <f>HYPERLINK("https://klasma.github.io/Logging_1862/klagomålsmail/A 47787-2025 FSC-klagomål mail.docx", "A 47787-2025")</f>
        <v/>
      </c>
      <c r="AC39">
        <f>HYPERLINK("https://klasma.github.io/Logging_1862/tillsyn/A 47787-2025 tillsynsbegäran.docx", "A 47787-2025")</f>
        <v/>
      </c>
      <c r="AD39">
        <f>HYPERLINK("https://klasma.github.io/Logging_1862/tillsynsmail/A 47787-2025 tillsynsbegäran mail.docx", "A 47787-2025")</f>
        <v/>
      </c>
      <c r="AE39">
        <f>HYPERLINK("https://klasma.github.io/Logging_1862/fåglar/A 47787-2025 prioriterade fågelarter.docx", "A 47787-2025")</f>
        <v/>
      </c>
    </row>
    <row r="40" ht="15" customHeight="1">
      <c r="A40" t="inlineStr">
        <is>
          <t>A 14121-2022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46314</v>
      </c>
      <c r="F40" t="inlineStr">
        <is>
          <t>ÖREBRO LÄN</t>
        </is>
      </c>
      <c r="G40" t="inlineStr">
        <is>
          <t>DEGERFORS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Hårklomossa</t>
        </is>
      </c>
      <c r="W40">
        <f>HYPERLINK("https://klasma.github.io/Logging_1862/artfynd/A 14121-2022 artfynd.xlsx", "A 14121-2022")</f>
        <v/>
      </c>
      <c r="X40">
        <f>HYPERLINK("https://klasma.github.io/Logging_1862/kartor/A 14121-2022 karta.png", "A 14121-2022")</f>
        <v/>
      </c>
      <c r="Y40">
        <f>HYPERLINK("https://klasma.github.io/Logging_1862/kartor_geotiff/A 14121-2022 georefererad karta.tif", "A 14121-2022")</f>
        <v/>
      </c>
      <c r="AA40">
        <f>HYPERLINK("https://klasma.github.io/Logging_1862/klagomål/A 14121-2022 FSC-klagomål.docx", "A 14121-2022")</f>
        <v/>
      </c>
      <c r="AB40">
        <f>HYPERLINK("https://klasma.github.io/Logging_1862/klagomålsmail/A 14121-2022 FSC-klagomål mail.docx", "A 14121-2022")</f>
        <v/>
      </c>
      <c r="AC40">
        <f>HYPERLINK("https://klasma.github.io/Logging_1862/tillsyn/A 14121-2022 tillsynsbegäran.docx", "A 14121-2022")</f>
        <v/>
      </c>
      <c r="AD40">
        <f>HYPERLINK("https://klasma.github.io/Logging_1862/tillsynsmail/A 14121-2022 tillsynsbegäran mail.docx", "A 14121-2022")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46314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38907-2023 artfynd.xlsx", "A 38907-2023")</f>
        <v/>
      </c>
      <c r="X41">
        <f>HYPERLINK("https://klasma.github.io/Logging_1862/kartor/A 38907-2023 karta.png", "A 38907-2023")</f>
        <v/>
      </c>
      <c r="Y41">
        <f>HYPERLINK("https://klasma.github.io/Logging_1862/kartor_geotiff/A 38907-2023 georefererad karta.tif", "A 38907-2023")</f>
        <v/>
      </c>
      <c r="AA41">
        <f>HYPERLINK("https://klasma.github.io/Logging_1862/klagomål/A 38907-2023 FSC-klagomål.docx", "A 38907-2023")</f>
        <v/>
      </c>
      <c r="AB41">
        <f>HYPERLINK("https://klasma.github.io/Logging_1862/klagomålsmail/A 38907-2023 FSC-klagomål mail.docx", "A 38907-2023")</f>
        <v/>
      </c>
      <c r="AC41">
        <f>HYPERLINK("https://klasma.github.io/Logging_1862/tillsyn/A 38907-2023 tillsynsbegäran.docx", "A 38907-2023")</f>
        <v/>
      </c>
      <c r="AD41">
        <f>HYPERLINK("https://klasma.github.io/Logging_1862/tillsynsmail/A 38907-2023 tillsynsbegäran mail.docx", "A 38907-2023")</f>
        <v/>
      </c>
      <c r="AE41">
        <f>HYPERLINK("https://klasma.github.io/Logging_1862/fåglar/A 38907-2023 prioriterade fågelarter.docx", "A 38907-2023")</f>
        <v/>
      </c>
    </row>
    <row r="42" ht="15" customHeight="1">
      <c r="A42" t="inlineStr">
        <is>
          <t>A 47941-2024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46314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Brunfläckig pärlemorfjäril</t>
        </is>
      </c>
      <c r="W42">
        <f>HYPERLINK("https://klasma.github.io/Logging_1862/artfynd/A 47941-2024 artfynd.xlsx", "A 47941-2024")</f>
        <v/>
      </c>
      <c r="X42">
        <f>HYPERLINK("https://klasma.github.io/Logging_1862/kartor/A 47941-2024 karta.png", "A 47941-2024")</f>
        <v/>
      </c>
      <c r="Y42">
        <f>HYPERLINK("https://klasma.github.io/Logging_1862/kartor_geotiff/A 47941-2024 georefererad karta.tif", "A 47941-2024")</f>
        <v/>
      </c>
      <c r="AA42">
        <f>HYPERLINK("https://klasma.github.io/Logging_1862/klagomål/A 47941-2024 FSC-klagomål.docx", "A 47941-2024")</f>
        <v/>
      </c>
      <c r="AB42">
        <f>HYPERLINK("https://klasma.github.io/Logging_1862/klagomålsmail/A 47941-2024 FSC-klagomål mail.docx", "A 47941-2024")</f>
        <v/>
      </c>
      <c r="AC42">
        <f>HYPERLINK("https://klasma.github.io/Logging_1862/tillsyn/A 47941-2024 tillsynsbegäran.docx", "A 47941-2024")</f>
        <v/>
      </c>
      <c r="AD42">
        <f>HYPERLINK("https://klasma.github.io/Logging_1862/tillsynsmail/A 47941-2024 tillsynsbegäran mail.docx", "A 47941-2024")</f>
        <v/>
      </c>
    </row>
    <row r="43" ht="15" customHeight="1">
      <c r="A43" t="inlineStr">
        <is>
          <t>A 27071-2026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46186</v>
      </c>
      <c r="E43" s="1" t="n">
        <v>46314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HYPERLINK("https://klasma.github.io/Logging_1862/artfynd/A 27071-2026 artfynd.xlsx", "A 27071-2026")</f>
        <v/>
      </c>
      <c r="X43">
        <f>HYPERLINK("https://klasma.github.io/Logging_1862/kartor/A 27071-2026 karta.png", "A 27071-2026")</f>
        <v/>
      </c>
      <c r="Y43">
        <f>HYPERLINK("https://klasma.github.io/Logging_1862/kartor_geotiff/A 27071-2026 georefererad karta.tif", "A 27071-2026")</f>
        <v/>
      </c>
      <c r="AA43">
        <f>HYPERLINK("https://klasma.github.io/Logging_1862/klagomål/A 27071-2026 FSC-klagomål.docx", "A 27071-2026")</f>
        <v/>
      </c>
      <c r="AB43">
        <f>HYPERLINK("https://klasma.github.io/Logging_1862/klagomålsmail/A 27071-2026 FSC-klagomål mail.docx", "A 27071-2026")</f>
        <v/>
      </c>
      <c r="AC43">
        <f>HYPERLINK("https://klasma.github.io/Logging_1862/tillsyn/A 27071-2026 tillsynsbegäran.docx", "A 27071-2026")</f>
        <v/>
      </c>
      <c r="AD43">
        <f>HYPERLINK("https://klasma.github.io/Logging_1862/tillsynsmail/A 27071-2026 tillsynsbegäran mail.docx", "A 27071-2026")</f>
        <v/>
      </c>
    </row>
    <row r="44" ht="15" customHeight="1">
      <c r="A44" t="inlineStr">
        <is>
          <t>A 27072-2026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46314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7.6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HYPERLINK("https://klasma.github.io/Logging_1862/artfynd/A 27072-2026 artfynd.xlsx", "A 27072-2026")</f>
        <v/>
      </c>
      <c r="X44">
        <f>HYPERLINK("https://klasma.github.io/Logging_1862/kartor/A 27072-2026 karta.png", "A 27072-2026")</f>
        <v/>
      </c>
      <c r="Y44">
        <f>HYPERLINK("https://klasma.github.io/Logging_1862/kartor_geotiff/A 27072-2026 georefererad karta.tif", "A 27072-2026")</f>
        <v/>
      </c>
      <c r="AA44">
        <f>HYPERLINK("https://klasma.github.io/Logging_1862/klagomål/A 27072-2026 FSC-klagomål.docx", "A 27072-2026")</f>
        <v/>
      </c>
      <c r="AB44">
        <f>HYPERLINK("https://klasma.github.io/Logging_1862/klagomålsmail/A 27072-2026 FSC-klagomål mail.docx", "A 27072-2026")</f>
        <v/>
      </c>
      <c r="AC44">
        <f>HYPERLINK("https://klasma.github.io/Logging_1862/tillsyn/A 27072-2026 tillsynsbegäran.docx", "A 27072-2026")</f>
        <v/>
      </c>
      <c r="AD44">
        <f>HYPERLINK("https://klasma.github.io/Logging_1862/tillsynsmail/A 27072-2026 tillsynsbegäran mail.docx", "A 27072-2026")</f>
        <v/>
      </c>
      <c r="AE44">
        <f>HYPERLINK("https://klasma.github.io/Logging_1862/fåglar/A 27072-2026 prioriterade fågelarter.docx", "A 27072-2026")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46314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26971-2026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46314</v>
      </c>
      <c r="F46" t="inlineStr">
        <is>
          <t>ÖREBRO LÄN</t>
        </is>
      </c>
      <c r="G46" t="inlineStr">
        <is>
          <t>DEGERFORS</t>
        </is>
      </c>
      <c r="I46" t="n">
        <v>2.1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HYPERLINK("https://klasma.github.io/Logging_1862/artfynd/A 26971-2026 artfynd.xlsx", "A 26971-2026")</f>
        <v/>
      </c>
      <c r="X46">
        <f>HYPERLINK("https://klasma.github.io/Logging_1862/kartor/A 26971-2026 karta.png", "A 26971-2026")</f>
        <v/>
      </c>
      <c r="Y46">
        <f>HYPERLINK("https://klasma.github.io/Logging_1862/kartor_geotiff/A 26971-2026 georefererad karta.tif", "A 26971-2026")</f>
        <v/>
      </c>
      <c r="AA46">
        <f>HYPERLINK("https://klasma.github.io/Logging_1862/klagomål/A 26971-2026 FSC-klagomål.docx", "A 26971-2026")</f>
        <v/>
      </c>
      <c r="AB46">
        <f>HYPERLINK("https://klasma.github.io/Logging_1862/klagomålsmail/A 26971-2026 FSC-klagomål mail.docx", "A 26971-2026")</f>
        <v/>
      </c>
      <c r="AC46">
        <f>HYPERLINK("https://klasma.github.io/Logging_1862/tillsyn/A 26971-2026 tillsynsbegäran.docx", "A 26971-2026")</f>
        <v/>
      </c>
      <c r="AD46">
        <f>HYPERLINK("https://klasma.github.io/Logging_1862/tillsynsmail/A 26971-2026 tillsynsbegäran mail.docx", "A 26971-2026")</f>
        <v/>
      </c>
    </row>
    <row r="47" ht="15" customHeight="1">
      <c r="A47" t="inlineStr">
        <is>
          <t>A 47915-2024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46314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HYPERLINK("https://klasma.github.io/Logging_1862/artfynd/A 47915-2024 artfynd.xlsx", "A 47915-2024")</f>
        <v/>
      </c>
      <c r="X47">
        <f>HYPERLINK("https://klasma.github.io/Logging_1862/kartor/A 47915-2024 karta.png", "A 47915-2024")</f>
        <v/>
      </c>
      <c r="Y47">
        <f>HYPERLINK("https://klasma.github.io/Logging_1862/kartor_geotiff/A 47915-2024 georefererad karta.tif", "A 47915-2024")</f>
        <v/>
      </c>
      <c r="AA47">
        <f>HYPERLINK("https://klasma.github.io/Logging_1862/klagomål/A 47915-2024 FSC-klagomål.docx", "A 47915-2024")</f>
        <v/>
      </c>
      <c r="AB47">
        <f>HYPERLINK("https://klasma.github.io/Logging_1862/klagomålsmail/A 47915-2024 FSC-klagomål mail.docx", "A 47915-2024")</f>
        <v/>
      </c>
      <c r="AC47">
        <f>HYPERLINK("https://klasma.github.io/Logging_1862/tillsyn/A 47915-2024 tillsynsbegäran.docx", "A 47915-2024")</f>
        <v/>
      </c>
      <c r="AD47">
        <f>HYPERLINK("https://klasma.github.io/Logging_1862/tillsynsmail/A 47915-2024 tillsynsbegäran mail.docx", "A 47915-2024")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46314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46314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42337-2026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46307</v>
      </c>
      <c r="E50" s="1" t="n">
        <v>46314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4.7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HYPERLINK("https://klasma.github.io/Logging_1862/artfynd/A 42337-2026 artfynd.xlsx", "A 42337-2026")</f>
        <v/>
      </c>
      <c r="X50">
        <f>HYPERLINK("https://klasma.github.io/Logging_1862/kartor/A 42337-2026 karta.png", "A 42337-2026")</f>
        <v/>
      </c>
      <c r="Y50">
        <f>HYPERLINK("https://klasma.github.io/Logging_1862/kartor_geotiff/A 42337-2026 georefererad karta.tif", "A 42337-2026")</f>
        <v/>
      </c>
      <c r="AA50">
        <f>HYPERLINK("https://klasma.github.io/Logging_1862/klagomål/A 42337-2026 FSC-klagomål.docx", "A 42337-2026")</f>
        <v/>
      </c>
      <c r="AB50">
        <f>HYPERLINK("https://klasma.github.io/Logging_1862/klagomålsmail/A 42337-2026 FSC-klagomål mail.docx", "A 42337-2026")</f>
        <v/>
      </c>
      <c r="AC50">
        <f>HYPERLINK("https://klasma.github.io/Logging_1862/tillsyn/A 42337-2026 tillsynsbegäran.docx", "A 42337-2026")</f>
        <v/>
      </c>
      <c r="AD50">
        <f>HYPERLINK("https://klasma.github.io/Logging_1862/tillsynsmail/A 42337-2026 tillsynsbegäran mail.docx", "A 42337-2026")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46314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46314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46314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46314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46314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46314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46314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46314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46314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46314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46314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46314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46314</v>
      </c>
      <c r="F63" t="inlineStr">
        <is>
          <t>ÖREBRO LÄN</t>
        </is>
      </c>
      <c r="G63" t="inlineStr">
        <is>
          <t>DEGERFORS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46314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46314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46314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46314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44754</v>
      </c>
      <c r="E68" s="1" t="n">
        <v>46314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37672-2024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45541</v>
      </c>
      <c r="E69" s="1" t="n">
        <v>46314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45624</v>
      </c>
      <c r="E70" s="1" t="n">
        <v>46314</v>
      </c>
      <c r="F70" t="inlineStr">
        <is>
          <t>ÖREBRO LÄN</t>
        </is>
      </c>
      <c r="G70" t="inlineStr">
        <is>
          <t>DEGERFORS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46314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10321-2023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46314</v>
      </c>
      <c r="F72" t="inlineStr">
        <is>
          <t>ÖREBRO LÄN</t>
        </is>
      </c>
      <c r="G72" t="inlineStr">
        <is>
          <t>DEGERFORS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45535</v>
      </c>
      <c r="E73" s="1" t="n">
        <v>46314</v>
      </c>
      <c r="F73" t="inlineStr">
        <is>
          <t>ÖREBRO LÄN</t>
        </is>
      </c>
      <c r="G73" t="inlineStr">
        <is>
          <t>DEGERFORS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45163</v>
      </c>
      <c r="E74" s="1" t="n">
        <v>46314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44579</v>
      </c>
      <c r="E75" s="1" t="n">
        <v>46314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60907-2023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45261</v>
      </c>
      <c r="E76" s="1" t="n">
        <v>46314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46314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46314</v>
      </c>
      <c r="F78" t="inlineStr">
        <is>
          <t>ÖREBRO LÄN</t>
        </is>
      </c>
      <c r="G78" t="inlineStr">
        <is>
          <t>DEGERFORS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46314</v>
      </c>
      <c r="F79" t="inlineStr">
        <is>
          <t>ÖREBRO LÄN</t>
        </is>
      </c>
      <c r="G79" t="inlineStr">
        <is>
          <t>DEGERFORS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50766-2024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45602</v>
      </c>
      <c r="E80" s="1" t="n">
        <v>46314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46314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45621</v>
      </c>
      <c r="E82" s="1" t="n">
        <v>46314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45233</v>
      </c>
      <c r="E83" s="1" t="n">
        <v>46314</v>
      </c>
      <c r="F83" t="inlineStr">
        <is>
          <t>ÖREBRO LÄN</t>
        </is>
      </c>
      <c r="G83" t="inlineStr">
        <is>
          <t>DEGERFORS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46314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45735</v>
      </c>
      <c r="E85" s="1" t="n">
        <v>46314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46314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38233-2023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45160</v>
      </c>
      <c r="E87" s="1" t="n">
        <v>46314</v>
      </c>
      <c r="F87" t="inlineStr">
        <is>
          <t>ÖREBRO LÄN</t>
        </is>
      </c>
      <c r="G87" t="inlineStr">
        <is>
          <t>DEGERFORS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46314</v>
      </c>
      <c r="F88" t="inlineStr">
        <is>
          <t>ÖREBRO LÄN</t>
        </is>
      </c>
      <c r="G88" t="inlineStr">
        <is>
          <t>DEGERFORS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46314</v>
      </c>
      <c r="F89" t="inlineStr">
        <is>
          <t>ÖREBRO LÄN</t>
        </is>
      </c>
      <c r="G89" t="inlineStr">
        <is>
          <t>DEGERFORS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20567-2026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46314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46314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10674-2024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45369</v>
      </c>
      <c r="E92" s="1" t="n">
        <v>46314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20478-2026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46140</v>
      </c>
      <c r="E93" s="1" t="n">
        <v>46314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46314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46314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46314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73693-2021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44552</v>
      </c>
      <c r="E97" s="1" t="n">
        <v>46314</v>
      </c>
      <c r="F97" t="inlineStr">
        <is>
          <t>ÖREBRO LÄN</t>
        </is>
      </c>
      <c r="G97" t="inlineStr">
        <is>
          <t>DEGERFORS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46314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46314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46314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46314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46314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46314</v>
      </c>
      <c r="F103" t="inlineStr">
        <is>
          <t>ÖREBRO LÄN</t>
        </is>
      </c>
      <c r="G103" t="inlineStr">
        <is>
          <t>DEGERFORS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21440-2026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46148</v>
      </c>
      <c r="E104" s="1" t="n">
        <v>46314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46314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46148</v>
      </c>
      <c r="E106" s="1" t="n">
        <v>46314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21401-2026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46148</v>
      </c>
      <c r="E107" s="1" t="n">
        <v>46314</v>
      </c>
      <c r="F107" t="inlineStr">
        <is>
          <t>ÖREBRO LÄN</t>
        </is>
      </c>
      <c r="G107" t="inlineStr">
        <is>
          <t>DEGERFORS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46314</v>
      </c>
      <c r="F108" t="inlineStr">
        <is>
          <t>ÖREBRO LÄN</t>
        </is>
      </c>
      <c r="G108" t="inlineStr">
        <is>
          <t>DEGERFORS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45190</v>
      </c>
      <c r="E109" s="1" t="n">
        <v>46314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51040-2025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46314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46314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46314</v>
      </c>
      <c r="F112" t="inlineStr">
        <is>
          <t>ÖREBRO LÄN</t>
        </is>
      </c>
      <c r="G112" t="inlineStr">
        <is>
          <t>DEGERFORS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46219-2024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46314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8074-2024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45351</v>
      </c>
      <c r="E114" s="1" t="n">
        <v>46314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21952-2024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45443</v>
      </c>
      <c r="E115" s="1" t="n">
        <v>46314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46314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23230-2026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46162</v>
      </c>
      <c r="E117" s="1" t="n">
        <v>46314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23229-2026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46162</v>
      </c>
      <c r="E118" s="1" t="n">
        <v>46314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62972-2023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45272</v>
      </c>
      <c r="E119" s="1" t="n">
        <v>46314</v>
      </c>
      <c r="F119" t="inlineStr">
        <is>
          <t>ÖREBRO LÄN</t>
        </is>
      </c>
      <c r="G119" t="inlineStr">
        <is>
          <t>DEGERFORS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14678-2025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45742</v>
      </c>
      <c r="E120" s="1" t="n">
        <v>46314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57086-2025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45979</v>
      </c>
      <c r="E121" s="1" t="n">
        <v>46314</v>
      </c>
      <c r="F121" t="inlineStr">
        <is>
          <t>ÖREBRO LÄN</t>
        </is>
      </c>
      <c r="G121" t="inlineStr">
        <is>
          <t>DEGERFORS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45729</v>
      </c>
      <c r="E122" s="1" t="n">
        <v>46314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46314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46167</v>
      </c>
      <c r="E124" s="1" t="n">
        <v>46314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20.9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20577-2023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45057</v>
      </c>
      <c r="E125" s="1" t="n">
        <v>46314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45365-2023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45192</v>
      </c>
      <c r="E126" s="1" t="n">
        <v>46314</v>
      </c>
      <c r="F126" t="inlineStr">
        <is>
          <t>ÖREBRO LÄN</t>
        </is>
      </c>
      <c r="G126" t="inlineStr">
        <is>
          <t>DEGERFORS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45338</v>
      </c>
      <c r="E127" s="1" t="n">
        <v>46314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46314</v>
      </c>
      <c r="F128" t="inlineStr">
        <is>
          <t>ÖREBRO LÄN</t>
        </is>
      </c>
      <c r="G128" t="inlineStr">
        <is>
          <t>DEGERFORS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46314</v>
      </c>
      <c r="F129" t="inlineStr">
        <is>
          <t>ÖREBRO LÄN</t>
        </is>
      </c>
      <c r="G129" t="inlineStr">
        <is>
          <t>DEGERFORS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45337</v>
      </c>
      <c r="E130" s="1" t="n">
        <v>46314</v>
      </c>
      <c r="F130" t="inlineStr">
        <is>
          <t>ÖREBRO LÄN</t>
        </is>
      </c>
      <c r="G130" t="inlineStr">
        <is>
          <t>DEGERFORS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46314</v>
      </c>
      <c r="F131" t="inlineStr">
        <is>
          <t>ÖREBRO LÄN</t>
        </is>
      </c>
      <c r="G131" t="inlineStr">
        <is>
          <t>DEGERFORS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46314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46170</v>
      </c>
      <c r="E133" s="1" t="n">
        <v>46314</v>
      </c>
      <c r="F133" t="inlineStr">
        <is>
          <t>ÖREBRO LÄN</t>
        </is>
      </c>
      <c r="G133" t="inlineStr">
        <is>
          <t>DEGERFORS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45205</v>
      </c>
      <c r="E134" s="1" t="n">
        <v>46314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6394-2024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45338</v>
      </c>
      <c r="E135" s="1" t="n">
        <v>46314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44986</v>
      </c>
      <c r="E136" s="1" t="n">
        <v>46314</v>
      </c>
      <c r="F136" t="inlineStr">
        <is>
          <t>ÖREBRO LÄN</t>
        </is>
      </c>
      <c r="G136" t="inlineStr">
        <is>
          <t>DEGERFORS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24689-2026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46314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46027</v>
      </c>
      <c r="E138" s="1" t="n">
        <v>46314</v>
      </c>
      <c r="F138" t="inlineStr">
        <is>
          <t>ÖREBRO LÄN</t>
        </is>
      </c>
      <c r="G138" t="inlineStr">
        <is>
          <t>DEGERFORS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45330</v>
      </c>
      <c r="E139" s="1" t="n">
        <v>46314</v>
      </c>
      <c r="F139" t="inlineStr">
        <is>
          <t>ÖREBRO LÄN</t>
        </is>
      </c>
      <c r="G139" t="inlineStr">
        <is>
          <t>DEGERFORS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45601</v>
      </c>
      <c r="E140" s="1" t="n">
        <v>46314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45116</v>
      </c>
      <c r="E141" s="1" t="n">
        <v>46314</v>
      </c>
      <c r="F141" t="inlineStr">
        <is>
          <t>ÖREBRO LÄN</t>
        </is>
      </c>
      <c r="G141" t="inlineStr">
        <is>
          <t>DEGERFORS</t>
        </is>
      </c>
      <c r="I141" t="n">
        <v>17.2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45190</v>
      </c>
      <c r="E142" s="1" t="n">
        <v>46314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46314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46185</v>
      </c>
      <c r="E144" s="1" t="n">
        <v>46314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46314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44839</v>
      </c>
      <c r="E146" s="1" t="n">
        <v>46314</v>
      </c>
      <c r="F146" t="inlineStr">
        <is>
          <t>ÖREBRO LÄN</t>
        </is>
      </c>
      <c r="G146" t="inlineStr">
        <is>
          <t>DEGERFORS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26947-2026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46314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32211-2022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46314</v>
      </c>
      <c r="F148" t="inlineStr">
        <is>
          <t>ÖREBRO LÄN</t>
        </is>
      </c>
      <c r="G148" t="inlineStr">
        <is>
          <t>DEGERFORS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45387</v>
      </c>
      <c r="E149" s="1" t="n">
        <v>46314</v>
      </c>
      <c r="F149" t="inlineStr">
        <is>
          <t>ÖREBRO LÄN</t>
        </is>
      </c>
      <c r="G149" t="inlineStr">
        <is>
          <t>DEGERFORS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45384</v>
      </c>
      <c r="E150" s="1" t="n">
        <v>46314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46070</v>
      </c>
      <c r="E151" s="1" t="n">
        <v>46314</v>
      </c>
      <c r="F151" t="inlineStr">
        <is>
          <t>ÖREBRO LÄN</t>
        </is>
      </c>
      <c r="G151" t="inlineStr">
        <is>
          <t>DEGERFORS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46086</v>
      </c>
      <c r="E152" s="1" t="n">
        <v>46314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46086</v>
      </c>
      <c r="E153" s="1" t="n">
        <v>46314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27411-2026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46314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46314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46314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46093</v>
      </c>
      <c r="E157" s="1" t="n">
        <v>46314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46093</v>
      </c>
      <c r="E158" s="1" t="n">
        <v>46314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27745-2026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46314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46191</v>
      </c>
      <c r="E160" s="1" t="n">
        <v>46314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46314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46198</v>
      </c>
      <c r="E162" s="1" t="n">
        <v>46314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46314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46202</v>
      </c>
      <c r="E164" s="1" t="n">
        <v>46314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46199</v>
      </c>
      <c r="E165" s="1" t="n">
        <v>46314</v>
      </c>
      <c r="F165" t="inlineStr">
        <is>
          <t>ÖREBRO LÄN</t>
        </is>
      </c>
      <c r="G165" t="inlineStr">
        <is>
          <t>DEGERFORS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46314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46314</v>
      </c>
      <c r="F167" t="inlineStr">
        <is>
          <t>ÖREBRO LÄN</t>
        </is>
      </c>
      <c r="G167" t="inlineStr">
        <is>
          <t>DEGERFORS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46132</v>
      </c>
      <c r="E168" s="1" t="n">
        <v>46314</v>
      </c>
      <c r="F168" t="inlineStr">
        <is>
          <t>ÖREBRO LÄN</t>
        </is>
      </c>
      <c r="G168" t="inlineStr">
        <is>
          <t>DEGERFORS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63905-2021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44509</v>
      </c>
      <c r="E169" s="1" t="n">
        <v>46314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44816</v>
      </c>
      <c r="E170" s="1" t="n">
        <v>46314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46314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46314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46314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45106</v>
      </c>
      <c r="E174" s="1" t="n">
        <v>46314</v>
      </c>
      <c r="F174" t="inlineStr">
        <is>
          <t>ÖREBRO LÄN</t>
        </is>
      </c>
      <c r="G174" t="inlineStr">
        <is>
          <t>DEGERFORS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59158-2022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44904</v>
      </c>
      <c r="E175" s="1" t="n">
        <v>46314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46314</v>
      </c>
      <c r="F176" t="inlineStr">
        <is>
          <t>ÖREBRO LÄN</t>
        </is>
      </c>
      <c r="G176" t="inlineStr">
        <is>
          <t>DEGERFORS</t>
        </is>
      </c>
      <c r="I176" t="n">
        <v>13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44986</v>
      </c>
      <c r="E177" s="1" t="n">
        <v>46314</v>
      </c>
      <c r="F177" t="inlineStr">
        <is>
          <t>ÖREBRO LÄN</t>
        </is>
      </c>
      <c r="G177" t="inlineStr">
        <is>
          <t>DEGERFORS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46314</v>
      </c>
      <c r="F178" t="inlineStr">
        <is>
          <t>ÖREBRO LÄN</t>
        </is>
      </c>
      <c r="G178" t="inlineStr">
        <is>
          <t>DEGERFORS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10797-2023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44989</v>
      </c>
      <c r="E179" s="1" t="n">
        <v>46314</v>
      </c>
      <c r="F179" t="inlineStr">
        <is>
          <t>ÖREBRO LÄN</t>
        </is>
      </c>
      <c r="G179" t="inlineStr">
        <is>
          <t>DEGERFORS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46314</v>
      </c>
      <c r="F180" t="inlineStr">
        <is>
          <t>ÖREBRO LÄN</t>
        </is>
      </c>
      <c r="G180" t="inlineStr">
        <is>
          <t>DEGERFORS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46314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33658-2024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45520</v>
      </c>
      <c r="E182" s="1" t="n">
        <v>46314</v>
      </c>
      <c r="F182" t="inlineStr">
        <is>
          <t>ÖREBRO LÄN</t>
        </is>
      </c>
      <c r="G182" t="inlineStr">
        <is>
          <t>DEGERFORS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46231</v>
      </c>
      <c r="E183" s="1" t="n">
        <v>46314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46314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45861-2023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45195</v>
      </c>
      <c r="E185" s="1" t="n">
        <v>46314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46314</v>
      </c>
      <c r="F186" t="inlineStr">
        <is>
          <t>ÖREBRO LÄN</t>
        </is>
      </c>
      <c r="G186" t="inlineStr">
        <is>
          <t>DEGERFORS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46279</v>
      </c>
      <c r="E187" s="1" t="n">
        <v>46314</v>
      </c>
      <c r="F187" t="inlineStr">
        <is>
          <t>ÖREBRO LÄN</t>
        </is>
      </c>
      <c r="G187" t="inlineStr">
        <is>
          <t>DEGERFORS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46314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46239</v>
      </c>
      <c r="E189" s="1" t="n">
        <v>46314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46283</v>
      </c>
      <c r="E190" s="1" t="n">
        <v>46314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46314</v>
      </c>
      <c r="F191" t="inlineStr">
        <is>
          <t>ÖREBRO LÄN</t>
        </is>
      </c>
      <c r="G191" t="inlineStr">
        <is>
          <t>DEGERFORS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46239</v>
      </c>
      <c r="E192" s="1" t="n">
        <v>46314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46283</v>
      </c>
      <c r="E193" s="1" t="n">
        <v>46314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44816</v>
      </c>
      <c r="E194" s="1" t="n">
        <v>46314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32810-2026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46241</v>
      </c>
      <c r="E195" s="1" t="n">
        <v>46314</v>
      </c>
      <c r="F195" t="inlineStr">
        <is>
          <t>ÖREBRO LÄN</t>
        </is>
      </c>
      <c r="G195" t="inlineStr">
        <is>
          <t>DEGERFORS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61750-2021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44501</v>
      </c>
      <c r="E196" s="1" t="n">
        <v>46314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46314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50207-2024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46314</v>
      </c>
      <c r="F198" t="inlineStr">
        <is>
          <t>ÖREBRO LÄN</t>
        </is>
      </c>
      <c r="G198" t="inlineStr">
        <is>
          <t>DEGERFORS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46314</v>
      </c>
      <c r="F199" t="inlineStr">
        <is>
          <t>ÖREBRO LÄN</t>
        </is>
      </c>
      <c r="G199" t="inlineStr">
        <is>
          <t>DEGERFORS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46314</v>
      </c>
      <c r="F200" t="inlineStr">
        <is>
          <t>ÖREBRO LÄN</t>
        </is>
      </c>
      <c r="G200" t="inlineStr">
        <is>
          <t>DEGERFORS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45764</v>
      </c>
      <c r="E201" s="1" t="n">
        <v>46314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46314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46314</v>
      </c>
      <c r="F203" t="inlineStr">
        <is>
          <t>ÖREBRO LÄN</t>
        </is>
      </c>
      <c r="G203" t="inlineStr">
        <is>
          <t>DEGERFORS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46314</v>
      </c>
      <c r="F204" t="inlineStr">
        <is>
          <t>ÖREBRO LÄN</t>
        </is>
      </c>
      <c r="G204" t="inlineStr">
        <is>
          <t>DEGERFORS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46314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45223</v>
      </c>
      <c r="E206" s="1" t="n">
        <v>46314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45635</v>
      </c>
      <c r="E207" s="1" t="n">
        <v>46314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50102-2023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46314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46303</v>
      </c>
      <c r="E209" s="1" t="n">
        <v>46314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45272</v>
      </c>
      <c r="E210" s="1" t="n">
        <v>46314</v>
      </c>
      <c r="F210" t="inlineStr">
        <is>
          <t>ÖREBRO LÄN</t>
        </is>
      </c>
      <c r="G210" t="inlineStr">
        <is>
          <t>DEGERFORS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35213-2026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46260</v>
      </c>
      <c r="E211" s="1" t="n">
        <v>46314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46314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45453</v>
      </c>
      <c r="E213" s="1" t="n">
        <v>46314</v>
      </c>
      <c r="F213" t="inlineStr">
        <is>
          <t>ÖREBRO LÄN</t>
        </is>
      </c>
      <c r="G213" t="inlineStr">
        <is>
          <t>DEGERFORS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46307</v>
      </c>
      <c r="E214" s="1" t="n">
        <v>46314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46314</v>
      </c>
      <c r="F215" t="inlineStr">
        <is>
          <t>ÖREBRO LÄN</t>
        </is>
      </c>
      <c r="G215" t="inlineStr">
        <is>
          <t>DEGERFORS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45330</v>
      </c>
      <c r="E216" s="1" t="n">
        <v>46314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46314</v>
      </c>
      <c r="F217" t="inlineStr">
        <is>
          <t>ÖREBRO LÄN</t>
        </is>
      </c>
      <c r="G217" t="inlineStr">
        <is>
          <t>DEGERFORS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46314</v>
      </c>
      <c r="F218" t="inlineStr">
        <is>
          <t>ÖREBRO LÄN</t>
        </is>
      </c>
      <c r="G218" t="inlineStr">
        <is>
          <t>DEGERFORS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45810</v>
      </c>
      <c r="E219" s="1" t="n">
        <v>46314</v>
      </c>
      <c r="F219" t="inlineStr">
        <is>
          <t>ÖREBRO LÄN</t>
        </is>
      </c>
      <c r="G219" t="inlineStr">
        <is>
          <t>DEGERFORS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46268</v>
      </c>
      <c r="E220" s="1" t="n">
        <v>46314</v>
      </c>
      <c r="F220" t="inlineStr">
        <is>
          <t>ÖREBRO LÄN</t>
        </is>
      </c>
      <c r="G220" t="inlineStr">
        <is>
          <t>DEGERFORS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46314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46314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46268</v>
      </c>
      <c r="E223" s="1" t="n">
        <v>46314</v>
      </c>
      <c r="F223" t="inlineStr">
        <is>
          <t>ÖREBRO LÄN</t>
        </is>
      </c>
      <c r="G223" t="inlineStr">
        <is>
          <t>DEGERFORS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46314</v>
      </c>
      <c r="F224" t="inlineStr">
        <is>
          <t>ÖREBRO LÄN</t>
        </is>
      </c>
      <c r="G224" t="inlineStr">
        <is>
          <t>DEGERFORS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46303</v>
      </c>
      <c r="E225" s="1" t="n">
        <v>46314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44719</v>
      </c>
      <c r="E226" s="1" t="n">
        <v>46314</v>
      </c>
      <c r="F226" t="inlineStr">
        <is>
          <t>ÖREBRO LÄN</t>
        </is>
      </c>
      <c r="G226" t="inlineStr">
        <is>
          <t>DEGERFORS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46314</v>
      </c>
      <c r="F227" t="inlineStr">
        <is>
          <t>ÖREBRO LÄN</t>
        </is>
      </c>
      <c r="G227" t="inlineStr">
        <is>
          <t>DEGERFORS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46314</v>
      </c>
      <c r="F228" t="inlineStr">
        <is>
          <t>ÖREBRO LÄN</t>
        </is>
      </c>
      <c r="G228" t="inlineStr">
        <is>
          <t>DEGERFORS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37333-2025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45876</v>
      </c>
      <c r="E229" s="1" t="n">
        <v>46314</v>
      </c>
      <c r="F229" t="inlineStr">
        <is>
          <t>ÖREBRO LÄN</t>
        </is>
      </c>
      <c r="G229" t="inlineStr">
        <is>
          <t>DEGERFORS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45876</v>
      </c>
      <c r="E230" s="1" t="n">
        <v>46314</v>
      </c>
      <c r="F230" t="inlineStr">
        <is>
          <t>ÖREBRO LÄN</t>
        </is>
      </c>
      <c r="G230" t="inlineStr">
        <is>
          <t>DEGERFORS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46314</v>
      </c>
      <c r="F231" t="inlineStr">
        <is>
          <t>ÖREBRO LÄN</t>
        </is>
      </c>
      <c r="G231" t="inlineStr">
        <is>
          <t>DEGERFORS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46314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46314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46314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46314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46314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46314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46314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46314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2026-10-19T02:03:01Z</dcterms:created>
  <dcterms:modified xmlns:dcterms="http://purl.org/dc/terms/" xmlns:xsi="http://www.w3.org/2001/XMLSchema-instance" xsi:type="dcterms:W3CDTF">2026-10-19T02:03:01Z</dcterms:modified>
</cp:coreProperties>
</file>