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46279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46279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46279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46279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46279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46279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46279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46279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46279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46279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46279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46279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46279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46279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46279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46279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46279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46279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46279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46279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46279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46279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46279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46279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46279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46279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46279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Tjäder</t>
        </is>
      </c>
      <c r="W30">
        <f>HYPERLINK("https://klasma.github.io/Logging_1862/artfynd/A 38912-2023 artfynd.xlsx", "A 38912-2023")</f>
        <v/>
      </c>
      <c r="X30">
        <f>HYPERLINK("https://klasma.github.io/Logging_1862/kartor/A 38912-2023 karta.png", "A 38912-2023")</f>
        <v/>
      </c>
      <c r="Y30">
        <f>HYPERLINK("https://klasma.github.io/Logging_1862/kartor_geotiff/A 38912-2023 georefererad karta.tif", "A 38912-2023")</f>
        <v/>
      </c>
      <c r="AA30">
        <f>HYPERLINK("https://klasma.github.io/Logging_1862/klagomål/A 38912-2023 FSC-klagomål.docx", "A 38912-2023")</f>
        <v/>
      </c>
      <c r="AB30">
        <f>HYPERLINK("https://klasma.github.io/Logging_1862/klagomålsmail/A 38912-2023 FSC-klagomål mail.docx", "A 38912-2023")</f>
        <v/>
      </c>
      <c r="AC30">
        <f>HYPERLINK("https://klasma.github.io/Logging_1862/tillsyn/A 38912-2023 tillsynsbegäran.docx", "A 38912-2023")</f>
        <v/>
      </c>
      <c r="AD30">
        <f>HYPERLINK("https://klasma.github.io/Logging_1862/tillsynsmail/A 38912-2023 tillsynsbegäran mail.docx", "A 38912-2023")</f>
        <v/>
      </c>
      <c r="AE30">
        <f>HYPERLINK("https://klasma.github.io/Logging_1862/fåglar/A 38912-2023 prioriterade fågelarter.docx", "A 38912-2023")</f>
        <v/>
      </c>
    </row>
    <row r="31" ht="15" customHeight="1">
      <c r="A31" t="inlineStr">
        <is>
          <t>A 4256-2026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46279</v>
      </c>
      <c r="F31" t="inlineStr">
        <is>
          <t>ÖREBRO LÄN</t>
        </is>
      </c>
      <c r="G31" t="inlineStr">
        <is>
          <t>DEGERFORS</t>
        </is>
      </c>
      <c r="I31" t="n">
        <v>2.9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Skogsklocka
Slåtterfibbla</t>
        </is>
      </c>
      <c r="W31">
        <f>HYPERLINK("https://klasma.github.io/Logging_1862/artfynd/A 4256-2026 artfynd.xlsx", "A 4256-2026")</f>
        <v/>
      </c>
      <c r="X31">
        <f>HYPERLINK("https://klasma.github.io/Logging_1862/kartor/A 4256-2026 karta.png", "A 4256-2026")</f>
        <v/>
      </c>
      <c r="Y31">
        <f>HYPERLINK("https://klasma.github.io/Logging_1862/kartor_geotiff/A 4256-2026 georefererad karta.tif", "A 4256-2026")</f>
        <v/>
      </c>
      <c r="AA31">
        <f>HYPERLINK("https://klasma.github.io/Logging_1862/klagomål/A 4256-2026 FSC-klagomål.docx", "A 4256-2026")</f>
        <v/>
      </c>
      <c r="AB31">
        <f>HYPERLINK("https://klasma.github.io/Logging_1862/klagomålsmail/A 4256-2026 FSC-klagomål mail.docx", "A 4256-2026")</f>
        <v/>
      </c>
      <c r="AC31">
        <f>HYPERLINK("https://klasma.github.io/Logging_1862/tillsyn/A 4256-2026 tillsynsbegäran.docx", "A 4256-2026")</f>
        <v/>
      </c>
      <c r="AD31">
        <f>HYPERLINK("https://klasma.github.io/Logging_1862/tillsynsmail/A 4256-2026 tillsynsbegäran mail.docx", "A 4256-2026")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46279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46279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46279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46279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46279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46279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46279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46279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14177-2026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46279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HYPERLINK("https://klasma.github.io/Logging_1862/artfynd/A 14177-2026 artfynd.xlsx", "A 14177-2026")</f>
        <v/>
      </c>
      <c r="X40">
        <f>HYPERLINK("https://klasma.github.io/Logging_1862/kartor/A 14177-2026 karta.png", "A 14177-2026")</f>
        <v/>
      </c>
      <c r="Y40">
        <f>HYPERLINK("https://klasma.github.io/Logging_1862/kartor_geotiff/A 14177-2026 georefererad karta.tif", "A 14177-2026")</f>
        <v/>
      </c>
      <c r="AA40">
        <f>HYPERLINK("https://klasma.github.io/Logging_1862/klagomål/A 14177-2026 FSC-klagomål.docx", "A 14177-2026")</f>
        <v/>
      </c>
      <c r="AB40">
        <f>HYPERLINK("https://klasma.github.io/Logging_1862/klagomålsmail/A 14177-2026 FSC-klagomål mail.docx", "A 14177-2026")</f>
        <v/>
      </c>
      <c r="AC40">
        <f>HYPERLINK("https://klasma.github.io/Logging_1862/tillsyn/A 14177-2026 tillsynsbegäran.docx", "A 14177-2026")</f>
        <v/>
      </c>
      <c r="AD40">
        <f>HYPERLINK("https://klasma.github.io/Logging_1862/tillsynsmail/A 14177-2026 tillsynsbegäran mail.docx", "A 14177-2026")</f>
        <v/>
      </c>
    </row>
    <row r="41" ht="15" customHeight="1">
      <c r="A41" t="inlineStr">
        <is>
          <t>A 48285-2023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45205</v>
      </c>
      <c r="E41" s="1" t="n">
        <v>46279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48285-2023 artfynd.xlsx", "A 48285-2023")</f>
        <v/>
      </c>
      <c r="X41">
        <f>HYPERLINK("https://klasma.github.io/Logging_1862/kartor/A 48285-2023 karta.png", "A 48285-2023")</f>
        <v/>
      </c>
      <c r="Y41">
        <f>HYPERLINK("https://klasma.github.io/Logging_1862/kartor_geotiff/A 48285-2023 georefererad karta.tif", "A 48285-2023")</f>
        <v/>
      </c>
      <c r="AA41">
        <f>HYPERLINK("https://klasma.github.io/Logging_1862/klagomål/A 48285-2023 FSC-klagomål.docx", "A 48285-2023")</f>
        <v/>
      </c>
      <c r="AB41">
        <f>HYPERLINK("https://klasma.github.io/Logging_1862/klagomålsmail/A 48285-2023 FSC-klagomål mail.docx", "A 48285-2023")</f>
        <v/>
      </c>
      <c r="AC41">
        <f>HYPERLINK("https://klasma.github.io/Logging_1862/tillsyn/A 48285-2023 tillsynsbegäran.docx", "A 48285-2023")</f>
        <v/>
      </c>
      <c r="AD41">
        <f>HYPERLINK("https://klasma.github.io/Logging_1862/tillsynsmail/A 48285-2023 tillsynsbegäran mail.docx", "A 48285-2023")</f>
        <v/>
      </c>
      <c r="AE41">
        <f>HYPERLINK("https://klasma.github.io/Logging_1862/fåglar/A 48285-2023 prioriterade fågelarter.docx", "A 48285-2023")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46279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27093-2023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46279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27093-2023 artfynd.xlsx", "A 27093-2023")</f>
        <v/>
      </c>
      <c r="X43">
        <f>HYPERLINK("https://klasma.github.io/Logging_1862/kartor/A 27093-2023 karta.png", "A 27093-2023")</f>
        <v/>
      </c>
      <c r="Y43">
        <f>HYPERLINK("https://klasma.github.io/Logging_1862/kartor_geotiff/A 27093-2023 georefererad karta.tif", "A 27093-2023")</f>
        <v/>
      </c>
      <c r="AA43">
        <f>HYPERLINK("https://klasma.github.io/Logging_1862/klagomål/A 27093-2023 FSC-klagomål.docx", "A 27093-2023")</f>
        <v/>
      </c>
      <c r="AB43">
        <f>HYPERLINK("https://klasma.github.io/Logging_1862/klagomålsmail/A 27093-2023 FSC-klagomål mail.docx", "A 27093-2023")</f>
        <v/>
      </c>
      <c r="AC43">
        <f>HYPERLINK("https://klasma.github.io/Logging_1862/tillsyn/A 27093-2023 tillsynsbegäran.docx", "A 27093-2023")</f>
        <v/>
      </c>
      <c r="AD43">
        <f>HYPERLINK("https://klasma.github.io/Logging_1862/tillsynsmail/A 27093-2023 tillsynsbegäran mail.docx", "A 27093-2023")</f>
        <v/>
      </c>
      <c r="AE43">
        <f>HYPERLINK("https://klasma.github.io/Logging_1862/fåglar/A 27093-2023 prioriterade fågelarter.docx", "A 27093-2023")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46279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46279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46279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Hårklomossa</t>
        </is>
      </c>
      <c r="W46">
        <f>HYPERLINK("https://klasma.github.io/Logging_1862/artfynd/A 14121-2022 artfynd.xlsx", "A 14121-2022")</f>
        <v/>
      </c>
      <c r="X46">
        <f>HYPERLINK("https://klasma.github.io/Logging_1862/kartor/A 14121-2022 karta.png", "A 14121-2022")</f>
        <v/>
      </c>
      <c r="Y46">
        <f>HYPERLINK("https://klasma.github.io/Logging_1862/kartor_geotiff/A 14121-2022 georefererad karta.tif", "A 14121-2022")</f>
        <v/>
      </c>
      <c r="AA46">
        <f>HYPERLINK("https://klasma.github.io/Logging_1862/klagomål/A 14121-2022 FSC-klagomål.docx", "A 14121-2022")</f>
        <v/>
      </c>
      <c r="AB46">
        <f>HYPERLINK("https://klasma.github.io/Logging_1862/klagomålsmail/A 14121-2022 FSC-klagomål mail.docx", "A 14121-2022")</f>
        <v/>
      </c>
      <c r="AC46">
        <f>HYPERLINK("https://klasma.github.io/Logging_1862/tillsyn/A 14121-2022 tillsynsbegäran.docx", "A 14121-2022")</f>
        <v/>
      </c>
      <c r="AD46">
        <f>HYPERLINK("https://klasma.github.io/Logging_1862/tillsynsmail/A 14121-2022 tillsynsbegäran mail.docx", "A 14121-2022")</f>
        <v/>
      </c>
    </row>
    <row r="47" ht="15" customHeight="1">
      <c r="A47" t="inlineStr">
        <is>
          <t>A 33297-2023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45116</v>
      </c>
      <c r="E47" s="1" t="n">
        <v>46279</v>
      </c>
      <c r="F47" t="inlineStr">
        <is>
          <t>ÖREBRO LÄN</t>
        </is>
      </c>
      <c r="G47" t="inlineStr">
        <is>
          <t>DEGERFORS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HYPERLINK("https://klasma.github.io/Logging_1862/artfynd/A 33297-2023 artfynd.xlsx", "A 33297-2023")</f>
        <v/>
      </c>
      <c r="X47">
        <f>HYPERLINK("https://klasma.github.io/Logging_1862/kartor/A 33297-2023 karta.png", "A 33297-2023")</f>
        <v/>
      </c>
      <c r="Y47">
        <f>HYPERLINK("https://klasma.github.io/Logging_1862/kartor_geotiff/A 33297-2023 georefererad karta.tif", "A 33297-2023")</f>
        <v/>
      </c>
      <c r="AA47">
        <f>HYPERLINK("https://klasma.github.io/Logging_1862/klagomål/A 33297-2023 FSC-klagomål.docx", "A 33297-2023")</f>
        <v/>
      </c>
      <c r="AB47">
        <f>HYPERLINK("https://klasma.github.io/Logging_1862/klagomålsmail/A 33297-2023 FSC-klagomål mail.docx", "A 33297-2023")</f>
        <v/>
      </c>
      <c r="AC47">
        <f>HYPERLINK("https://klasma.github.io/Logging_1862/tillsyn/A 33297-2023 tillsynsbegäran.docx", "A 33297-2023")</f>
        <v/>
      </c>
      <c r="AD47">
        <f>HYPERLINK("https://klasma.github.io/Logging_1862/tillsynsmail/A 33297-2023 tillsynsbegäran mail.docx", "A 33297-2023")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46279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46279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46279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46279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46279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46279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46279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46279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46279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46279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46279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46279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46279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46279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46279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46279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46279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46279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46279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46279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46279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46279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46279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46279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6394-2024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45338</v>
      </c>
      <c r="E72" s="1" t="n">
        <v>46279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46279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46279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46279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46279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46279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46279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6387-2024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45338</v>
      </c>
      <c r="E79" s="1" t="n">
        <v>46279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59158-2022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44904</v>
      </c>
      <c r="E80" s="1" t="n">
        <v>46279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46279</v>
      </c>
      <c r="F81" t="inlineStr">
        <is>
          <t>ÖREBRO LÄN</t>
        </is>
      </c>
      <c r="G81" t="inlineStr">
        <is>
          <t>DEGERFORS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44582</v>
      </c>
      <c r="E82" s="1" t="n">
        <v>46279</v>
      </c>
      <c r="F82" t="inlineStr">
        <is>
          <t>ÖREBRO LÄN</t>
        </is>
      </c>
      <c r="G82" t="inlineStr">
        <is>
          <t>DEGERFORS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46279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43768-2024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45569</v>
      </c>
      <c r="E84" s="1" t="n">
        <v>46279</v>
      </c>
      <c r="F84" t="inlineStr">
        <is>
          <t>ÖREBRO LÄN</t>
        </is>
      </c>
      <c r="G84" t="inlineStr">
        <is>
          <t>DEGERFORS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46279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46279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46279</v>
      </c>
      <c r="F87" t="inlineStr">
        <is>
          <t>ÖREBRO LÄN</t>
        </is>
      </c>
      <c r="G87" t="inlineStr">
        <is>
          <t>DEGERFORS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46279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46279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45589</v>
      </c>
      <c r="E90" s="1" t="n">
        <v>46279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21952-2024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45443</v>
      </c>
      <c r="E91" s="1" t="n">
        <v>46279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46279</v>
      </c>
      <c r="F92" t="inlineStr">
        <is>
          <t>ÖREBRO LÄN</t>
        </is>
      </c>
      <c r="G92" t="inlineStr">
        <is>
          <t>DEGERFORS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46279</v>
      </c>
      <c r="F93" t="inlineStr">
        <is>
          <t>ÖREBRO LÄN</t>
        </is>
      </c>
      <c r="G93" t="inlineStr">
        <is>
          <t>DEGERFORS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46279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46279</v>
      </c>
      <c r="F95" t="inlineStr">
        <is>
          <t>ÖREBRO LÄN</t>
        </is>
      </c>
      <c r="G95" t="inlineStr">
        <is>
          <t>DEGERFORS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46279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45639</v>
      </c>
      <c r="E97" s="1" t="n">
        <v>46279</v>
      </c>
      <c r="F97" t="inlineStr">
        <is>
          <t>ÖREBRO LÄN</t>
        </is>
      </c>
      <c r="G97" t="inlineStr">
        <is>
          <t>DEGERFORS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46279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46279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46279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46279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37333-2025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45876</v>
      </c>
      <c r="E102" s="1" t="n">
        <v>46279</v>
      </c>
      <c r="F102" t="inlineStr">
        <is>
          <t>ÖREBRO LÄN</t>
        </is>
      </c>
      <c r="G102" t="inlineStr">
        <is>
          <t>DEGERFORS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46279</v>
      </c>
      <c r="F103" t="inlineStr">
        <is>
          <t>ÖREBRO LÄN</t>
        </is>
      </c>
      <c r="G103" t="inlineStr">
        <is>
          <t>DEGERFORS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46279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46279</v>
      </c>
      <c r="F105" t="inlineStr">
        <is>
          <t>ÖREBRO LÄN</t>
        </is>
      </c>
      <c r="G105" t="inlineStr">
        <is>
          <t>DEGERFORS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46279</v>
      </c>
      <c r="F106" t="inlineStr">
        <is>
          <t>ÖREBRO LÄN</t>
        </is>
      </c>
      <c r="G106" t="inlineStr">
        <is>
          <t>DEGERFORS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46279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46279</v>
      </c>
      <c r="F108" t="inlineStr">
        <is>
          <t>ÖREBRO LÄN</t>
        </is>
      </c>
      <c r="G108" t="inlineStr">
        <is>
          <t>DEGERFORS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12159-2026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46279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46279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46279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46279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46279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12936-2026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46279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8.800000000000001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51040-2025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46279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13293-2026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46094</v>
      </c>
      <c r="E116" s="1" t="n">
        <v>46279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52099-2025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46279</v>
      </c>
      <c r="F117" t="inlineStr">
        <is>
          <t>ÖREBRO LÄN</t>
        </is>
      </c>
      <c r="G117" t="inlineStr">
        <is>
          <t>DEGERFORS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46279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46279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20577-2023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45057</v>
      </c>
      <c r="E120" s="1" t="n">
        <v>46279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10797-2023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44989</v>
      </c>
      <c r="E121" s="1" t="n">
        <v>46279</v>
      </c>
      <c r="F121" t="inlineStr">
        <is>
          <t>ÖREBRO LÄN</t>
        </is>
      </c>
      <c r="G121" t="inlineStr">
        <is>
          <t>DEGERFORS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44839</v>
      </c>
      <c r="E122" s="1" t="n">
        <v>46279</v>
      </c>
      <c r="F122" t="inlineStr">
        <is>
          <t>ÖREBRO LÄN</t>
        </is>
      </c>
      <c r="G122" t="inlineStr">
        <is>
          <t>DEGERFORS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57086-2025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45979</v>
      </c>
      <c r="E123" s="1" t="n">
        <v>46279</v>
      </c>
      <c r="F123" t="inlineStr">
        <is>
          <t>ÖREBRO LÄN</t>
        </is>
      </c>
      <c r="G123" t="inlineStr">
        <is>
          <t>DEGERFORS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45106</v>
      </c>
      <c r="E124" s="1" t="n">
        <v>46279</v>
      </c>
      <c r="F124" t="inlineStr">
        <is>
          <t>ÖREBRO LÄN</t>
        </is>
      </c>
      <c r="G124" t="inlineStr">
        <is>
          <t>DEGERFORS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18506-2026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46127</v>
      </c>
      <c r="E125" s="1" t="n">
        <v>46279</v>
      </c>
      <c r="F125" t="inlineStr">
        <is>
          <t>ÖREBRO LÄN</t>
        </is>
      </c>
      <c r="G125" t="inlineStr">
        <is>
          <t>DEGERFORS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46132</v>
      </c>
      <c r="E126" s="1" t="n">
        <v>46279</v>
      </c>
      <c r="F126" t="inlineStr">
        <is>
          <t>ÖREBRO LÄN</t>
        </is>
      </c>
      <c r="G126" t="inlineStr">
        <is>
          <t>DEGERFORS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18913-2026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46129</v>
      </c>
      <c r="E127" s="1" t="n">
        <v>46279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60708-2025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46279</v>
      </c>
      <c r="F128" t="inlineStr">
        <is>
          <t>ÖREBRO LÄN</t>
        </is>
      </c>
      <c r="G128" t="inlineStr">
        <is>
          <t>DEGERFORS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46279</v>
      </c>
      <c r="F129" t="inlineStr">
        <is>
          <t>ÖREBRO LÄN</t>
        </is>
      </c>
      <c r="G129" t="inlineStr">
        <is>
          <t>DEGERFORS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46279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46279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46279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46279</v>
      </c>
      <c r="F133" t="inlineStr">
        <is>
          <t>ÖREBRO LÄN</t>
        </is>
      </c>
      <c r="G133" t="inlineStr">
        <is>
          <t>DEGERFORS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46279</v>
      </c>
      <c r="F134" t="inlineStr">
        <is>
          <t>ÖREBRO LÄN</t>
        </is>
      </c>
      <c r="G134" t="inlineStr">
        <is>
          <t>DEGERFORS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46279</v>
      </c>
      <c r="F135" t="inlineStr">
        <is>
          <t>ÖREBRO LÄN</t>
        </is>
      </c>
      <c r="G135" t="inlineStr">
        <is>
          <t>DEGERFORS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46027</v>
      </c>
      <c r="E136" s="1" t="n">
        <v>46279</v>
      </c>
      <c r="F136" t="inlineStr">
        <is>
          <t>ÖREBRO LÄN</t>
        </is>
      </c>
      <c r="G136" t="inlineStr">
        <is>
          <t>DEGERFORS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45645</v>
      </c>
      <c r="E137" s="1" t="n">
        <v>46279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61750-2021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44501</v>
      </c>
      <c r="E138" s="1" t="n">
        <v>46279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45616</v>
      </c>
      <c r="E139" s="1" t="n">
        <v>46279</v>
      </c>
      <c r="F139" t="inlineStr">
        <is>
          <t>ÖREBRO LÄN</t>
        </is>
      </c>
      <c r="G139" t="inlineStr">
        <is>
          <t>DEGERFORS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44754</v>
      </c>
      <c r="E140" s="1" t="n">
        <v>46279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45337</v>
      </c>
      <c r="E141" s="1" t="n">
        <v>46279</v>
      </c>
      <c r="F141" t="inlineStr">
        <is>
          <t>ÖREBRO LÄN</t>
        </is>
      </c>
      <c r="G141" t="inlineStr">
        <is>
          <t>DEGERFORS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20478-2026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46279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33658-2024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45520</v>
      </c>
      <c r="E143" s="1" t="n">
        <v>46279</v>
      </c>
      <c r="F143" t="inlineStr">
        <is>
          <t>ÖREBRO LÄN</t>
        </is>
      </c>
      <c r="G143" t="inlineStr">
        <is>
          <t>DEGERFORS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38233-2023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45160</v>
      </c>
      <c r="E144" s="1" t="n">
        <v>46279</v>
      </c>
      <c r="F144" t="inlineStr">
        <is>
          <t>ÖREBRO LÄN</t>
        </is>
      </c>
      <c r="G144" t="inlineStr">
        <is>
          <t>DEGERFORS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20567-2026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46279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46279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45602</v>
      </c>
      <c r="E147" s="1" t="n">
        <v>46279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46279</v>
      </c>
      <c r="F148" t="inlineStr">
        <is>
          <t>ÖREBRO LÄN</t>
        </is>
      </c>
      <c r="G148" t="inlineStr">
        <is>
          <t>DEGERFORS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46279</v>
      </c>
      <c r="F149" t="inlineStr">
        <is>
          <t>ÖREBRO LÄN</t>
        </is>
      </c>
      <c r="G149" t="inlineStr">
        <is>
          <t>DEGERFORS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46279</v>
      </c>
      <c r="F150" t="inlineStr">
        <is>
          <t>ÖREBRO LÄN</t>
        </is>
      </c>
      <c r="G150" t="inlineStr">
        <is>
          <t>DEGERFORS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46279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46279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46148</v>
      </c>
      <c r="E153" s="1" t="n">
        <v>46279</v>
      </c>
      <c r="F153" t="inlineStr">
        <is>
          <t>ÖREBRO LÄN</t>
        </is>
      </c>
      <c r="G153" t="inlineStr">
        <is>
          <t>DEGERFORS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46279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45190</v>
      </c>
      <c r="E155" s="1" t="n">
        <v>46279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46279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46279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12143-2025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45729</v>
      </c>
      <c r="E158" s="1" t="n">
        <v>46279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45609</v>
      </c>
      <c r="E159" s="1" t="n">
        <v>46279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14678-2025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45742</v>
      </c>
      <c r="E160" s="1" t="n">
        <v>46279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46279</v>
      </c>
      <c r="F161" t="inlineStr">
        <is>
          <t>ÖREBRO LÄN</t>
        </is>
      </c>
      <c r="G161" t="inlineStr">
        <is>
          <t>DEGERFORS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45645</v>
      </c>
      <c r="E162" s="1" t="n">
        <v>46279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46279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46279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46279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46279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46279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45222</v>
      </c>
      <c r="E168" s="1" t="n">
        <v>46279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46170</v>
      </c>
      <c r="E169" s="1" t="n">
        <v>46279</v>
      </c>
      <c r="F169" t="inlineStr">
        <is>
          <t>ÖREBRO LÄN</t>
        </is>
      </c>
      <c r="G169" t="inlineStr">
        <is>
          <t>DEGERFORS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24689-2026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46171</v>
      </c>
      <c r="E170" s="1" t="n">
        <v>46279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46170</v>
      </c>
      <c r="E171" s="1" t="n">
        <v>46279</v>
      </c>
      <c r="F171" t="inlineStr">
        <is>
          <t>ÖREBRO LÄN</t>
        </is>
      </c>
      <c r="G171" t="inlineStr">
        <is>
          <t>DEGERFORS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45116</v>
      </c>
      <c r="E172" s="1" t="n">
        <v>46279</v>
      </c>
      <c r="F172" t="inlineStr">
        <is>
          <t>ÖREBRO LÄN</t>
        </is>
      </c>
      <c r="G172" t="inlineStr">
        <is>
          <t>DEGERFORS</t>
        </is>
      </c>
      <c r="I172" t="n">
        <v>17.2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32154-2023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45119</v>
      </c>
      <c r="E173" s="1" t="n">
        <v>46279</v>
      </c>
      <c r="F173" t="inlineStr">
        <is>
          <t>ÖREBRO LÄN</t>
        </is>
      </c>
      <c r="G173" t="inlineStr">
        <is>
          <t>DEGERFORS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46279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8062-2024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45351</v>
      </c>
      <c r="E175" s="1" t="n">
        <v>46279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45351</v>
      </c>
      <c r="E176" s="1" t="n">
        <v>46279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60907-2023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45261</v>
      </c>
      <c r="E177" s="1" t="n">
        <v>46279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46279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46279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27411-2026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46279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44781</v>
      </c>
      <c r="E181" s="1" t="n">
        <v>46279</v>
      </c>
      <c r="F181" t="inlineStr">
        <is>
          <t>ÖREBRO LÄN</t>
        </is>
      </c>
      <c r="G181" t="inlineStr">
        <is>
          <t>DEGERFORS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46279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46279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46195</v>
      </c>
      <c r="E184" s="1" t="n">
        <v>46279</v>
      </c>
      <c r="F184" t="inlineStr">
        <is>
          <t>ÖREBRO LÄN</t>
        </is>
      </c>
      <c r="G184" t="inlineStr">
        <is>
          <t>DEGERFORS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46279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46279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32810-2026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46241</v>
      </c>
      <c r="E187" s="1" t="n">
        <v>46279</v>
      </c>
      <c r="F187" t="inlineStr">
        <is>
          <t>ÖREBRO LÄN</t>
        </is>
      </c>
      <c r="G187" t="inlineStr">
        <is>
          <t>DEGERFORS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73693-2021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46279</v>
      </c>
      <c r="F188" t="inlineStr">
        <is>
          <t>ÖREBRO LÄN</t>
        </is>
      </c>
      <c r="G188" t="inlineStr">
        <is>
          <t>DEGERFORS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46279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46279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36437-2024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45535</v>
      </c>
      <c r="E191" s="1" t="n">
        <v>46279</v>
      </c>
      <c r="F191" t="inlineStr">
        <is>
          <t>ÖREBRO LÄN</t>
        </is>
      </c>
      <c r="G191" t="inlineStr">
        <is>
          <t>DEGERFORS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46199</v>
      </c>
      <c r="E192" s="1" t="n">
        <v>46279</v>
      </c>
      <c r="F192" t="inlineStr">
        <is>
          <t>ÖREBRO LÄN</t>
        </is>
      </c>
      <c r="G192" t="inlineStr">
        <is>
          <t>DEGERFORS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46279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46279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45192</v>
      </c>
      <c r="E195" s="1" t="n">
        <v>46279</v>
      </c>
      <c r="F195" t="inlineStr">
        <is>
          <t>ÖREBRO LÄN</t>
        </is>
      </c>
      <c r="G195" t="inlineStr">
        <is>
          <t>DEGERFORS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46279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46279</v>
      </c>
      <c r="F197" t="inlineStr">
        <is>
          <t>ÖREBRO LÄN</t>
        </is>
      </c>
      <c r="G197" t="inlineStr">
        <is>
          <t>DEGERFORS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37672-2024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45541</v>
      </c>
      <c r="E198" s="1" t="n">
        <v>46279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29552-2026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46204</v>
      </c>
      <c r="E199" s="1" t="n">
        <v>46279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44579</v>
      </c>
      <c r="E200" s="1" t="n">
        <v>46279</v>
      </c>
      <c r="F200" t="inlineStr">
        <is>
          <t>ÖREBRO LÄN</t>
        </is>
      </c>
      <c r="G200" t="inlineStr">
        <is>
          <t>DEGERFORS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10674-2024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45369</v>
      </c>
      <c r="E201" s="1" t="n">
        <v>46279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45763</v>
      </c>
      <c r="E202" s="1" t="n">
        <v>46279</v>
      </c>
      <c r="F202" t="inlineStr">
        <is>
          <t>ÖREBRO LÄN</t>
        </is>
      </c>
      <c r="G202" t="inlineStr">
        <is>
          <t>DEGERFORS</t>
        </is>
      </c>
      <c r="I202" t="n">
        <v>13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46279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45376</v>
      </c>
      <c r="E204" s="1" t="n">
        <v>46279</v>
      </c>
      <c r="F204" t="inlineStr">
        <is>
          <t>ÖREBRO LÄN</t>
        </is>
      </c>
      <c r="G204" t="inlineStr">
        <is>
          <t>DEGERFORS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46279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46260</v>
      </c>
      <c r="E206" s="1" t="n">
        <v>46279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46279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36339-2026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46268</v>
      </c>
      <c r="E208" s="1" t="n">
        <v>46279</v>
      </c>
      <c r="F208" t="inlineStr">
        <is>
          <t>ÖREBRO LÄN</t>
        </is>
      </c>
      <c r="G208" t="inlineStr">
        <is>
          <t>DEGERFORS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46268</v>
      </c>
      <c r="E209" s="1" t="n">
        <v>46279</v>
      </c>
      <c r="F209" t="inlineStr">
        <is>
          <t>ÖREBRO LÄN</t>
        </is>
      </c>
      <c r="G209" t="inlineStr">
        <is>
          <t>DEGERFORS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36345-2026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46268</v>
      </c>
      <c r="E210" s="1" t="n">
        <v>46279</v>
      </c>
      <c r="F210" t="inlineStr">
        <is>
          <t>ÖREBRO LÄN</t>
        </is>
      </c>
      <c r="G210" t="inlineStr">
        <is>
          <t>DEGERFORS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45233</v>
      </c>
      <c r="E211" s="1" t="n">
        <v>46279</v>
      </c>
      <c r="F211" t="inlineStr">
        <is>
          <t>ÖREBRO LÄN</t>
        </is>
      </c>
      <c r="G211" t="inlineStr">
        <is>
          <t>DEGERFORS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44816</v>
      </c>
      <c r="E212" s="1" t="n">
        <v>46279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31813-2026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46230</v>
      </c>
      <c r="E213" s="1" t="n">
        <v>46279</v>
      </c>
      <c r="F213" t="inlineStr">
        <is>
          <t>ÖREBRO LÄN</t>
        </is>
      </c>
      <c r="G213" t="inlineStr">
        <is>
          <t>DEGERFORS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46231</v>
      </c>
      <c r="E214" s="1" t="n">
        <v>46279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46279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46231</v>
      </c>
      <c r="E216" s="1" t="n">
        <v>46279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46279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44986</v>
      </c>
      <c r="E218" s="1" t="n">
        <v>46279</v>
      </c>
      <c r="F218" t="inlineStr">
        <is>
          <t>ÖREBRO LÄN</t>
        </is>
      </c>
      <c r="G218" t="inlineStr">
        <is>
          <t>DEGERFORS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45705</v>
      </c>
      <c r="E219" s="1" t="n">
        <v>46279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46279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46279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46279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46279</v>
      </c>
      <c r="F223" t="inlineStr">
        <is>
          <t>ÖREBRO LÄN</t>
        </is>
      </c>
      <c r="G223" t="inlineStr">
        <is>
          <t>DEGERFORS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46279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46279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46279</v>
      </c>
      <c r="F226" t="inlineStr">
        <is>
          <t>ÖREBRO LÄN</t>
        </is>
      </c>
      <c r="G226" t="inlineStr">
        <is>
          <t>DEGERFORS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46279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46279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46279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46279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46279</v>
      </c>
      <c r="F231" t="inlineStr">
        <is>
          <t>ÖREBRO LÄN</t>
        </is>
      </c>
      <c r="G231" t="inlineStr">
        <is>
          <t>DEGERFORS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45810</v>
      </c>
      <c r="E232" s="1" t="n">
        <v>46279</v>
      </c>
      <c r="F232" t="inlineStr">
        <is>
          <t>ÖREBRO LÄN</t>
        </is>
      </c>
      <c r="G232" t="inlineStr">
        <is>
          <t>DEGERFORS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46279</v>
      </c>
      <c r="F233" t="inlineStr">
        <is>
          <t>ÖREBRO LÄN</t>
        </is>
      </c>
      <c r="G233" t="inlineStr">
        <is>
          <t>DEGERFORS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46279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46279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46279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46279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46279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46279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46279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46279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2026-09-14T02:18:10Z</dcterms:created>
  <dcterms:modified xmlns:dcterms="http://purl.org/dc/terms/" xmlns:xsi="http://www.w3.org/2001/XMLSchema-instance" xsi:type="dcterms:W3CDTF">2026-09-14T02:18:10Z</dcterms:modified>
</cp:coreProperties>
</file>