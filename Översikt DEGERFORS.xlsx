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46302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46302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46302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46302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46302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46302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46302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46302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46302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46302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46302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33297-2023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45116</v>
      </c>
      <c r="E35" s="1" t="n">
        <v>46302</v>
      </c>
      <c r="F35" t="inlineStr">
        <is>
          <t>ÖREBRO LÄN</t>
        </is>
      </c>
      <c r="G35" t="inlineStr">
        <is>
          <t>DEGERFORS</t>
        </is>
      </c>
      <c r="I35" t="n">
        <v>7.2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HYPERLINK("https://klasma.github.io/Logging_1862/artfynd/A 33297-2023 artfynd.xlsx", "A 33297-2023")</f>
        <v/>
      </c>
      <c r="X35">
        <f>HYPERLINK("https://klasma.github.io/Logging_1862/kartor/A 33297-2023 karta.png", "A 33297-2023")</f>
        <v/>
      </c>
      <c r="Y35">
        <f>HYPERLINK("https://klasma.github.io/Logging_1862/kartor_geotiff/A 33297-2023 georefererad karta.tif", "A 33297-2023")</f>
        <v/>
      </c>
      <c r="AA35">
        <f>HYPERLINK("https://klasma.github.io/Logging_1862/klagomål/A 33297-2023 FSC-klagomål.docx", "A 33297-2023")</f>
        <v/>
      </c>
      <c r="AB35">
        <f>HYPERLINK("https://klasma.github.io/Logging_1862/klagomålsmail/A 33297-2023 FSC-klagomål mail.docx", "A 33297-2023")</f>
        <v/>
      </c>
      <c r="AC35">
        <f>HYPERLINK("https://klasma.github.io/Logging_1862/tillsyn/A 33297-2023 tillsynsbegäran.docx", "A 33297-2023")</f>
        <v/>
      </c>
      <c r="AD35">
        <f>HYPERLINK("https://klasma.github.io/Logging_1862/tillsynsmail/A 33297-2023 tillsynsbegäran mail.docx", "A 33297-2023")</f>
        <v/>
      </c>
    </row>
    <row r="36" ht="15" customHeight="1">
      <c r="A36" t="inlineStr">
        <is>
          <t>A 38904-2023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46302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38904-2023 artfynd.xlsx", "A 38904-2023")</f>
        <v/>
      </c>
      <c r="X36">
        <f>HYPERLINK("https://klasma.github.io/Logging_1862/kartor/A 38904-2023 karta.png", "A 38904-2023")</f>
        <v/>
      </c>
      <c r="Y36">
        <f>HYPERLINK("https://klasma.github.io/Logging_1862/kartor_geotiff/A 38904-2023 georefererad karta.tif", "A 38904-2023")</f>
        <v/>
      </c>
      <c r="AA36">
        <f>HYPERLINK("https://klasma.github.io/Logging_1862/klagomål/A 38904-2023 FSC-klagomål.docx", "A 38904-2023")</f>
        <v/>
      </c>
      <c r="AB36">
        <f>HYPERLINK("https://klasma.github.io/Logging_1862/klagomålsmail/A 38904-2023 FSC-klagomål mail.docx", "A 38904-2023")</f>
        <v/>
      </c>
      <c r="AC36">
        <f>HYPERLINK("https://klasma.github.io/Logging_1862/tillsyn/A 38904-2023 tillsynsbegäran.docx", "A 38904-2023")</f>
        <v/>
      </c>
      <c r="AD36">
        <f>HYPERLINK("https://klasma.github.io/Logging_1862/tillsynsmail/A 38904-2023 tillsynsbegäran mail.docx", "A 38904-2023")</f>
        <v/>
      </c>
      <c r="AE36">
        <f>HYPERLINK("https://klasma.github.io/Logging_1862/fåglar/A 38904-2023 prioriterade fågelarter.docx", "A 38904-2023")</f>
        <v/>
      </c>
    </row>
    <row r="37" ht="15" customHeight="1">
      <c r="A37" t="inlineStr">
        <is>
          <t>A 27093-2023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46302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27093-2023 artfynd.xlsx", "A 27093-2023")</f>
        <v/>
      </c>
      <c r="X37">
        <f>HYPERLINK("https://klasma.github.io/Logging_1862/kartor/A 27093-2023 karta.png", "A 27093-2023")</f>
        <v/>
      </c>
      <c r="Y37">
        <f>HYPERLINK("https://klasma.github.io/Logging_1862/kartor_geotiff/A 27093-2023 georefererad karta.tif", "A 27093-2023")</f>
        <v/>
      </c>
      <c r="AA37">
        <f>HYPERLINK("https://klasma.github.io/Logging_1862/klagomål/A 27093-2023 FSC-klagomål.docx", "A 27093-2023")</f>
        <v/>
      </c>
      <c r="AB37">
        <f>HYPERLINK("https://klasma.github.io/Logging_1862/klagomålsmail/A 27093-2023 FSC-klagomål mail.docx", "A 27093-2023")</f>
        <v/>
      </c>
      <c r="AC37">
        <f>HYPERLINK("https://klasma.github.io/Logging_1862/tillsyn/A 27093-2023 tillsynsbegäran.docx", "A 27093-2023")</f>
        <v/>
      </c>
      <c r="AD37">
        <f>HYPERLINK("https://klasma.github.io/Logging_1862/tillsynsmail/A 27093-2023 tillsynsbegäran mail.docx", "A 27093-2023")</f>
        <v/>
      </c>
      <c r="AE37">
        <f>HYPERLINK("https://klasma.github.io/Logging_1862/fåglar/A 27093-2023 prioriterade fågelarter.docx", "A 27093-2023")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46302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46302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46302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46302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38907-2023 artfynd.xlsx", "A 38907-2023")</f>
        <v/>
      </c>
      <c r="X41">
        <f>HYPERLINK("https://klasma.github.io/Logging_1862/kartor/A 38907-2023 karta.png", "A 38907-2023")</f>
        <v/>
      </c>
      <c r="Y41">
        <f>HYPERLINK("https://klasma.github.io/Logging_1862/kartor_geotiff/A 38907-2023 georefererad karta.tif", "A 38907-2023")</f>
        <v/>
      </c>
      <c r="AA41">
        <f>HYPERLINK("https://klasma.github.io/Logging_1862/klagomål/A 38907-2023 FSC-klagomål.docx", "A 38907-2023")</f>
        <v/>
      </c>
      <c r="AB41">
        <f>HYPERLINK("https://klasma.github.io/Logging_1862/klagomålsmail/A 38907-2023 FSC-klagomål mail.docx", "A 38907-2023")</f>
        <v/>
      </c>
      <c r="AC41">
        <f>HYPERLINK("https://klasma.github.io/Logging_1862/tillsyn/A 38907-2023 tillsynsbegäran.docx", "A 38907-2023")</f>
        <v/>
      </c>
      <c r="AD41">
        <f>HYPERLINK("https://klasma.github.io/Logging_1862/tillsynsmail/A 38907-2023 tillsynsbegäran mail.docx", "A 38907-2023")</f>
        <v/>
      </c>
      <c r="AE41">
        <f>HYPERLINK("https://klasma.github.io/Logging_1862/fåglar/A 38907-2023 prioriterade fågelarter.docx", "A 38907-2023")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46302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46302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46302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46302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46302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47941-2024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46302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Brunfläckig pärlemorfjäril</t>
        </is>
      </c>
      <c r="W47">
        <f>HYPERLINK("https://klasma.github.io/Logging_1862/artfynd/A 47941-2024 artfynd.xlsx", "A 47941-2024")</f>
        <v/>
      </c>
      <c r="X47">
        <f>HYPERLINK("https://klasma.github.io/Logging_1862/kartor/A 47941-2024 karta.png", "A 47941-2024")</f>
        <v/>
      </c>
      <c r="Y47">
        <f>HYPERLINK("https://klasma.github.io/Logging_1862/kartor_geotiff/A 47941-2024 georefererad karta.tif", "A 47941-2024")</f>
        <v/>
      </c>
      <c r="AA47">
        <f>HYPERLINK("https://klasma.github.io/Logging_1862/klagomål/A 47941-2024 FSC-klagomål.docx", "A 47941-2024")</f>
        <v/>
      </c>
      <c r="AB47">
        <f>HYPERLINK("https://klasma.github.io/Logging_1862/klagomålsmail/A 47941-2024 FSC-klagomål mail.docx", "A 47941-2024")</f>
        <v/>
      </c>
      <c r="AC47">
        <f>HYPERLINK("https://klasma.github.io/Logging_1862/tillsyn/A 47941-2024 tillsynsbegäran.docx", "A 47941-2024")</f>
        <v/>
      </c>
      <c r="AD47">
        <f>HYPERLINK("https://klasma.github.io/Logging_1862/tillsynsmail/A 47941-2024 tillsynsbegäran mail.docx", "A 47941-2024")</f>
        <v/>
      </c>
    </row>
    <row r="48" ht="15" customHeight="1">
      <c r="A48" t="inlineStr">
        <is>
          <t>A 47915-2024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46302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47915-2024 artfynd.xlsx", "A 47915-2024")</f>
        <v/>
      </c>
      <c r="X48">
        <f>HYPERLINK("https://klasma.github.io/Logging_1862/kartor/A 47915-2024 karta.png", "A 47915-2024")</f>
        <v/>
      </c>
      <c r="Y48">
        <f>HYPERLINK("https://klasma.github.io/Logging_1862/kartor_geotiff/A 47915-2024 georefererad karta.tif", "A 47915-2024")</f>
        <v/>
      </c>
      <c r="AA48">
        <f>HYPERLINK("https://klasma.github.io/Logging_1862/klagomål/A 47915-2024 FSC-klagomål.docx", "A 47915-2024")</f>
        <v/>
      </c>
      <c r="AB48">
        <f>HYPERLINK("https://klasma.github.io/Logging_1862/klagomålsmail/A 47915-2024 FSC-klagomål mail.docx", "A 47915-2024")</f>
        <v/>
      </c>
      <c r="AC48">
        <f>HYPERLINK("https://klasma.github.io/Logging_1862/tillsyn/A 47915-2024 tillsynsbegäran.docx", "A 47915-2024")</f>
        <v/>
      </c>
      <c r="AD48">
        <f>HYPERLINK("https://klasma.github.io/Logging_1862/tillsynsmail/A 47915-2024 tillsynsbegäran mail.docx", "A 47915-2024")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46302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2357-2022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46302</v>
      </c>
      <c r="F50" t="inlineStr">
        <is>
          <t>ÖREBRO LÄN</t>
        </is>
      </c>
      <c r="G50" t="inlineStr">
        <is>
          <t>DEGERFORS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2357-2022 artfynd.xlsx", "A 2357-2022")</f>
        <v/>
      </c>
      <c r="X50">
        <f>HYPERLINK("https://klasma.github.io/Logging_1862/kartor/A 2357-2022 karta.png", "A 2357-2022")</f>
        <v/>
      </c>
      <c r="Y50">
        <f>HYPERLINK("https://klasma.github.io/Logging_1862/kartor_geotiff/A 2357-2022 georefererad karta.tif", "A 2357-2022")</f>
        <v/>
      </c>
      <c r="AA50">
        <f>HYPERLINK("https://klasma.github.io/Logging_1862/klagomål/A 2357-2022 FSC-klagomål.docx", "A 2357-2022")</f>
        <v/>
      </c>
      <c r="AB50">
        <f>HYPERLINK("https://klasma.github.io/Logging_1862/klagomålsmail/A 2357-2022 FSC-klagomål mail.docx", "A 2357-2022")</f>
        <v/>
      </c>
      <c r="AC50">
        <f>HYPERLINK("https://klasma.github.io/Logging_1862/tillsyn/A 2357-2022 tillsynsbegäran.docx", "A 2357-2022")</f>
        <v/>
      </c>
      <c r="AD50">
        <f>HYPERLINK("https://klasma.github.io/Logging_1862/tillsynsmail/A 2357-2022 tillsynsbegäran mail.docx", "A 2357-2022")</f>
        <v/>
      </c>
      <c r="AE50">
        <f>HYPERLINK("https://klasma.github.io/Logging_1862/fåglar/A 2357-2022 prioriterade fågelarter.docx", "A 2357-2022")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46302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46302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46302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46302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46302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46302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46302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46302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46302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46302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44643</v>
      </c>
      <c r="E61" s="1" t="n">
        <v>46302</v>
      </c>
      <c r="F61" t="inlineStr">
        <is>
          <t>ÖREBRO LÄN</t>
        </is>
      </c>
      <c r="G61" t="inlineStr">
        <is>
          <t>DEGERFORS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46302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46302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46302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46302</v>
      </c>
      <c r="F66" t="inlineStr">
        <is>
          <t>ÖREBRO LÄN</t>
        </is>
      </c>
      <c r="G66" t="inlineStr">
        <is>
          <t>DEGERFORS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45707</v>
      </c>
      <c r="E67" s="1" t="n">
        <v>46302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37672-2024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45541</v>
      </c>
      <c r="E68" s="1" t="n">
        <v>46302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44754</v>
      </c>
      <c r="E69" s="1" t="n">
        <v>46302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46302</v>
      </c>
      <c r="F70" t="inlineStr">
        <is>
          <t>ÖREBRO LÄN</t>
        </is>
      </c>
      <c r="G70" t="inlineStr">
        <is>
          <t>DEGERFORS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8062-2024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46302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46302</v>
      </c>
      <c r="F72" t="inlineStr">
        <is>
          <t>ÖREBRO LÄN</t>
        </is>
      </c>
      <c r="G72" t="inlineStr">
        <is>
          <t>DEGERFORS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45535</v>
      </c>
      <c r="E73" s="1" t="n">
        <v>46302</v>
      </c>
      <c r="F73" t="inlineStr">
        <is>
          <t>ÖREBRO LÄN</t>
        </is>
      </c>
      <c r="G73" t="inlineStr">
        <is>
          <t>DEGERFORS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46302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46302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46302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44579</v>
      </c>
      <c r="E77" s="1" t="n">
        <v>46302</v>
      </c>
      <c r="F77" t="inlineStr">
        <is>
          <t>ÖREBRO LÄN</t>
        </is>
      </c>
      <c r="G77" t="inlineStr">
        <is>
          <t>DEGERFORS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45810</v>
      </c>
      <c r="E78" s="1" t="n">
        <v>46302</v>
      </c>
      <c r="F78" t="inlineStr">
        <is>
          <t>ÖREBRO LÄN</t>
        </is>
      </c>
      <c r="G78" t="inlineStr">
        <is>
          <t>DEGERFORS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45810</v>
      </c>
      <c r="E79" s="1" t="n">
        <v>46302</v>
      </c>
      <c r="F79" t="inlineStr">
        <is>
          <t>ÖREBRO LÄN</t>
        </is>
      </c>
      <c r="G79" t="inlineStr">
        <is>
          <t>DEGERFORS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46302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46302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46302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28368-2025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46302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60907-2023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45261</v>
      </c>
      <c r="E84" s="1" t="n">
        <v>46302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46302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45912</v>
      </c>
      <c r="E86" s="1" t="n">
        <v>46302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46302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46302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44582</v>
      </c>
      <c r="E89" s="1" t="n">
        <v>46302</v>
      </c>
      <c r="F89" t="inlineStr">
        <is>
          <t>ÖREBRO LÄN</t>
        </is>
      </c>
      <c r="G89" t="inlineStr">
        <is>
          <t>DEGERFORS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46302</v>
      </c>
      <c r="F90" t="inlineStr">
        <is>
          <t>ÖREBRO LÄN</t>
        </is>
      </c>
      <c r="G90" t="inlineStr">
        <is>
          <t>DEGERFORS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46302</v>
      </c>
      <c r="F91" t="inlineStr">
        <is>
          <t>ÖREBRO LÄN</t>
        </is>
      </c>
      <c r="G91" t="inlineStr">
        <is>
          <t>DEGERFORS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12159-2026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46302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46302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46302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46302</v>
      </c>
      <c r="F95" t="inlineStr">
        <is>
          <t>ÖREBRO LÄN</t>
        </is>
      </c>
      <c r="G95" t="inlineStr">
        <is>
          <t>DEGERFORS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52523-2024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45609</v>
      </c>
      <c r="E96" s="1" t="n">
        <v>46302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46092</v>
      </c>
      <c r="E97" s="1" t="n">
        <v>46302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46302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46302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46302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46302</v>
      </c>
      <c r="F101" t="inlineStr">
        <is>
          <t>ÖREBRO LÄN</t>
        </is>
      </c>
      <c r="G101" t="inlineStr">
        <is>
          <t>DEGERFORS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46302</v>
      </c>
      <c r="F102" t="inlineStr">
        <is>
          <t>ÖREBRO LÄN</t>
        </is>
      </c>
      <c r="G102" t="inlineStr">
        <is>
          <t>DEGERFORS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46302</v>
      </c>
      <c r="F103" t="inlineStr">
        <is>
          <t>ÖREBRO LÄN</t>
        </is>
      </c>
      <c r="G103" t="inlineStr">
        <is>
          <t>DEGERFORS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46302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46302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59863-2024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46302</v>
      </c>
      <c r="F106" t="inlineStr">
        <is>
          <t>ÖREBRO LÄN</t>
        </is>
      </c>
      <c r="G106" t="inlineStr">
        <is>
          <t>DEGERFORS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46302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46302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18.5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18913-2026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46129</v>
      </c>
      <c r="E109" s="1" t="n">
        <v>46302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37333-2025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45876</v>
      </c>
      <c r="E110" s="1" t="n">
        <v>46302</v>
      </c>
      <c r="F110" t="inlineStr">
        <is>
          <t>ÖREBRO LÄN</t>
        </is>
      </c>
      <c r="G110" t="inlineStr">
        <is>
          <t>DEGERFORS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45876</v>
      </c>
      <c r="E111" s="1" t="n">
        <v>46302</v>
      </c>
      <c r="F111" t="inlineStr">
        <is>
          <t>ÖREBRO LÄN</t>
        </is>
      </c>
      <c r="G111" t="inlineStr">
        <is>
          <t>DEGERFORS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46302</v>
      </c>
      <c r="F112" t="inlineStr">
        <is>
          <t>ÖREBRO LÄN</t>
        </is>
      </c>
      <c r="G112" t="inlineStr">
        <is>
          <t>DEGERFORS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46302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46302</v>
      </c>
      <c r="F114" t="inlineStr">
        <is>
          <t>ÖREBRO LÄN</t>
        </is>
      </c>
      <c r="G114" t="inlineStr">
        <is>
          <t>DEGERFORS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46302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38875-2025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46302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38233-2023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45160</v>
      </c>
      <c r="E117" s="1" t="n">
        <v>46302</v>
      </c>
      <c r="F117" t="inlineStr">
        <is>
          <t>ÖREBRO LÄN</t>
        </is>
      </c>
      <c r="G117" t="inlineStr">
        <is>
          <t>DEGERFORS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10674-2024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45369</v>
      </c>
      <c r="E118" s="1" t="n">
        <v>46302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46302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57086-2025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45979</v>
      </c>
      <c r="E120" s="1" t="n">
        <v>46302</v>
      </c>
      <c r="F120" t="inlineStr">
        <is>
          <t>ÖREBRO LÄN</t>
        </is>
      </c>
      <c r="G120" t="inlineStr">
        <is>
          <t>DEGERFORS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44552</v>
      </c>
      <c r="E121" s="1" t="n">
        <v>46302</v>
      </c>
      <c r="F121" t="inlineStr">
        <is>
          <t>ÖREBRO LÄN</t>
        </is>
      </c>
      <c r="G121" t="inlineStr">
        <is>
          <t>DEGERFORS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46302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45645</v>
      </c>
      <c r="E123" s="1" t="n">
        <v>46302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46302</v>
      </c>
      <c r="F124" t="inlineStr">
        <is>
          <t>ÖREBRO LÄN</t>
        </is>
      </c>
      <c r="G124" t="inlineStr">
        <is>
          <t>DEGERFORS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46302</v>
      </c>
      <c r="F125" t="inlineStr">
        <is>
          <t>ÖREBRO LÄN</t>
        </is>
      </c>
      <c r="G125" t="inlineStr">
        <is>
          <t>DEGERFORS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46302</v>
      </c>
      <c r="F126" t="inlineStr">
        <is>
          <t>ÖREBRO LÄN</t>
        </is>
      </c>
      <c r="G126" t="inlineStr">
        <is>
          <t>DEGERFORS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46302</v>
      </c>
      <c r="F127" t="inlineStr">
        <is>
          <t>ÖREBRO LÄN</t>
        </is>
      </c>
      <c r="G127" t="inlineStr">
        <is>
          <t>DEGERFORS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46302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46302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46302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46302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46302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46302</v>
      </c>
      <c r="F133" t="inlineStr">
        <is>
          <t>ÖREBRO LÄN</t>
        </is>
      </c>
      <c r="G133" t="inlineStr">
        <is>
          <t>DEGERFORS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46302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46302</v>
      </c>
      <c r="F135" t="inlineStr">
        <is>
          <t>ÖREBRO LÄN</t>
        </is>
      </c>
      <c r="G135" t="inlineStr">
        <is>
          <t>DEGERFORS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46302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46302</v>
      </c>
      <c r="F137" t="inlineStr">
        <is>
          <t>ÖREBRO LÄN</t>
        </is>
      </c>
      <c r="G137" t="inlineStr">
        <is>
          <t>DEGERFORS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46302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46302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46302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46302</v>
      </c>
      <c r="F141" t="inlineStr">
        <is>
          <t>ÖREBRO LÄN</t>
        </is>
      </c>
      <c r="G141" t="inlineStr">
        <is>
          <t>DEGERFORS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46162</v>
      </c>
      <c r="E142" s="1" t="n">
        <v>46302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46162</v>
      </c>
      <c r="E143" s="1" t="n">
        <v>46302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14678-2025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45742</v>
      </c>
      <c r="E144" s="1" t="n">
        <v>46302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46302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46302</v>
      </c>
      <c r="F146" t="inlineStr">
        <is>
          <t>ÖREBRO LÄN</t>
        </is>
      </c>
      <c r="G146" t="inlineStr">
        <is>
          <t>DEGERFORS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46302</v>
      </c>
      <c r="F147" t="inlineStr">
        <is>
          <t>ÖREBRO LÄN</t>
        </is>
      </c>
      <c r="G147" t="inlineStr">
        <is>
          <t>DEGERFORS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24689-2026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46171</v>
      </c>
      <c r="E148" s="1" t="n">
        <v>46302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46302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46185</v>
      </c>
      <c r="E150" s="1" t="n">
        <v>46302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46302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46302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27411-2026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46189</v>
      </c>
      <c r="E153" s="1" t="n">
        <v>46302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46195</v>
      </c>
      <c r="E154" s="1" t="n">
        <v>46302</v>
      </c>
      <c r="F154" t="inlineStr">
        <is>
          <t>ÖREBRO LÄN</t>
        </is>
      </c>
      <c r="G154" t="inlineStr">
        <is>
          <t>DEGERFORS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46302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46302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45351</v>
      </c>
      <c r="E157" s="1" t="n">
        <v>46302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21952-2024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45443</v>
      </c>
      <c r="E158" s="1" t="n">
        <v>46302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46302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46302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46302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46302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46199</v>
      </c>
      <c r="E163" s="1" t="n">
        <v>46302</v>
      </c>
      <c r="F163" t="inlineStr">
        <is>
          <t>ÖREBRO LÄN</t>
        </is>
      </c>
      <c r="G163" t="inlineStr">
        <is>
          <t>DEGERFORS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46302</v>
      </c>
      <c r="F164" t="inlineStr">
        <is>
          <t>ÖREBRO LÄN</t>
        </is>
      </c>
      <c r="G164" t="inlineStr">
        <is>
          <t>DEGERFORS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46302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12143-2025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45729</v>
      </c>
      <c r="E166" s="1" t="n">
        <v>46302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46302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20577-2023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45057</v>
      </c>
      <c r="E168" s="1" t="n">
        <v>46302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45192</v>
      </c>
      <c r="E169" s="1" t="n">
        <v>46302</v>
      </c>
      <c r="F169" t="inlineStr">
        <is>
          <t>ÖREBRO LÄN</t>
        </is>
      </c>
      <c r="G169" t="inlineStr">
        <is>
          <t>DEGERFORS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45338</v>
      </c>
      <c r="E170" s="1" t="n">
        <v>46302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45337</v>
      </c>
      <c r="E171" s="1" t="n">
        <v>46302</v>
      </c>
      <c r="F171" t="inlineStr">
        <is>
          <t>ÖREBRO LÄN</t>
        </is>
      </c>
      <c r="G171" t="inlineStr">
        <is>
          <t>DEGERFORS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6394-2024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45338</v>
      </c>
      <c r="E172" s="1" t="n">
        <v>46302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46260</v>
      </c>
      <c r="E173" s="1" t="n">
        <v>46302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44986</v>
      </c>
      <c r="E174" s="1" t="n">
        <v>46302</v>
      </c>
      <c r="F174" t="inlineStr">
        <is>
          <t>ÖREBRO LÄN</t>
        </is>
      </c>
      <c r="G174" t="inlineStr">
        <is>
          <t>DEGERFORS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46302</v>
      </c>
      <c r="F175" t="inlineStr">
        <is>
          <t>ÖREBRO LÄN</t>
        </is>
      </c>
      <c r="G175" t="inlineStr">
        <is>
          <t>DEGERFORS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46268</v>
      </c>
      <c r="E176" s="1" t="n">
        <v>46302</v>
      </c>
      <c r="F176" t="inlineStr">
        <is>
          <t>ÖREBRO LÄN</t>
        </is>
      </c>
      <c r="G176" t="inlineStr">
        <is>
          <t>DEGERFORS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45330</v>
      </c>
      <c r="E177" s="1" t="n">
        <v>46302</v>
      </c>
      <c r="F177" t="inlineStr">
        <is>
          <t>ÖREBRO LÄN</t>
        </is>
      </c>
      <c r="G177" t="inlineStr">
        <is>
          <t>DEGERFORS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46302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45116</v>
      </c>
      <c r="E179" s="1" t="n">
        <v>46302</v>
      </c>
      <c r="F179" t="inlineStr">
        <is>
          <t>ÖREBRO LÄN</t>
        </is>
      </c>
      <c r="G179" t="inlineStr">
        <is>
          <t>DEGERFORS</t>
        </is>
      </c>
      <c r="I179" t="n">
        <v>17.2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46268</v>
      </c>
      <c r="E180" s="1" t="n">
        <v>46302</v>
      </c>
      <c r="F180" t="inlineStr">
        <is>
          <t>ÖREBRO LÄN</t>
        </is>
      </c>
      <c r="G180" t="inlineStr">
        <is>
          <t>DEGERFORS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44807-2023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46302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51652-2023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46302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46302</v>
      </c>
      <c r="F183" t="inlineStr">
        <is>
          <t>ÖREBRO LÄN</t>
        </is>
      </c>
      <c r="G183" t="inlineStr">
        <is>
          <t>DEGERFORS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46302</v>
      </c>
      <c r="F184" t="inlineStr">
        <is>
          <t>ÖREBRO LÄN</t>
        </is>
      </c>
      <c r="G184" t="inlineStr">
        <is>
          <t>DEGERFORS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44781</v>
      </c>
      <c r="E185" s="1" t="n">
        <v>46302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46302</v>
      </c>
      <c r="F186" t="inlineStr">
        <is>
          <t>ÖREBRO LÄN</t>
        </is>
      </c>
      <c r="G186" t="inlineStr">
        <is>
          <t>DEGERFORS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46302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46302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46302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46279</v>
      </c>
      <c r="E190" s="1" t="n">
        <v>46302</v>
      </c>
      <c r="F190" t="inlineStr">
        <is>
          <t>ÖREBRO LÄN</t>
        </is>
      </c>
      <c r="G190" t="inlineStr">
        <is>
          <t>DEGERFORS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46302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46302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46302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46302</v>
      </c>
      <c r="F194" t="inlineStr">
        <is>
          <t>ÖREBRO LÄN</t>
        </is>
      </c>
      <c r="G194" t="inlineStr">
        <is>
          <t>DEGERFORS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46302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46283</v>
      </c>
      <c r="E196" s="1" t="n">
        <v>46302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46241</v>
      </c>
      <c r="E197" s="1" t="n">
        <v>46302</v>
      </c>
      <c r="F197" t="inlineStr">
        <is>
          <t>ÖREBRO LÄN</t>
        </is>
      </c>
      <c r="G197" t="inlineStr">
        <is>
          <t>DEGERFORS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63905-2021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46302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44816</v>
      </c>
      <c r="E199" s="1" t="n">
        <v>46302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47935-2024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46302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46302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45351</v>
      </c>
      <c r="E202" s="1" t="n">
        <v>46302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46302</v>
      </c>
      <c r="F203" t="inlineStr">
        <is>
          <t>ÖREBRO LÄN</t>
        </is>
      </c>
      <c r="G203" t="inlineStr">
        <is>
          <t>DEGERFORS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59158-2022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44904</v>
      </c>
      <c r="E204" s="1" t="n">
        <v>46302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46302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46302</v>
      </c>
      <c r="F206" t="inlineStr">
        <is>
          <t>ÖREBRO LÄN</t>
        </is>
      </c>
      <c r="G206" t="inlineStr">
        <is>
          <t>DEGERFORS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44989</v>
      </c>
      <c r="E207" s="1" t="n">
        <v>46302</v>
      </c>
      <c r="F207" t="inlineStr">
        <is>
          <t>ÖREBRO LÄN</t>
        </is>
      </c>
      <c r="G207" t="inlineStr">
        <is>
          <t>DEGERFORS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44986</v>
      </c>
      <c r="E208" s="1" t="n">
        <v>46302</v>
      </c>
      <c r="F208" t="inlineStr">
        <is>
          <t>ÖREBRO LÄN</t>
        </is>
      </c>
      <c r="G208" t="inlineStr">
        <is>
          <t>DEGERFORS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45602</v>
      </c>
      <c r="E209" s="1" t="n">
        <v>46302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46302</v>
      </c>
      <c r="F210" t="inlineStr">
        <is>
          <t>ÖREBRO LÄN</t>
        </is>
      </c>
      <c r="G210" t="inlineStr">
        <is>
          <t>DEGERFORS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46204</v>
      </c>
      <c r="E211" s="1" t="n">
        <v>46302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45861-2023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45195</v>
      </c>
      <c r="E212" s="1" t="n">
        <v>46302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46231</v>
      </c>
      <c r="E213" s="1" t="n">
        <v>46302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45569</v>
      </c>
      <c r="E214" s="1" t="n">
        <v>46302</v>
      </c>
      <c r="F214" t="inlineStr">
        <is>
          <t>ÖREBRO LÄN</t>
        </is>
      </c>
      <c r="G214" t="inlineStr">
        <is>
          <t>DEGERFORS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46302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61750-2021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46302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46302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46302</v>
      </c>
      <c r="F218" t="inlineStr">
        <is>
          <t>ÖREBRO LÄN</t>
        </is>
      </c>
      <c r="G218" t="inlineStr">
        <is>
          <t>DEGERFORS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46302</v>
      </c>
      <c r="F219" t="inlineStr">
        <is>
          <t>ÖREBRO LÄN</t>
        </is>
      </c>
      <c r="G219" t="inlineStr">
        <is>
          <t>DEGERFORS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46302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46302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46302</v>
      </c>
      <c r="F222" t="inlineStr">
        <is>
          <t>ÖREBRO LÄN</t>
        </is>
      </c>
      <c r="G222" t="inlineStr">
        <is>
          <t>DEGERFORS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46302</v>
      </c>
      <c r="F223" t="inlineStr">
        <is>
          <t>ÖREBRO LÄN</t>
        </is>
      </c>
      <c r="G223" t="inlineStr">
        <is>
          <t>DEGERFORS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46302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46302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46302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46302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46302</v>
      </c>
      <c r="F228" t="inlineStr">
        <is>
          <t>ÖREBRO LÄN</t>
        </is>
      </c>
      <c r="G228" t="inlineStr">
        <is>
          <t>DEGERFORS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46302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46302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46302</v>
      </c>
      <c r="F231" t="inlineStr">
        <is>
          <t>ÖREBRO LÄN</t>
        </is>
      </c>
      <c r="G231" t="inlineStr">
        <is>
          <t>DEGERFORS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479-2022</t>
        </is>
      </c>
      <c r="B232" t="inlineStr">
        <is>
          <t>samrådsanmälan</t>
        </is>
      </c>
      <c r="C232" t="inlineStr">
        <is>
          <t>Skogsbilväg</t>
        </is>
      </c>
      <c r="D232" s="1" t="n">
        <v>44587</v>
      </c>
      <c r="E232" s="1" t="n">
        <v>46302</v>
      </c>
      <c r="F232" t="inlineStr">
        <is>
          <t>ÖREBRO LÄN</t>
        </is>
      </c>
      <c r="G232" t="inlineStr">
        <is>
          <t>DEGERFORS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1697-2025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46302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46302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46302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46302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46302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46302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2595-2025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45916</v>
      </c>
      <c r="E239" s="1" t="n">
        <v>46302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2026-10-07T02:07:45Z</dcterms:created>
  <dcterms:modified xmlns:dcterms="http://purl.org/dc/terms/" xmlns:xsi="http://www.w3.org/2001/XMLSchema-instance" xsi:type="dcterms:W3CDTF">2026-10-07T02:07:46Z</dcterms:modified>
</cp:coreProperties>
</file>