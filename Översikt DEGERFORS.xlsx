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46290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46290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46290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46290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46290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46290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46290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46290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46290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46290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46290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46290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46290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46290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46290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46290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46290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46290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46290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46290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46290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46290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46290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46290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46290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HYPERLINK("https://klasma.github.io/Logging_1862/artfynd/A 14177-2026 artfynd.xlsx", "A 14177-2026")</f>
        <v/>
      </c>
      <c r="X46">
        <f>HYPERLINK("https://klasma.github.io/Logging_1862/kartor/A 14177-2026 karta.png", "A 14177-2026")</f>
        <v/>
      </c>
      <c r="Y46">
        <f>HYPERLINK("https://klasma.github.io/Logging_1862/kartor_geotiff/A 14177-2026 georefererad karta.tif", "A 14177-2026")</f>
        <v/>
      </c>
      <c r="AA46">
        <f>HYPERLINK("https://klasma.github.io/Logging_1862/klagomål/A 14177-2026 FSC-klagomål.docx", "A 14177-2026")</f>
        <v/>
      </c>
      <c r="AB46">
        <f>HYPERLINK("https://klasma.github.io/Logging_1862/klagomålsmail/A 14177-2026 FSC-klagomål mail.docx", "A 14177-2026")</f>
        <v/>
      </c>
      <c r="AC46">
        <f>HYPERLINK("https://klasma.github.io/Logging_1862/tillsyn/A 14177-2026 tillsynsbegäran.docx", "A 14177-2026")</f>
        <v/>
      </c>
      <c r="AD46">
        <f>HYPERLINK("https://klasma.github.io/Logging_1862/tillsynsmail/A 14177-2026 tillsynsbegäran mail.docx", "A 14177-2026")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46290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46290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47915-2024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46290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47915-2024 artfynd.xlsx", "A 47915-2024")</f>
        <v/>
      </c>
      <c r="X49">
        <f>HYPERLINK("https://klasma.github.io/Logging_1862/kartor/A 47915-2024 karta.png", "A 47915-2024")</f>
        <v/>
      </c>
      <c r="Y49">
        <f>HYPERLINK("https://klasma.github.io/Logging_1862/kartor_geotiff/A 47915-2024 georefererad karta.tif", "A 47915-2024")</f>
        <v/>
      </c>
      <c r="AA49">
        <f>HYPERLINK("https://klasma.github.io/Logging_1862/klagomål/A 47915-2024 FSC-klagomål.docx", "A 47915-2024")</f>
        <v/>
      </c>
      <c r="AB49">
        <f>HYPERLINK("https://klasma.github.io/Logging_1862/klagomålsmail/A 47915-2024 FSC-klagomål mail.docx", "A 47915-2024")</f>
        <v/>
      </c>
      <c r="AC49">
        <f>HYPERLINK("https://klasma.github.io/Logging_1862/tillsyn/A 47915-2024 tillsynsbegäran.docx", "A 47915-2024")</f>
        <v/>
      </c>
      <c r="AD49">
        <f>HYPERLINK("https://klasma.github.io/Logging_1862/tillsynsmail/A 47915-2024 tillsynsbegäran mail.docx", "A 47915-2024")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46290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46290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46290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46290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46290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46290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46290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46290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46290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46290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46290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46290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46290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46290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46290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46290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46290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46290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46290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46290</v>
      </c>
      <c r="F71" t="inlineStr">
        <is>
          <t>ÖREBRO LÄN</t>
        </is>
      </c>
      <c r="G71" t="inlineStr">
        <is>
          <t>DEGERFORS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45707</v>
      </c>
      <c r="E72" s="1" t="n">
        <v>46290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46290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46290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46290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46290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46290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46290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46290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46290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46290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46290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46290</v>
      </c>
      <c r="F83" t="inlineStr">
        <is>
          <t>ÖREBRO LÄN</t>
        </is>
      </c>
      <c r="G83" t="inlineStr">
        <is>
          <t>DEGERFORS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46290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46290</v>
      </c>
      <c r="F85" t="inlineStr">
        <is>
          <t>ÖREBRO LÄN</t>
        </is>
      </c>
      <c r="G85" t="inlineStr">
        <is>
          <t>DEGERFORS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46290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46290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37333-2025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45876</v>
      </c>
      <c r="E88" s="1" t="n">
        <v>46290</v>
      </c>
      <c r="F88" t="inlineStr">
        <is>
          <t>ÖREBRO LÄN</t>
        </is>
      </c>
      <c r="G88" t="inlineStr">
        <is>
          <t>DEGERFORS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46290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45233</v>
      </c>
      <c r="E90" s="1" t="n">
        <v>46290</v>
      </c>
      <c r="F90" t="inlineStr">
        <is>
          <t>ÖREBRO LÄN</t>
        </is>
      </c>
      <c r="G90" t="inlineStr">
        <is>
          <t>DEGERFORS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46290</v>
      </c>
      <c r="F91" t="inlineStr">
        <is>
          <t>ÖREBRO LÄN</t>
        </is>
      </c>
      <c r="G91" t="inlineStr">
        <is>
          <t>DEGERFORS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46290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45735</v>
      </c>
      <c r="E93" s="1" t="n">
        <v>46290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46290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46290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46290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38233-2023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45160</v>
      </c>
      <c r="E97" s="1" t="n">
        <v>46290</v>
      </c>
      <c r="F97" t="inlineStr">
        <is>
          <t>ÖREBRO LÄN</t>
        </is>
      </c>
      <c r="G97" t="inlineStr">
        <is>
          <t>DEGERFORS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46290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46290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46290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10674-2024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45369</v>
      </c>
      <c r="E101" s="1" t="n">
        <v>46290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46290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73693-2021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44552</v>
      </c>
      <c r="E103" s="1" t="n">
        <v>46290</v>
      </c>
      <c r="F103" t="inlineStr">
        <is>
          <t>ÖREBRO LÄN</t>
        </is>
      </c>
      <c r="G103" t="inlineStr">
        <is>
          <t>DEGERFORS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46290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46290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46290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46290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46290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46290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45616</v>
      </c>
      <c r="E110" s="1" t="n">
        <v>46290</v>
      </c>
      <c r="F110" t="inlineStr">
        <is>
          <t>ÖREBRO LÄN</t>
        </is>
      </c>
      <c r="G110" t="inlineStr">
        <is>
          <t>DEGERFORS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46290</v>
      </c>
      <c r="F111" t="inlineStr">
        <is>
          <t>ÖREBRO LÄN</t>
        </is>
      </c>
      <c r="G111" t="inlineStr">
        <is>
          <t>DEGERFORS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46290</v>
      </c>
      <c r="F112" t="inlineStr">
        <is>
          <t>ÖREBRO LÄN</t>
        </is>
      </c>
      <c r="G112" t="inlineStr">
        <is>
          <t>DEGERFORS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46290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46290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46290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46290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46290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21952-2024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45443</v>
      </c>
      <c r="E118" s="1" t="n">
        <v>46290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46290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46290</v>
      </c>
      <c r="F120" t="inlineStr">
        <is>
          <t>ÖREBRO LÄN</t>
        </is>
      </c>
      <c r="G120" t="inlineStr">
        <is>
          <t>DEGERFORS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45729</v>
      </c>
      <c r="E121" s="1" t="n">
        <v>46290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46290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46148</v>
      </c>
      <c r="E123" s="1" t="n">
        <v>46290</v>
      </c>
      <c r="F123" t="inlineStr">
        <is>
          <t>ÖREBRO LÄN</t>
        </is>
      </c>
      <c r="G123" t="inlineStr">
        <is>
          <t>DEGERFORS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46290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46290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46290</v>
      </c>
      <c r="F126" t="inlineStr">
        <is>
          <t>ÖREBRO LÄN</t>
        </is>
      </c>
      <c r="G126" t="inlineStr">
        <is>
          <t>DEGERFORS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46290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46290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46290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20577-2023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45057</v>
      </c>
      <c r="E130" s="1" t="n">
        <v>46290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46290</v>
      </c>
      <c r="F131" t="inlineStr">
        <is>
          <t>ÖREBRO LÄN</t>
        </is>
      </c>
      <c r="G131" t="inlineStr">
        <is>
          <t>DEGERFORS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46290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45192</v>
      </c>
      <c r="E133" s="1" t="n">
        <v>46290</v>
      </c>
      <c r="F133" t="inlineStr">
        <is>
          <t>ÖREBRO LÄN</t>
        </is>
      </c>
      <c r="G133" t="inlineStr">
        <is>
          <t>DEGERFORS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6387-2024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45338</v>
      </c>
      <c r="E134" s="1" t="n">
        <v>46290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46290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46290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45205</v>
      </c>
      <c r="E137" s="1" t="n">
        <v>46290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45337</v>
      </c>
      <c r="E138" s="1" t="n">
        <v>46290</v>
      </c>
      <c r="F138" t="inlineStr">
        <is>
          <t>ÖREBRO LÄN</t>
        </is>
      </c>
      <c r="G138" t="inlineStr">
        <is>
          <t>DEGERFORS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46027</v>
      </c>
      <c r="E139" s="1" t="n">
        <v>46290</v>
      </c>
      <c r="F139" t="inlineStr">
        <is>
          <t>ÖREBRO LÄN</t>
        </is>
      </c>
      <c r="G139" t="inlineStr">
        <is>
          <t>DEGERFORS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45338</v>
      </c>
      <c r="E140" s="1" t="n">
        <v>46290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46290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46162</v>
      </c>
      <c r="E142" s="1" t="n">
        <v>46290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44986</v>
      </c>
      <c r="E143" s="1" t="n">
        <v>46290</v>
      </c>
      <c r="F143" t="inlineStr">
        <is>
          <t>ÖREBRO LÄN</t>
        </is>
      </c>
      <c r="G143" t="inlineStr">
        <is>
          <t>DEGERFORS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14678-2025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45742</v>
      </c>
      <c r="E144" s="1" t="n">
        <v>46290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46290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45330</v>
      </c>
      <c r="E146" s="1" t="n">
        <v>46290</v>
      </c>
      <c r="F146" t="inlineStr">
        <is>
          <t>ÖREBRO LÄN</t>
        </is>
      </c>
      <c r="G146" t="inlineStr">
        <is>
          <t>DEGERFORS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45601</v>
      </c>
      <c r="E147" s="1" t="n">
        <v>46290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45116</v>
      </c>
      <c r="E148" s="1" t="n">
        <v>46290</v>
      </c>
      <c r="F148" t="inlineStr">
        <is>
          <t>ÖREBRO LÄN</t>
        </is>
      </c>
      <c r="G148" t="inlineStr">
        <is>
          <t>DEGERFORS</t>
        </is>
      </c>
      <c r="I148" t="n">
        <v>17.2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45190</v>
      </c>
      <c r="E149" s="1" t="n">
        <v>46290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46290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46290</v>
      </c>
      <c r="F151" t="inlineStr">
        <is>
          <t>ÖREBRO LÄN</t>
        </is>
      </c>
      <c r="G151" t="inlineStr">
        <is>
          <t>DEGERFORS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46290</v>
      </c>
      <c r="F152" t="inlineStr">
        <is>
          <t>ÖREBRO LÄN</t>
        </is>
      </c>
      <c r="G152" t="inlineStr">
        <is>
          <t>DEGERFORS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46290</v>
      </c>
      <c r="F153" t="inlineStr">
        <is>
          <t>ÖREBRO LÄN</t>
        </is>
      </c>
      <c r="G153" t="inlineStr">
        <is>
          <t>DEGERFORS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46290</v>
      </c>
      <c r="F154" t="inlineStr">
        <is>
          <t>ÖREBRO LÄN</t>
        </is>
      </c>
      <c r="G154" t="inlineStr">
        <is>
          <t>DEGERFORS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46290</v>
      </c>
      <c r="F155" t="inlineStr">
        <is>
          <t>ÖREBRO LÄN</t>
        </is>
      </c>
      <c r="G155" t="inlineStr">
        <is>
          <t>DEGERFORS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45384</v>
      </c>
      <c r="E156" s="1" t="n">
        <v>46290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46290</v>
      </c>
      <c r="F157" t="inlineStr">
        <is>
          <t>ÖREBRO LÄN</t>
        </is>
      </c>
      <c r="G157" t="inlineStr">
        <is>
          <t>DEGERFORS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46290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46086</v>
      </c>
      <c r="E159" s="1" t="n">
        <v>46290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46290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46290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46290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46290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46290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46290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46290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46290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46290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46290</v>
      </c>
      <c r="F170" t="inlineStr">
        <is>
          <t>ÖREBRO LÄN</t>
        </is>
      </c>
      <c r="G170" t="inlineStr">
        <is>
          <t>DEGERFORS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46290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46290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46290</v>
      </c>
      <c r="F173" t="inlineStr">
        <is>
          <t>ÖREBRO LÄN</t>
        </is>
      </c>
      <c r="G173" t="inlineStr">
        <is>
          <t>DEGERFORS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46132</v>
      </c>
      <c r="E174" s="1" t="n">
        <v>46290</v>
      </c>
      <c r="F174" t="inlineStr">
        <is>
          <t>ÖREBRO LÄN</t>
        </is>
      </c>
      <c r="G174" t="inlineStr">
        <is>
          <t>DEGERFORS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46290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46290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44509</v>
      </c>
      <c r="E178" s="1" t="n">
        <v>46290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46290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46199</v>
      </c>
      <c r="E180" s="1" t="n">
        <v>46290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46290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46290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46290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46290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46290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46290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46290</v>
      </c>
      <c r="F187" t="inlineStr">
        <is>
          <t>ÖREBRO LÄN</t>
        </is>
      </c>
      <c r="G187" t="inlineStr">
        <is>
          <t>DEGERFORS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59158-2022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44904</v>
      </c>
      <c r="E188" s="1" t="n">
        <v>46290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46290</v>
      </c>
      <c r="F189" t="inlineStr">
        <is>
          <t>ÖREBRO LÄN</t>
        </is>
      </c>
      <c r="G189" t="inlineStr">
        <is>
          <t>DEGERFORS</t>
        </is>
      </c>
      <c r="I189" t="n">
        <v>13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46290</v>
      </c>
      <c r="F190" t="inlineStr">
        <is>
          <t>ÖREBRO LÄN</t>
        </is>
      </c>
      <c r="G190" t="inlineStr">
        <is>
          <t>DEGERFORS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44989</v>
      </c>
      <c r="E191" s="1" t="n">
        <v>46290</v>
      </c>
      <c r="F191" t="inlineStr">
        <is>
          <t>ÖREBRO LÄN</t>
        </is>
      </c>
      <c r="G191" t="inlineStr">
        <is>
          <t>DEGERFORS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46290</v>
      </c>
      <c r="F192" t="inlineStr">
        <is>
          <t>ÖREBRO LÄN</t>
        </is>
      </c>
      <c r="G192" t="inlineStr">
        <is>
          <t>DEGERFORS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46290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46290</v>
      </c>
      <c r="F194" t="inlineStr">
        <is>
          <t>ÖREBRO LÄN</t>
        </is>
      </c>
      <c r="G194" t="inlineStr">
        <is>
          <t>DEGERFORS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45861-2023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45195</v>
      </c>
      <c r="E195" s="1" t="n">
        <v>46290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46290</v>
      </c>
      <c r="F196" t="inlineStr">
        <is>
          <t>ÖREBRO LÄN</t>
        </is>
      </c>
      <c r="G196" t="inlineStr">
        <is>
          <t>DEGERFORS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46260</v>
      </c>
      <c r="E197" s="1" t="n">
        <v>46290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44816</v>
      </c>
      <c r="E198" s="1" t="n">
        <v>46290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46268</v>
      </c>
      <c r="E199" s="1" t="n">
        <v>46290</v>
      </c>
      <c r="F199" t="inlineStr">
        <is>
          <t>ÖREBRO LÄN</t>
        </is>
      </c>
      <c r="G199" t="inlineStr">
        <is>
          <t>DEGERFORS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46268</v>
      </c>
      <c r="E200" s="1" t="n">
        <v>46290</v>
      </c>
      <c r="F200" t="inlineStr">
        <is>
          <t>ÖREBRO LÄN</t>
        </is>
      </c>
      <c r="G200" t="inlineStr">
        <is>
          <t>DEGERFORS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46268</v>
      </c>
      <c r="E201" s="1" t="n">
        <v>46290</v>
      </c>
      <c r="F201" t="inlineStr">
        <is>
          <t>ÖREBRO LÄN</t>
        </is>
      </c>
      <c r="G201" t="inlineStr">
        <is>
          <t>DEGERFORS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31813-2026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46230</v>
      </c>
      <c r="E202" s="1" t="n">
        <v>46290</v>
      </c>
      <c r="F202" t="inlineStr">
        <is>
          <t>ÖREBRO LÄN</t>
        </is>
      </c>
      <c r="G202" t="inlineStr">
        <is>
          <t>DEGERFORS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61750-2021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46290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45705</v>
      </c>
      <c r="E204" s="1" t="n">
        <v>46290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46290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46290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46231</v>
      </c>
      <c r="E207" s="1" t="n">
        <v>46290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46290</v>
      </c>
      <c r="F208" t="inlineStr">
        <is>
          <t>ÖREBRO LÄN</t>
        </is>
      </c>
      <c r="G208" t="inlineStr">
        <is>
          <t>DEGERFORS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46290</v>
      </c>
      <c r="F209" t="inlineStr">
        <is>
          <t>ÖREBRO LÄN</t>
        </is>
      </c>
      <c r="G209" t="inlineStr">
        <is>
          <t>DEGERFORS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46279</v>
      </c>
      <c r="E210" s="1" t="n">
        <v>46290</v>
      </c>
      <c r="F210" t="inlineStr">
        <is>
          <t>ÖREBRO LÄN</t>
        </is>
      </c>
      <c r="G210" t="inlineStr">
        <is>
          <t>DEGERFORS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46281</v>
      </c>
      <c r="E211" s="1" t="n">
        <v>46290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46290</v>
      </c>
      <c r="F212" t="inlineStr">
        <is>
          <t>ÖREBRO LÄN</t>
        </is>
      </c>
      <c r="G212" t="inlineStr">
        <is>
          <t>DEGERFORS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46290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46290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46290</v>
      </c>
      <c r="F215" t="inlineStr">
        <is>
          <t>ÖREBRO LÄN</t>
        </is>
      </c>
      <c r="G215" t="inlineStr">
        <is>
          <t>DEGERFORS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46283</v>
      </c>
      <c r="E216" s="1" t="n">
        <v>46290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46290</v>
      </c>
      <c r="F217" t="inlineStr">
        <is>
          <t>ÖREBRO LÄN</t>
        </is>
      </c>
      <c r="G217" t="inlineStr">
        <is>
          <t>DEGERFORS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46290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46283</v>
      </c>
      <c r="E219" s="1" t="n">
        <v>46290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46290</v>
      </c>
      <c r="F220" t="inlineStr">
        <is>
          <t>ÖREBRO LÄN</t>
        </is>
      </c>
      <c r="G220" t="inlineStr">
        <is>
          <t>DEGERFORS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46290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46290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45635</v>
      </c>
      <c r="E223" s="1" t="n">
        <v>46290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46290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46290</v>
      </c>
      <c r="F225" t="inlineStr">
        <is>
          <t>ÖREBRO LÄN</t>
        </is>
      </c>
      <c r="G225" t="inlineStr">
        <is>
          <t>DEGERFORS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46290</v>
      </c>
      <c r="F226" t="inlineStr">
        <is>
          <t>ÖREBRO LÄN</t>
        </is>
      </c>
      <c r="G226" t="inlineStr">
        <is>
          <t>DEGERFORS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46290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46290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46290</v>
      </c>
      <c r="F229" t="inlineStr">
        <is>
          <t>ÖREBRO LÄN</t>
        </is>
      </c>
      <c r="G229" t="inlineStr">
        <is>
          <t>DEGERFORS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46290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45810</v>
      </c>
      <c r="E231" s="1" t="n">
        <v>46290</v>
      </c>
      <c r="F231" t="inlineStr">
        <is>
          <t>ÖREBRO LÄN</t>
        </is>
      </c>
      <c r="G231" t="inlineStr">
        <is>
          <t>DEGERFORS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46290</v>
      </c>
      <c r="F232" t="inlineStr">
        <is>
          <t>ÖREBRO LÄN</t>
        </is>
      </c>
      <c r="G232" t="inlineStr">
        <is>
          <t>DEGERFORS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46290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46290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44719</v>
      </c>
      <c r="E235" s="1" t="n">
        <v>46290</v>
      </c>
      <c r="F235" t="inlineStr">
        <is>
          <t>ÖREBRO LÄN</t>
        </is>
      </c>
      <c r="G235" t="inlineStr">
        <is>
          <t>DEGERFORS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46290</v>
      </c>
      <c r="F236" t="inlineStr">
        <is>
          <t>ÖREBRO LÄN</t>
        </is>
      </c>
      <c r="G236" t="inlineStr">
        <is>
          <t>DEGERFORS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45639</v>
      </c>
      <c r="E237" s="1" t="n">
        <v>46290</v>
      </c>
      <c r="F237" t="inlineStr">
        <is>
          <t>ÖREBRO LÄN</t>
        </is>
      </c>
      <c r="G237" t="inlineStr">
        <is>
          <t>DEGERFORS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479-2022</t>
        </is>
      </c>
      <c r="B238" t="inlineStr">
        <is>
          <t>samrådsanmälan</t>
        </is>
      </c>
      <c r="C238" t="inlineStr">
        <is>
          <t>Skogsbilväg</t>
        </is>
      </c>
      <c r="D238" s="1" t="n">
        <v>44587</v>
      </c>
      <c r="E238" s="1" t="n">
        <v>46290</v>
      </c>
      <c r="F238" t="inlineStr">
        <is>
          <t>ÖREBRO LÄN</t>
        </is>
      </c>
      <c r="G238" t="inlineStr">
        <is>
          <t>DEGERFORS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1697-2025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45805</v>
      </c>
      <c r="E239" s="1" t="n">
        <v>46290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1694-2025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45805</v>
      </c>
      <c r="E240" s="1" t="n">
        <v>46290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45729</v>
      </c>
      <c r="E241" s="1" t="n">
        <v>46290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793-2025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45729</v>
      </c>
      <c r="E242" s="1" t="n">
        <v>46290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963-2025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45742</v>
      </c>
      <c r="E243" s="1" t="n">
        <v>46290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964-2025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45742</v>
      </c>
      <c r="E244" s="1" t="n">
        <v>46290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2595-2025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45916</v>
      </c>
      <c r="E245" s="1" t="n">
        <v>46290</v>
      </c>
      <c r="F245" t="inlineStr">
        <is>
          <t>ÖREBRO LÄN</t>
        </is>
      </c>
      <c r="G245" t="inlineStr">
        <is>
          <t>DEGERFORS</t>
        </is>
      </c>
      <c r="H245" t="inlineStr">
        <is>
          <t>Sveaskog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2026-09-25T02:03:52Z</dcterms:created>
  <dcterms:modified xmlns:dcterms="http://purl.org/dc/terms/" xmlns:xsi="http://www.w3.org/2001/XMLSchema-instance" xsi:type="dcterms:W3CDTF">2026-09-25T02:03:52Z</dcterms:modified>
</cp:coreProperties>
</file>