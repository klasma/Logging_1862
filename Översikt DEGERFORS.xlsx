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46238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46238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46238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46238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46238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46238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46238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46238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46238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46238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46238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38916-2023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46238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4.3</v>
      </c>
      <c r="J13" t="n">
        <v>3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27</v>
      </c>
      <c r="U13" t="n">
        <v>27</v>
      </c>
      <c r="V13" s="2" t="inlineStr">
        <is>
          <t>Tretåig hackspett
Grönpyrola
Thomsons trägnagare
Vågbandad barkbock
Spillkråka
Tjäder</t>
        </is>
      </c>
      <c r="W13">
        <f>HYPERLINK("https://klasma.github.io/Logging_1862/artfynd/A 38916-2023 artfynd.xlsx", "A 38916-2023")</f>
        <v/>
      </c>
      <c r="X13">
        <f>HYPERLINK("https://klasma.github.io/Logging_1862/kartor/A 38916-2023 karta.png", "A 38916-2023")</f>
        <v/>
      </c>
      <c r="Y13">
        <f>HYPERLINK("https://klasma.github.io/Logging_1862/kartor_geotiff/A 38916-2023 georefererad karta.tif", "A 38916-2023")</f>
        <v/>
      </c>
      <c r="AA13">
        <f>HYPERLINK("https://klasma.github.io/Logging_1862/klagomål/A 38916-2023 FSC-klagomål.docx", "A 38916-2023")</f>
        <v/>
      </c>
      <c r="AB13">
        <f>HYPERLINK("https://klasma.github.io/Logging_1862/klagomålsmail/A 38916-2023 FSC-klagomål mail.docx", "A 38916-2023")</f>
        <v/>
      </c>
      <c r="AC13">
        <f>HYPERLINK("https://klasma.github.io/Logging_1862/tillsyn/A 38916-2023 tillsynsbegäran.docx", "A 38916-2023")</f>
        <v/>
      </c>
      <c r="AD13">
        <f>HYPERLINK("https://klasma.github.io/Logging_1862/tillsynsmail/A 38916-2023 tillsynsbegäran mail.docx", "A 38916-2023")</f>
        <v/>
      </c>
      <c r="AE13">
        <f>HYPERLINK("https://klasma.github.io/Logging_1862/fåglar/A 38916-2023 prioriterade fågelarter.docx", "A 38916-2023")</f>
        <v/>
      </c>
    </row>
    <row r="14" ht="15" customHeight="1">
      <c r="A14" t="inlineStr">
        <is>
          <t>A 29553-2026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46204</v>
      </c>
      <c r="E14" s="1" t="n">
        <v>46238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6.5</v>
      </c>
      <c r="J14" t="n">
        <v>2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6</v>
      </c>
      <c r="U14" t="n">
        <v>2</v>
      </c>
      <c r="V14" s="2" t="inlineStr">
        <is>
          <t>Garnlav
Skuggblåslav
Talltita
Ullticka
Vedskivlav
Tofsmes</t>
        </is>
      </c>
      <c r="W14">
        <f>HYPERLINK("https://klasma.github.io/Logging_1862/artfynd/A 29553-2026 artfynd.xlsx", "A 29553-2026")</f>
        <v/>
      </c>
      <c r="X14">
        <f>HYPERLINK("https://klasma.github.io/Logging_1862/kartor/A 29553-2026 karta.png", "A 29553-2026")</f>
        <v/>
      </c>
      <c r="Y14">
        <f>HYPERLINK("https://klasma.github.io/Logging_1862/kartor_geotiff/A 29553-2026 georefererad karta.tif", "A 29553-2026")</f>
        <v/>
      </c>
      <c r="AA14">
        <f>HYPERLINK("https://klasma.github.io/Logging_1862/klagomål/A 29553-2026 FSC-klagomål.docx", "A 29553-2026")</f>
        <v/>
      </c>
      <c r="AB14">
        <f>HYPERLINK("https://klasma.github.io/Logging_1862/klagomålsmail/A 29553-2026 FSC-klagomål mail.docx", "A 29553-2026")</f>
        <v/>
      </c>
      <c r="AC14">
        <f>HYPERLINK("https://klasma.github.io/Logging_1862/tillsyn/A 29553-2026 tillsynsbegäran.docx", "A 29553-2026")</f>
        <v/>
      </c>
      <c r="AD14">
        <f>HYPERLINK("https://klasma.github.io/Logging_1862/tillsynsmail/A 29553-2026 tillsynsbegäran mail.docx", "A 29553-2026")</f>
        <v/>
      </c>
      <c r="AE14">
        <f>HYPERLINK("https://klasma.github.io/Logging_1862/fåglar/A 29553-2026 prioriterade fågelarter.docx", "A 29553-2026")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46238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27663-2026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46238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6.8</v>
      </c>
      <c r="J16" t="n">
        <v>5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15</v>
      </c>
      <c r="U16" t="n">
        <v>15</v>
      </c>
      <c r="V16" s="2" t="inlineStr">
        <is>
          <t>Tretåig hackspett
Thomsons trägnagare
Mattlummer
Spillkråka
Tjäder
Revlummer</t>
        </is>
      </c>
      <c r="W16">
        <f>HYPERLINK("https://klasma.github.io/Logging_1862/artfynd/A 27663-2026 artfynd.xlsx", "A 27663-2026")</f>
        <v/>
      </c>
      <c r="X16">
        <f>HYPERLINK("https://klasma.github.io/Logging_1862/kartor/A 27663-2026 karta.png", "A 27663-2026")</f>
        <v/>
      </c>
      <c r="Y16">
        <f>HYPERLINK("https://klasma.github.io/Logging_1862/kartor_geotiff/A 27663-2026 georefererad karta.tif", "A 27663-2026")</f>
        <v/>
      </c>
      <c r="AA16">
        <f>HYPERLINK("https://klasma.github.io/Logging_1862/klagomål/A 27663-2026 FSC-klagomål.docx", "A 27663-2026")</f>
        <v/>
      </c>
      <c r="AB16">
        <f>HYPERLINK("https://klasma.github.io/Logging_1862/klagomålsmail/A 27663-2026 FSC-klagomål mail.docx", "A 27663-2026")</f>
        <v/>
      </c>
      <c r="AC16">
        <f>HYPERLINK("https://klasma.github.io/Logging_1862/tillsyn/A 27663-2026 tillsynsbegäran.docx", "A 27663-2026")</f>
        <v/>
      </c>
      <c r="AD16">
        <f>HYPERLINK("https://klasma.github.io/Logging_1862/tillsynsmail/A 27663-2026 tillsynsbegäran mail.docx", "A 27663-2026")</f>
        <v/>
      </c>
      <c r="AE16">
        <f>HYPERLINK("https://klasma.github.io/Logging_1862/fåglar/A 27663-2026 prioriterade fågelarter.docx", "A 27663-2026")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46238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46238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46238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46238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46238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46238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46238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46238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46238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46238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46238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46238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46238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46238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46238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46238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46238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46238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46238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46238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46238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46238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46238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49306-2025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45938</v>
      </c>
      <c r="E40" s="1" t="n">
        <v>46238</v>
      </c>
      <c r="F40" t="inlineStr">
        <is>
          <t>ÖREBRO LÄN</t>
        </is>
      </c>
      <c r="G40" t="inlineStr">
        <is>
          <t>DEGERFORS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HYPERLINK("https://klasma.github.io/Logging_1862/artfynd/A 49306-2025 artfynd.xlsx", "A 49306-2025")</f>
        <v/>
      </c>
      <c r="X40">
        <f>HYPERLINK("https://klasma.github.io/Logging_1862/kartor/A 49306-2025 karta.png", "A 49306-2025")</f>
        <v/>
      </c>
      <c r="Y40">
        <f>HYPERLINK("https://klasma.github.io/Logging_1862/kartor_geotiff/A 49306-2025 georefererad karta.tif", "A 49306-2025")</f>
        <v/>
      </c>
      <c r="AA40">
        <f>HYPERLINK("https://klasma.github.io/Logging_1862/klagomål/A 49306-2025 FSC-klagomål.docx", "A 49306-2025")</f>
        <v/>
      </c>
      <c r="AB40">
        <f>HYPERLINK("https://klasma.github.io/Logging_1862/klagomålsmail/A 49306-2025 FSC-klagomål mail.docx", "A 49306-2025")</f>
        <v/>
      </c>
      <c r="AC40">
        <f>HYPERLINK("https://klasma.github.io/Logging_1862/tillsyn/A 49306-2025 tillsynsbegäran.docx", "A 49306-2025")</f>
        <v/>
      </c>
      <c r="AD40">
        <f>HYPERLINK("https://klasma.github.io/Logging_1862/tillsynsmail/A 49306-2025 tillsynsbegäran mail.docx", "A 49306-2025")</f>
        <v/>
      </c>
    </row>
    <row r="41" ht="15" customHeight="1">
      <c r="A41" t="inlineStr">
        <is>
          <t>A 48285-2023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45205</v>
      </c>
      <c r="E41" s="1" t="n">
        <v>46238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48285-2023 artfynd.xlsx", "A 48285-2023")</f>
        <v/>
      </c>
      <c r="X41">
        <f>HYPERLINK("https://klasma.github.io/Logging_1862/kartor/A 48285-2023 karta.png", "A 48285-2023")</f>
        <v/>
      </c>
      <c r="Y41">
        <f>HYPERLINK("https://klasma.github.io/Logging_1862/kartor_geotiff/A 48285-2023 georefererad karta.tif", "A 48285-2023")</f>
        <v/>
      </c>
      <c r="AA41">
        <f>HYPERLINK("https://klasma.github.io/Logging_1862/klagomål/A 48285-2023 FSC-klagomål.docx", "A 48285-2023")</f>
        <v/>
      </c>
      <c r="AB41">
        <f>HYPERLINK("https://klasma.github.io/Logging_1862/klagomålsmail/A 48285-2023 FSC-klagomål mail.docx", "A 48285-2023")</f>
        <v/>
      </c>
      <c r="AC41">
        <f>HYPERLINK("https://klasma.github.io/Logging_1862/tillsyn/A 48285-2023 tillsynsbegäran.docx", "A 48285-2023")</f>
        <v/>
      </c>
      <c r="AD41">
        <f>HYPERLINK("https://klasma.github.io/Logging_1862/tillsynsmail/A 48285-2023 tillsynsbegäran mail.docx", "A 48285-2023")</f>
        <v/>
      </c>
      <c r="AE41">
        <f>HYPERLINK("https://klasma.github.io/Logging_1862/fåglar/A 48285-2023 prioriterade fågelarter.docx", "A 48285-2023")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46238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46238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47941-2024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46238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Brunfläckig pärlemorfjäril</t>
        </is>
      </c>
      <c r="W44">
        <f>HYPERLINK("https://klasma.github.io/Logging_1862/artfynd/A 47941-2024 artfynd.xlsx", "A 47941-2024")</f>
        <v/>
      </c>
      <c r="X44">
        <f>HYPERLINK("https://klasma.github.io/Logging_1862/kartor/A 47941-2024 karta.png", "A 47941-2024")</f>
        <v/>
      </c>
      <c r="Y44">
        <f>HYPERLINK("https://klasma.github.io/Logging_1862/kartor_geotiff/A 47941-2024 georefererad karta.tif", "A 47941-2024")</f>
        <v/>
      </c>
      <c r="AA44">
        <f>HYPERLINK("https://klasma.github.io/Logging_1862/klagomål/A 47941-2024 FSC-klagomål.docx", "A 47941-2024")</f>
        <v/>
      </c>
      <c r="AB44">
        <f>HYPERLINK("https://klasma.github.io/Logging_1862/klagomålsmail/A 47941-2024 FSC-klagomål mail.docx", "A 47941-2024")</f>
        <v/>
      </c>
      <c r="AC44">
        <f>HYPERLINK("https://klasma.github.io/Logging_1862/tillsyn/A 47941-2024 tillsynsbegäran.docx", "A 47941-2024")</f>
        <v/>
      </c>
      <c r="AD44">
        <f>HYPERLINK("https://klasma.github.io/Logging_1862/tillsynsmail/A 47941-2024 tillsynsbegäran mail.docx", "A 47941-2024")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46238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14121-2022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44651</v>
      </c>
      <c r="E46" s="1" t="n">
        <v>46238</v>
      </c>
      <c r="F46" t="inlineStr">
        <is>
          <t>ÖREBRO LÄN</t>
        </is>
      </c>
      <c r="G46" t="inlineStr">
        <is>
          <t>DEGERFORS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Hårklomossa</t>
        </is>
      </c>
      <c r="W46">
        <f>HYPERLINK("https://klasma.github.io/Logging_1862/artfynd/A 14121-2022 artfynd.xlsx", "A 14121-2022")</f>
        <v/>
      </c>
      <c r="X46">
        <f>HYPERLINK("https://klasma.github.io/Logging_1862/kartor/A 14121-2022 karta.png", "A 14121-2022")</f>
        <v/>
      </c>
      <c r="Y46">
        <f>HYPERLINK("https://klasma.github.io/Logging_1862/kartor_geotiff/A 14121-2022 georefererad karta.tif", "A 14121-2022")</f>
        <v/>
      </c>
      <c r="AA46">
        <f>HYPERLINK("https://klasma.github.io/Logging_1862/klagomål/A 14121-2022 FSC-klagomål.docx", "A 14121-2022")</f>
        <v/>
      </c>
      <c r="AB46">
        <f>HYPERLINK("https://klasma.github.io/Logging_1862/klagomålsmail/A 14121-2022 FSC-klagomål mail.docx", "A 14121-2022")</f>
        <v/>
      </c>
      <c r="AC46">
        <f>HYPERLINK("https://klasma.github.io/Logging_1862/tillsyn/A 14121-2022 tillsynsbegäran.docx", "A 14121-2022")</f>
        <v/>
      </c>
      <c r="AD46">
        <f>HYPERLINK("https://klasma.github.io/Logging_1862/tillsynsmail/A 14121-2022 tillsynsbegäran mail.docx", "A 14121-2022")</f>
        <v/>
      </c>
    </row>
    <row r="47" ht="15" customHeight="1">
      <c r="A47" t="inlineStr">
        <is>
          <t>A 47915-2024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46238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HYPERLINK("https://klasma.github.io/Logging_1862/artfynd/A 47915-2024 artfynd.xlsx", "A 47915-2024")</f>
        <v/>
      </c>
      <c r="X47">
        <f>HYPERLINK("https://klasma.github.io/Logging_1862/kartor/A 47915-2024 karta.png", "A 47915-2024")</f>
        <v/>
      </c>
      <c r="Y47">
        <f>HYPERLINK("https://klasma.github.io/Logging_1862/kartor_geotiff/A 47915-2024 georefererad karta.tif", "A 47915-2024")</f>
        <v/>
      </c>
      <c r="AA47">
        <f>HYPERLINK("https://klasma.github.io/Logging_1862/klagomål/A 47915-2024 FSC-klagomål.docx", "A 47915-2024")</f>
        <v/>
      </c>
      <c r="AB47">
        <f>HYPERLINK("https://klasma.github.io/Logging_1862/klagomålsmail/A 47915-2024 FSC-klagomål mail.docx", "A 47915-2024")</f>
        <v/>
      </c>
      <c r="AC47">
        <f>HYPERLINK("https://klasma.github.io/Logging_1862/tillsyn/A 47915-2024 tillsynsbegäran.docx", "A 47915-2024")</f>
        <v/>
      </c>
      <c r="AD47">
        <f>HYPERLINK("https://klasma.github.io/Logging_1862/tillsynsmail/A 47915-2024 tillsynsbegäran mail.docx", "A 47915-2024")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46238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46238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46238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46238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46238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46238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46238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46238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46238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46238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46238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46238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46238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46238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46238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46238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46238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46238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46238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46238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46238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46238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46238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46238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46238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46238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46238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46238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46238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46238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46238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46238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46238</v>
      </c>
      <c r="F80" t="inlineStr">
        <is>
          <t>ÖREBRO LÄN</t>
        </is>
      </c>
      <c r="G80" t="inlineStr">
        <is>
          <t>DEGERFORS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60907-2023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45261</v>
      </c>
      <c r="E81" s="1" t="n">
        <v>46238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46238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44582</v>
      </c>
      <c r="E83" s="1" t="n">
        <v>46238</v>
      </c>
      <c r="F83" t="inlineStr">
        <is>
          <t>ÖREBRO LÄN</t>
        </is>
      </c>
      <c r="G83" t="inlineStr">
        <is>
          <t>DEGERFORS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46238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46238</v>
      </c>
      <c r="F85" t="inlineStr">
        <is>
          <t>ÖREBRO LÄN</t>
        </is>
      </c>
      <c r="G85" t="inlineStr">
        <is>
          <t>DEGERFORS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46238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46238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37333-2025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45876</v>
      </c>
      <c r="E88" s="1" t="n">
        <v>46238</v>
      </c>
      <c r="F88" t="inlineStr">
        <is>
          <t>ÖREBRO LÄN</t>
        </is>
      </c>
      <c r="G88" t="inlineStr">
        <is>
          <t>DEGERFORS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45876</v>
      </c>
      <c r="E89" s="1" t="n">
        <v>46238</v>
      </c>
      <c r="F89" t="inlineStr">
        <is>
          <t>ÖREBRO LÄN</t>
        </is>
      </c>
      <c r="G89" t="inlineStr">
        <is>
          <t>DEGERFORS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45233</v>
      </c>
      <c r="E90" s="1" t="n">
        <v>46238</v>
      </c>
      <c r="F90" t="inlineStr">
        <is>
          <t>ÖREBRO LÄN</t>
        </is>
      </c>
      <c r="G90" t="inlineStr">
        <is>
          <t>DEGERFORS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46238</v>
      </c>
      <c r="F91" t="inlineStr">
        <is>
          <t>ÖREBRO LÄN</t>
        </is>
      </c>
      <c r="G91" t="inlineStr">
        <is>
          <t>DEGERFORS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45621</v>
      </c>
      <c r="E92" s="1" t="n">
        <v>46238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46238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45735</v>
      </c>
      <c r="E94" s="1" t="n">
        <v>46238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46238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46238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46129</v>
      </c>
      <c r="E97" s="1" t="n">
        <v>46238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38233-2023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45160</v>
      </c>
      <c r="E98" s="1" t="n">
        <v>46238</v>
      </c>
      <c r="F98" t="inlineStr">
        <is>
          <t>ÖREBRO LÄN</t>
        </is>
      </c>
      <c r="G98" t="inlineStr">
        <is>
          <t>DEGERFORS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46238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46238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46238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18506-2026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46127</v>
      </c>
      <c r="E102" s="1" t="n">
        <v>46238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10674-2024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45369</v>
      </c>
      <c r="E103" s="1" t="n">
        <v>46238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46238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73693-2021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44552</v>
      </c>
      <c r="E105" s="1" t="n">
        <v>46238</v>
      </c>
      <c r="F105" t="inlineStr">
        <is>
          <t>ÖREBRO LÄN</t>
        </is>
      </c>
      <c r="G105" t="inlineStr">
        <is>
          <t>DEGERFORS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46132</v>
      </c>
      <c r="E106" s="1" t="n">
        <v>46238</v>
      </c>
      <c r="F106" t="inlineStr">
        <is>
          <t>ÖREBRO LÄN</t>
        </is>
      </c>
      <c r="G106" t="inlineStr">
        <is>
          <t>DEGERFORS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46238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46238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46238</v>
      </c>
      <c r="F109" t="inlineStr">
        <is>
          <t>ÖREBRO LÄN</t>
        </is>
      </c>
      <c r="G109" t="inlineStr">
        <is>
          <t>DEGERFORS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46238</v>
      </c>
      <c r="F110" t="inlineStr">
        <is>
          <t>ÖREBRO LÄN</t>
        </is>
      </c>
      <c r="G110" t="inlineStr">
        <is>
          <t>DEGERFORS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45629</v>
      </c>
      <c r="E111" s="1" t="n">
        <v>46238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51040-2025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46238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46238</v>
      </c>
      <c r="F113" t="inlineStr">
        <is>
          <t>ÖREBRO LÄN</t>
        </is>
      </c>
      <c r="G113" t="inlineStr">
        <is>
          <t>DEGERFORS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12148-2025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45729</v>
      </c>
      <c r="E114" s="1" t="n">
        <v>46238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45351</v>
      </c>
      <c r="E115" s="1" t="n">
        <v>46238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21952-2024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45443</v>
      </c>
      <c r="E116" s="1" t="n">
        <v>46238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45971</v>
      </c>
      <c r="E117" s="1" t="n">
        <v>46238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57086-2025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45979</v>
      </c>
      <c r="E118" s="1" t="n">
        <v>46238</v>
      </c>
      <c r="F118" t="inlineStr">
        <is>
          <t>ÖREBRO LÄN</t>
        </is>
      </c>
      <c r="G118" t="inlineStr">
        <is>
          <t>DEGERFORS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62972-2023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45272</v>
      </c>
      <c r="E119" s="1" t="n">
        <v>46238</v>
      </c>
      <c r="F119" t="inlineStr">
        <is>
          <t>ÖREBRO LÄN</t>
        </is>
      </c>
      <c r="G119" t="inlineStr">
        <is>
          <t>DEGERFORS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46238</v>
      </c>
      <c r="F120" t="inlineStr">
        <is>
          <t>ÖREBRO LÄN</t>
        </is>
      </c>
      <c r="G120" t="inlineStr">
        <is>
          <t>DEGERFORS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45729</v>
      </c>
      <c r="E121" s="1" t="n">
        <v>46238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46238</v>
      </c>
      <c r="F122" t="inlineStr">
        <is>
          <t>ÖREBRO LÄN</t>
        </is>
      </c>
      <c r="G122" t="inlineStr">
        <is>
          <t>DEGERFORS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46238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20577-2023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45057</v>
      </c>
      <c r="E124" s="1" t="n">
        <v>46238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45192</v>
      </c>
      <c r="E125" s="1" t="n">
        <v>46238</v>
      </c>
      <c r="F125" t="inlineStr">
        <is>
          <t>ÖREBRO LÄN</t>
        </is>
      </c>
      <c r="G125" t="inlineStr">
        <is>
          <t>DEGERFORS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45338</v>
      </c>
      <c r="E126" s="1" t="n">
        <v>46238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46238</v>
      </c>
      <c r="F127" t="inlineStr">
        <is>
          <t>ÖREBRO LÄN</t>
        </is>
      </c>
      <c r="G127" t="inlineStr">
        <is>
          <t>DEGERFORS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46238</v>
      </c>
      <c r="F128" t="inlineStr">
        <is>
          <t>ÖREBRO LÄN</t>
        </is>
      </c>
      <c r="G128" t="inlineStr">
        <is>
          <t>DEGERFORS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46238</v>
      </c>
      <c r="F129" t="inlineStr">
        <is>
          <t>ÖREBRO LÄN</t>
        </is>
      </c>
      <c r="G129" t="inlineStr">
        <is>
          <t>DEGERFORS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46238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46238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46238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46238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46238</v>
      </c>
      <c r="F134" t="inlineStr">
        <is>
          <t>ÖREBRO LÄN</t>
        </is>
      </c>
      <c r="G134" t="inlineStr">
        <is>
          <t>DEGERFORS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46238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6394-2024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45338</v>
      </c>
      <c r="E136" s="1" t="n">
        <v>46238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46238</v>
      </c>
      <c r="F137" t="inlineStr">
        <is>
          <t>ÖREBRO LÄN</t>
        </is>
      </c>
      <c r="G137" t="inlineStr">
        <is>
          <t>DEGERFORS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46238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46027</v>
      </c>
      <c r="E139" s="1" t="n">
        <v>46238</v>
      </c>
      <c r="F139" t="inlineStr">
        <is>
          <t>ÖREBRO LÄN</t>
        </is>
      </c>
      <c r="G139" t="inlineStr">
        <is>
          <t>DEGERFORS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46238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46238</v>
      </c>
      <c r="F141" t="inlineStr">
        <is>
          <t>ÖREBRO LÄN</t>
        </is>
      </c>
      <c r="G141" t="inlineStr">
        <is>
          <t>DEGERFORS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46149</v>
      </c>
      <c r="E142" s="1" t="n">
        <v>46238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21663-2026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46238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46148</v>
      </c>
      <c r="E144" s="1" t="n">
        <v>46238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46148</v>
      </c>
      <c r="E145" s="1" t="n">
        <v>46238</v>
      </c>
      <c r="F145" t="inlineStr">
        <is>
          <t>ÖREBRO LÄN</t>
        </is>
      </c>
      <c r="G145" t="inlineStr">
        <is>
          <t>DEGERFORS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46238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46238</v>
      </c>
      <c r="F147" t="inlineStr">
        <is>
          <t>ÖREBRO LÄN</t>
        </is>
      </c>
      <c r="G147" t="inlineStr">
        <is>
          <t>DEGERFORS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45601</v>
      </c>
      <c r="E148" s="1" t="n">
        <v>46238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45116</v>
      </c>
      <c r="E149" s="1" t="n">
        <v>46238</v>
      </c>
      <c r="F149" t="inlineStr">
        <is>
          <t>ÖREBRO LÄN</t>
        </is>
      </c>
      <c r="G149" t="inlineStr">
        <is>
          <t>DEGERFORS</t>
        </is>
      </c>
      <c r="I149" t="n">
        <v>17.2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45190</v>
      </c>
      <c r="E150" s="1" t="n">
        <v>46238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45222</v>
      </c>
      <c r="E151" s="1" t="n">
        <v>46238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46238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46238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46238</v>
      </c>
      <c r="F154" t="inlineStr">
        <is>
          <t>ÖREBRO LÄN</t>
        </is>
      </c>
      <c r="G154" t="inlineStr">
        <is>
          <t>DEGERFORS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46238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46238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46199</v>
      </c>
      <c r="E157" s="1" t="n">
        <v>46238</v>
      </c>
      <c r="F157" t="inlineStr">
        <is>
          <t>ÖREBRO LÄN</t>
        </is>
      </c>
      <c r="G157" t="inlineStr">
        <is>
          <t>DEGERFORS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32211-2022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44781</v>
      </c>
      <c r="E158" s="1" t="n">
        <v>46238</v>
      </c>
      <c r="F158" t="inlineStr">
        <is>
          <t>ÖREBRO LÄN</t>
        </is>
      </c>
      <c r="G158" t="inlineStr">
        <is>
          <t>DEGERFORS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46238</v>
      </c>
      <c r="F159" t="inlineStr">
        <is>
          <t>ÖREBRO LÄN</t>
        </is>
      </c>
      <c r="G159" t="inlineStr">
        <is>
          <t>DEGERFORS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46198</v>
      </c>
      <c r="E160" s="1" t="n">
        <v>46238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46238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46070</v>
      </c>
      <c r="E162" s="1" t="n">
        <v>46238</v>
      </c>
      <c r="F162" t="inlineStr">
        <is>
          <t>ÖREBRO LÄN</t>
        </is>
      </c>
      <c r="G162" t="inlineStr">
        <is>
          <t>DEGERFORS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12159-2026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46086</v>
      </c>
      <c r="E163" s="1" t="n">
        <v>46238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46086</v>
      </c>
      <c r="E164" s="1" t="n">
        <v>46238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45384</v>
      </c>
      <c r="E165" s="1" t="n">
        <v>46238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46202</v>
      </c>
      <c r="E166" s="1" t="n">
        <v>46238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46092</v>
      </c>
      <c r="E167" s="1" t="n">
        <v>46238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46202</v>
      </c>
      <c r="E168" s="1" t="n">
        <v>46238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46238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13040-2026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46093</v>
      </c>
      <c r="E170" s="1" t="n">
        <v>46238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46238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46162</v>
      </c>
      <c r="E172" s="1" t="n">
        <v>46238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46162</v>
      </c>
      <c r="E173" s="1" t="n">
        <v>46238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14678-2025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45742</v>
      </c>
      <c r="E174" s="1" t="n">
        <v>46238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46204</v>
      </c>
      <c r="E175" s="1" t="n">
        <v>46238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46238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46238</v>
      </c>
      <c r="F177" t="inlineStr">
        <is>
          <t>ÖREBRO LÄN</t>
        </is>
      </c>
      <c r="G177" t="inlineStr">
        <is>
          <t>DEGERFORS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46170</v>
      </c>
      <c r="E178" s="1" t="n">
        <v>46238</v>
      </c>
      <c r="F178" t="inlineStr">
        <is>
          <t>ÖREBRO LÄN</t>
        </is>
      </c>
      <c r="G178" t="inlineStr">
        <is>
          <t>DEGERFORS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46238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44816</v>
      </c>
      <c r="E180" s="1" t="n">
        <v>46238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45589</v>
      </c>
      <c r="E181" s="1" t="n">
        <v>46238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24689-2026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46171</v>
      </c>
      <c r="E182" s="1" t="n">
        <v>46238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45601</v>
      </c>
      <c r="E183" s="1" t="n">
        <v>46238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45351</v>
      </c>
      <c r="E184" s="1" t="n">
        <v>46238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44735-2021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46238</v>
      </c>
      <c r="F185" t="inlineStr">
        <is>
          <t>ÖREBRO LÄN</t>
        </is>
      </c>
      <c r="G185" t="inlineStr">
        <is>
          <t>DEGERFORS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29482-2023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46238</v>
      </c>
      <c r="F186" t="inlineStr">
        <is>
          <t>ÖREBRO LÄN</t>
        </is>
      </c>
      <c r="G186" t="inlineStr">
        <is>
          <t>DEGERFORS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59158-2022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44904</v>
      </c>
      <c r="E187" s="1" t="n">
        <v>46238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45763</v>
      </c>
      <c r="E188" s="1" t="n">
        <v>46238</v>
      </c>
      <c r="F188" t="inlineStr">
        <is>
          <t>ÖREBRO LÄN</t>
        </is>
      </c>
      <c r="G188" t="inlineStr">
        <is>
          <t>DEGERFORS</t>
        </is>
      </c>
      <c r="I188" t="n">
        <v>13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46238</v>
      </c>
      <c r="F189" t="inlineStr">
        <is>
          <t>ÖREBRO LÄN</t>
        </is>
      </c>
      <c r="G189" t="inlineStr">
        <is>
          <t>DEGERFORS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44989</v>
      </c>
      <c r="E190" s="1" t="n">
        <v>46238</v>
      </c>
      <c r="F190" t="inlineStr">
        <is>
          <t>ÖREBRO LÄN</t>
        </is>
      </c>
      <c r="G190" t="inlineStr">
        <is>
          <t>DEGERFORS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44986</v>
      </c>
      <c r="E191" s="1" t="n">
        <v>46238</v>
      </c>
      <c r="F191" t="inlineStr">
        <is>
          <t>ÖREBRO LÄN</t>
        </is>
      </c>
      <c r="G191" t="inlineStr">
        <is>
          <t>DEGERFORS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46238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45520</v>
      </c>
      <c r="E193" s="1" t="n">
        <v>46238</v>
      </c>
      <c r="F193" t="inlineStr">
        <is>
          <t>ÖREBRO LÄN</t>
        </is>
      </c>
      <c r="G193" t="inlineStr">
        <is>
          <t>DEGERFORS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45861-2023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45195</v>
      </c>
      <c r="E194" s="1" t="n">
        <v>46238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46231</v>
      </c>
      <c r="E195" s="1" t="n">
        <v>46238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46231</v>
      </c>
      <c r="E196" s="1" t="n">
        <v>46238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45569</v>
      </c>
      <c r="E197" s="1" t="n">
        <v>46238</v>
      </c>
      <c r="F197" t="inlineStr">
        <is>
          <t>ÖREBRO LÄN</t>
        </is>
      </c>
      <c r="G197" t="inlineStr">
        <is>
          <t>DEGERFORS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46230</v>
      </c>
      <c r="E198" s="1" t="n">
        <v>46238</v>
      </c>
      <c r="F198" t="inlineStr">
        <is>
          <t>ÖREBRO LÄN</t>
        </is>
      </c>
      <c r="G198" t="inlineStr">
        <is>
          <t>DEGERFORS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46238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46238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46238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46238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46189</v>
      </c>
      <c r="E203" s="1" t="n">
        <v>46238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46238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46238</v>
      </c>
      <c r="F205" t="inlineStr">
        <is>
          <t>ÖREBRO LÄN</t>
        </is>
      </c>
      <c r="G205" t="inlineStr">
        <is>
          <t>DEGERFORS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46238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46238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52131-2021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46238</v>
      </c>
      <c r="F208" t="inlineStr">
        <is>
          <t>ÖREBRO LÄN</t>
        </is>
      </c>
      <c r="G208" t="inlineStr">
        <is>
          <t>DEGERFORS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61750-2021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46238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46238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46238</v>
      </c>
      <c r="F211" t="inlineStr">
        <is>
          <t>ÖREBRO LÄN</t>
        </is>
      </c>
      <c r="G211" t="inlineStr">
        <is>
          <t>DEGERFORS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46238</v>
      </c>
      <c r="F212" t="inlineStr">
        <is>
          <t>ÖREBRO LÄN</t>
        </is>
      </c>
      <c r="G212" t="inlineStr">
        <is>
          <t>DEGERFORS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45376</v>
      </c>
      <c r="E213" s="1" t="n">
        <v>46238</v>
      </c>
      <c r="F213" t="inlineStr">
        <is>
          <t>ÖREBRO LÄN</t>
        </is>
      </c>
      <c r="G213" t="inlineStr">
        <is>
          <t>DEGERFORS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46238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32154-2023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46238</v>
      </c>
      <c r="F215" t="inlineStr">
        <is>
          <t>ÖREBRO LÄN</t>
        </is>
      </c>
      <c r="G215" t="inlineStr">
        <is>
          <t>DEGERFORS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46238</v>
      </c>
      <c r="F216" t="inlineStr">
        <is>
          <t>ÖREBRO LÄN</t>
        </is>
      </c>
      <c r="G216" t="inlineStr">
        <is>
          <t>DEGERFORS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46238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45223</v>
      </c>
      <c r="E218" s="1" t="n">
        <v>46238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46238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46238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45272</v>
      </c>
      <c r="E221" s="1" t="n">
        <v>46238</v>
      </c>
      <c r="F221" t="inlineStr">
        <is>
          <t>ÖREBRO LÄN</t>
        </is>
      </c>
      <c r="G221" t="inlineStr">
        <is>
          <t>DEGERFORS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45443</v>
      </c>
      <c r="E222" s="1" t="n">
        <v>46238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23460-2024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45453</v>
      </c>
      <c r="E223" s="1" t="n">
        <v>46238</v>
      </c>
      <c r="F223" t="inlineStr">
        <is>
          <t>ÖREBRO LÄN</t>
        </is>
      </c>
      <c r="G223" t="inlineStr">
        <is>
          <t>DEGERFORS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46238</v>
      </c>
      <c r="F224" t="inlineStr">
        <is>
          <t>ÖREBRO LÄN</t>
        </is>
      </c>
      <c r="G224" t="inlineStr">
        <is>
          <t>DEGERFORS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45330</v>
      </c>
      <c r="E225" s="1" t="n">
        <v>46238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45810</v>
      </c>
      <c r="E226" s="1" t="n">
        <v>46238</v>
      </c>
      <c r="F226" t="inlineStr">
        <is>
          <t>ÖREBRO LÄN</t>
        </is>
      </c>
      <c r="G226" t="inlineStr">
        <is>
          <t>DEGERFORS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45810</v>
      </c>
      <c r="E227" s="1" t="n">
        <v>46238</v>
      </c>
      <c r="F227" t="inlineStr">
        <is>
          <t>ÖREBRO LÄN</t>
        </is>
      </c>
      <c r="G227" t="inlineStr">
        <is>
          <t>DEGERFORS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46238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46238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44719</v>
      </c>
      <c r="E230" s="1" t="n">
        <v>46238</v>
      </c>
      <c r="F230" t="inlineStr">
        <is>
          <t>ÖREBRO LÄN</t>
        </is>
      </c>
      <c r="G230" t="inlineStr">
        <is>
          <t>DEGERFORS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46238</v>
      </c>
      <c r="F231" t="inlineStr">
        <is>
          <t>ÖREBRO LÄN</t>
        </is>
      </c>
      <c r="G231" t="inlineStr">
        <is>
          <t>DEGERFORS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45639</v>
      </c>
      <c r="E232" s="1" t="n">
        <v>46238</v>
      </c>
      <c r="F232" t="inlineStr">
        <is>
          <t>ÖREBRO LÄN</t>
        </is>
      </c>
      <c r="G232" t="inlineStr">
        <is>
          <t>DEGERFORS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46238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46238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46238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46238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46238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46238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46238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46238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2026-08-04T01:57:16Z</dcterms:created>
  <dcterms:modified xmlns:dcterms="http://purl.org/dc/terms/" xmlns:xsi="http://www.w3.org/2001/XMLSchema-instance" xsi:type="dcterms:W3CDTF">2026-08-04T01:57:16Z</dcterms:modified>
</cp:coreProperties>
</file>