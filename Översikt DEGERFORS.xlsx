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45824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45824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45824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45824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45824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45824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45824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45824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45824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45824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45824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7384-2023</t>
        </is>
      </c>
      <c r="B13" s="1" t="n">
        <v>44966</v>
      </c>
      <c r="C13" s="1" t="n">
        <v>45824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HYPERLINK("https://klasma.github.io/Logging_1862/artfynd/A 7384-2023 artfynd.xlsx", "A 7384-2023")</f>
        <v/>
      </c>
      <c r="T13">
        <f>HYPERLINK("https://klasma.github.io/Logging_1862/kartor/A 7384-2023 karta.png", "A 7384-2023")</f>
        <v/>
      </c>
      <c r="V13">
        <f>HYPERLINK("https://klasma.github.io/Logging_1862/klagomål/A 7384-2023 FSC-klagomål.docx", "A 7384-2023")</f>
        <v/>
      </c>
      <c r="W13">
        <f>HYPERLINK("https://klasma.github.io/Logging_1862/klagomålsmail/A 7384-2023 FSC-klagomål mail.docx", "A 7384-2023")</f>
        <v/>
      </c>
      <c r="X13">
        <f>HYPERLINK("https://klasma.github.io/Logging_1862/tillsyn/A 7384-2023 tillsynsbegäran.docx", "A 7384-2023")</f>
        <v/>
      </c>
      <c r="Y13">
        <f>HYPERLINK("https://klasma.github.io/Logging_1862/tillsynsmail/A 7384-2023 tillsynsbegäran mail.docx", "A 7384-2023")</f>
        <v/>
      </c>
    </row>
    <row r="14" ht="15" customHeight="1">
      <c r="A14" t="inlineStr">
        <is>
          <t>A 27088-2023</t>
        </is>
      </c>
      <c r="B14" s="1" t="n">
        <v>45096</v>
      </c>
      <c r="C14" s="1" t="n">
        <v>45824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Stubbspretmossa</t>
        </is>
      </c>
      <c r="S14">
        <f>HYPERLINK("https://klasma.github.io/Logging_1862/artfynd/A 27088-2023 artfynd.xlsx", "A 27088-2023")</f>
        <v/>
      </c>
      <c r="T14">
        <f>HYPERLINK("https://klasma.github.io/Logging_1862/kartor/A 27088-2023 karta.png", "A 27088-2023")</f>
        <v/>
      </c>
      <c r="V14">
        <f>HYPERLINK("https://klasma.github.io/Logging_1862/klagomål/A 27088-2023 FSC-klagomål.docx", "A 27088-2023")</f>
        <v/>
      </c>
      <c r="W14">
        <f>HYPERLINK("https://klasma.github.io/Logging_1862/klagomålsmail/A 27088-2023 FSC-klagomål mail.docx", "A 27088-2023")</f>
        <v/>
      </c>
      <c r="X14">
        <f>HYPERLINK("https://klasma.github.io/Logging_1862/tillsyn/A 27088-2023 tillsynsbegäran.docx", "A 27088-2023")</f>
        <v/>
      </c>
      <c r="Y14">
        <f>HYPERLINK("https://klasma.github.io/Logging_1862/tillsynsmail/A 27088-2023 tillsynsbegäran mail.docx", "A 27088-2023")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45824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41520-2023</t>
        </is>
      </c>
      <c r="B16" s="1" t="n">
        <v>45175</v>
      </c>
      <c r="C16" s="1" t="n">
        <v>45824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41520-2023 artfynd.xlsx", "A 41520-2023")</f>
        <v/>
      </c>
      <c r="T16">
        <f>HYPERLINK("https://klasma.github.io/Logging_1862/kartor/A 41520-2023 karta.png", "A 41520-2023")</f>
        <v/>
      </c>
      <c r="V16">
        <f>HYPERLINK("https://klasma.github.io/Logging_1862/klagomål/A 41520-2023 FSC-klagomål.docx", "A 41520-2023")</f>
        <v/>
      </c>
      <c r="W16">
        <f>HYPERLINK("https://klasma.github.io/Logging_1862/klagomålsmail/A 41520-2023 FSC-klagomål mail.docx", "A 41520-2023")</f>
        <v/>
      </c>
      <c r="X16">
        <f>HYPERLINK("https://klasma.github.io/Logging_1862/tillsyn/A 41520-2023 tillsynsbegäran.docx", "A 41520-2023")</f>
        <v/>
      </c>
      <c r="Y16">
        <f>HYPERLINK("https://klasma.github.io/Logging_1862/tillsynsmail/A 41520-2023 tillsynsbegäran mail.docx", "A 41520-2023")</f>
        <v/>
      </c>
      <c r="Z16">
        <f>HYPERLINK("https://klasma.github.io/Logging_1862/fåglar/A 41520-2023 prioriterade fågelarter.docx", "A 41520-2023")</f>
        <v/>
      </c>
    </row>
    <row r="17" ht="15" customHeight="1">
      <c r="A17" t="inlineStr">
        <is>
          <t>A 41519-2023</t>
        </is>
      </c>
      <c r="B17" s="1" t="n">
        <v>45175</v>
      </c>
      <c r="C17" s="1" t="n">
        <v>45824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41519-2023 artfynd.xlsx", "A 41519-2023")</f>
        <v/>
      </c>
      <c r="T17">
        <f>HYPERLINK("https://klasma.github.io/Logging_1862/kartor/A 41519-2023 karta.png", "A 41519-2023")</f>
        <v/>
      </c>
      <c r="V17">
        <f>HYPERLINK("https://klasma.github.io/Logging_1862/klagomål/A 41519-2023 FSC-klagomål.docx", "A 41519-2023")</f>
        <v/>
      </c>
      <c r="W17">
        <f>HYPERLINK("https://klasma.github.io/Logging_1862/klagomålsmail/A 41519-2023 FSC-klagomål mail.docx", "A 41519-2023")</f>
        <v/>
      </c>
      <c r="X17">
        <f>HYPERLINK("https://klasma.github.io/Logging_1862/tillsyn/A 41519-2023 tillsynsbegäran.docx", "A 41519-2023")</f>
        <v/>
      </c>
      <c r="Y17">
        <f>HYPERLINK("https://klasma.github.io/Logging_1862/tillsynsmail/A 41519-2023 tillsynsbegäran mail.docx", "A 41519-2023")</f>
        <v/>
      </c>
      <c r="Z17">
        <f>HYPERLINK("https://klasma.github.io/Logging_1862/fåglar/A 41519-2023 prioriterade fågelarter.docx", "A 41519-2023")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45824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45824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45824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45824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45824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45824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45824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45824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45824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45824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45824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45824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45824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45824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45824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45824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45824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45824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45824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45824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45824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45824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45824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45824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45824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45824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45824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45824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45824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45824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45824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45824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45824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45824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45824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45824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45824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45824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45824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45824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45824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45824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45824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45824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45824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45824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45824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45824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45824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45824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45824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45824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45824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45824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45824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45824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45824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45824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45824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45824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45824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45824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45824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45824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45824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45824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45824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45824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45824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45824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45824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45824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45824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45824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45824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45824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45824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45824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45824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45824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45824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45824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45824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45824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45824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45824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45824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45824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45824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45824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45824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45824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45824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45824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45824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45824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45824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45824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45824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45824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45824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45824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45824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45824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45824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45824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45824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45824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45824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45824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45824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45824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45824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45824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45824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45824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45824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45824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45824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45824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45824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45824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45824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45824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45824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45824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45824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45824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45824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45824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45824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45824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45824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45824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45824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45824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45824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45824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45824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45824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45824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45824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45824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45824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45824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45824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45824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45824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45824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45824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45824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45824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45824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45824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45824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45824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45824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45824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45824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45824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45824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45824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45824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45824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45824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45824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45824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45824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45824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45824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45824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45824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45824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45824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45824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45824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45824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45824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45824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45824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45824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45824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45824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45824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45824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45824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45824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45824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45824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45824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45824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45824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45824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45824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45824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45824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45824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45824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45824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45824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45824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45824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45824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45824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45824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45824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45824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45824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45824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45824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45824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45824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45824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45824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45824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45824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45824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45824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45824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45824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45824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45824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45824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45824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45824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45824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45824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45824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45824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45824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45824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45824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45824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45824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45824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45824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45824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45824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45824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45824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45824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45824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45824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45824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45824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45824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45824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45824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45824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45824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45824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45824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45824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45824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45824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45824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45824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45824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45824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45824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45824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45824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45824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45824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45824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45824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45824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45824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45824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45824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45824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45824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45824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45824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45824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45824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45824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45824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45824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45824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45824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45824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45824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45824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45824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45824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45824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45824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45824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45824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45824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45824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45824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45824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45824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45824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45824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45824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45824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45824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45824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45824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45824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45824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45824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45824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45824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45824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45824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45824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45824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45824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45824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45824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45824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45824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45824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45824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45824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45824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45824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45824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45824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45824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45824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45824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45824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45824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45824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45824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45824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45824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45824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45824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45824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45824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45824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45824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45824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45824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45824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45824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45824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45824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45824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45824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45824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45824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45824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45824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45824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45824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45824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45824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45824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45824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45824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45824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45824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45824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45824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45824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45824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45824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45824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45824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45824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45824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45824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45824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45824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45824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45824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45824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45824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45824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45824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45824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45824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45824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45824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45824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45824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45824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45824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45824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45824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45824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45824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45824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45824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45824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45824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45824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45824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45824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45824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45824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45824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45824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45824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45824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45824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45824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45824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45824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45824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45824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45824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45824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45824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45824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45824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45824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45824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45824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45824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45824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45824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45824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45824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45824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45824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45824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45824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45824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45824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45824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45824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45824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45824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45824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45824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45824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45824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45824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45824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45824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45824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45824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45824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45824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45824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45824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45824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45824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45824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45824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45824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45824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45824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45824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45824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45824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45824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45824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45824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45824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45824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45824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45824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45824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45824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45824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45824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45824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45824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45824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45824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45824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45824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45824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45824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45824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45824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45824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45824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45824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45824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45824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45824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45824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45824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45824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45824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45824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45824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45824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45824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45824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45824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45824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45824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45824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45824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26301-2025</t>
        </is>
      </c>
      <c r="B513" s="1" t="n">
        <v>45805</v>
      </c>
      <c r="C513" s="1" t="n">
        <v>45824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26170-2025</t>
        </is>
      </c>
      <c r="B514" s="1" t="n">
        <v>45805</v>
      </c>
      <c r="C514" s="1" t="n">
        <v>45824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45824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26153-2025</t>
        </is>
      </c>
      <c r="B516" s="1" t="n">
        <v>45805</v>
      </c>
      <c r="C516" s="1" t="n">
        <v>45824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45824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45824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28367-2025</t>
        </is>
      </c>
      <c r="B519" s="1" t="n">
        <v>45819</v>
      </c>
      <c r="C519" s="1" t="n">
        <v>45824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45824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45824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28369-2025</t>
        </is>
      </c>
      <c r="B522" s="1" t="n">
        <v>45819</v>
      </c>
      <c r="C522" s="1" t="n">
        <v>45824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2025-06-16T19:02:26Z</dcterms:created>
  <dcterms:modified xmlns:dcterms="http://purl.org/dc/terms/" xmlns:xsi="http://www.w3.org/2001/XMLSchema-instance" xsi:type="dcterms:W3CDTF">2025-06-16T19:02:26Z</dcterms:modified>
</cp:coreProperties>
</file>