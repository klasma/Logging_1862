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46312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46312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46312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46312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46312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46312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46312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46312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46312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38914-2023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46312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Tjäder</t>
        </is>
      </c>
      <c r="W26">
        <f>HYPERLINK("https://klasma.github.io/Logging_1862/artfynd/A 38914-2023 artfynd.xlsx", "A 38914-2023")</f>
        <v/>
      </c>
      <c r="X26">
        <f>HYPERLINK("https://klasma.github.io/Logging_1862/kartor/A 38914-2023 karta.png", "A 38914-2023")</f>
        <v/>
      </c>
      <c r="Y26">
        <f>HYPERLINK("https://klasma.github.io/Logging_1862/kartor_geotiff/A 38914-2023 georefererad karta.tif", "A 38914-2023")</f>
        <v/>
      </c>
      <c r="AA26">
        <f>HYPERLINK("https://klasma.github.io/Logging_1862/klagomål/A 38914-2023 FSC-klagomål.docx", "A 38914-2023")</f>
        <v/>
      </c>
      <c r="AB26">
        <f>HYPERLINK("https://klasma.github.io/Logging_1862/klagomålsmail/A 38914-2023 FSC-klagomål mail.docx", "A 38914-2023")</f>
        <v/>
      </c>
      <c r="AC26">
        <f>HYPERLINK("https://klasma.github.io/Logging_1862/tillsyn/A 38914-2023 tillsynsbegäran.docx", "A 38914-2023")</f>
        <v/>
      </c>
      <c r="AD26">
        <f>HYPERLINK("https://klasma.github.io/Logging_1862/tillsynsmail/A 38914-2023 tillsynsbegäran mail.docx", "A 38914-2023")</f>
        <v/>
      </c>
      <c r="AE26">
        <f>HYPERLINK("https://klasma.github.io/Logging_1862/fåglar/A 38914-2023 prioriterade fågelarter.docx", "A 38914-2023")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46312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46312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46312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46312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46312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58132-2021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44487</v>
      </c>
      <c r="E33" s="1" t="n">
        <v>46312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Hårklomossa</t>
        </is>
      </c>
      <c r="W33">
        <f>HYPERLINK("https://klasma.github.io/Logging_1862/artfynd/A 58132-2021 artfynd.xlsx", "A 58132-2021")</f>
        <v/>
      </c>
      <c r="X33">
        <f>HYPERLINK("https://klasma.github.io/Logging_1862/kartor/A 58132-2021 karta.png", "A 58132-2021")</f>
        <v/>
      </c>
      <c r="Y33">
        <f>HYPERLINK("https://klasma.github.io/Logging_1862/kartor_geotiff/A 58132-2021 georefererad karta.tif", "A 58132-2021")</f>
        <v/>
      </c>
      <c r="AA33">
        <f>HYPERLINK("https://klasma.github.io/Logging_1862/klagomål/A 58132-2021 FSC-klagomål.docx", "A 58132-2021")</f>
        <v/>
      </c>
      <c r="AB33">
        <f>HYPERLINK("https://klasma.github.io/Logging_1862/klagomålsmail/A 58132-2021 FSC-klagomål mail.docx", "A 58132-2021")</f>
        <v/>
      </c>
      <c r="AC33">
        <f>HYPERLINK("https://klasma.github.io/Logging_1862/tillsyn/A 58132-2021 tillsynsbegäran.docx", "A 58132-2021")</f>
        <v/>
      </c>
      <c r="AD33">
        <f>HYPERLINK("https://klasma.github.io/Logging_1862/tillsynsmail/A 58132-2021 tillsynsbegäran mail.docx", "A 58132-2021")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46312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HYPERLINK("https://klasma.github.io/Logging_1862/artfynd/A 33297-2023 artfynd.xlsx", "A 33297-2023")</f>
        <v/>
      </c>
      <c r="X34">
        <f>HYPERLINK("https://klasma.github.io/Logging_1862/kartor/A 33297-2023 karta.png", "A 33297-2023")</f>
        <v/>
      </c>
      <c r="Y34">
        <f>HYPERLINK("https://klasma.github.io/Logging_1862/kartor_geotiff/A 33297-2023 georefererad karta.tif", "A 33297-2023")</f>
        <v/>
      </c>
      <c r="AA34">
        <f>HYPERLINK("https://klasma.github.io/Logging_1862/klagomål/A 33297-2023 FSC-klagomål.docx", "A 33297-2023")</f>
        <v/>
      </c>
      <c r="AB34">
        <f>HYPERLINK("https://klasma.github.io/Logging_1862/klagomålsmail/A 33297-2023 FSC-klagomål mail.docx", "A 33297-2023")</f>
        <v/>
      </c>
      <c r="AC34">
        <f>HYPERLINK("https://klasma.github.io/Logging_1862/tillsyn/A 33297-2023 tillsynsbegäran.docx", "A 33297-2023")</f>
        <v/>
      </c>
      <c r="AD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46312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46312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48285-2023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45205</v>
      </c>
      <c r="E37" s="1" t="n">
        <v>46312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48285-2023 artfynd.xlsx", "A 48285-2023")</f>
        <v/>
      </c>
      <c r="X37">
        <f>HYPERLINK("https://klasma.github.io/Logging_1862/kartor/A 48285-2023 karta.png", "A 48285-2023")</f>
        <v/>
      </c>
      <c r="Y37">
        <f>HYPERLINK("https://klasma.github.io/Logging_1862/kartor_geotiff/A 48285-2023 georefererad karta.tif", "A 48285-2023")</f>
        <v/>
      </c>
      <c r="AA37">
        <f>HYPERLINK("https://klasma.github.io/Logging_1862/klagomål/A 48285-2023 FSC-klagomål.docx", "A 48285-2023")</f>
        <v/>
      </c>
      <c r="AB37">
        <f>HYPERLINK("https://klasma.github.io/Logging_1862/klagomålsmail/A 48285-2023 FSC-klagomål mail.docx", "A 48285-2023")</f>
        <v/>
      </c>
      <c r="AC37">
        <f>HYPERLINK("https://klasma.github.io/Logging_1862/tillsyn/A 48285-2023 tillsynsbegäran.docx", "A 48285-2023")</f>
        <v/>
      </c>
      <c r="AD37">
        <f>HYPERLINK("https://klasma.github.io/Logging_1862/tillsynsmail/A 48285-2023 tillsynsbegäran mail.docx", "A 48285-2023")</f>
        <v/>
      </c>
      <c r="AE37">
        <f>HYPERLINK("https://klasma.github.io/Logging_1862/fåglar/A 48285-2023 prioriterade fågelarter.docx", "A 48285-2023")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46312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47787-2025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46312</v>
      </c>
      <c r="F39" t="inlineStr">
        <is>
          <t>ÖREBRO LÄN</t>
        </is>
      </c>
      <c r="G39" t="inlineStr">
        <is>
          <t>DEGERFORS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Tretåig hackspett</t>
        </is>
      </c>
      <c r="W39">
        <f>HYPERLINK("https://klasma.github.io/Logging_1862/artfynd/A 47787-2025 artfynd.xlsx", "A 47787-2025")</f>
        <v/>
      </c>
      <c r="X39">
        <f>HYPERLINK("https://klasma.github.io/Logging_1862/kartor/A 47787-2025 karta.png", "A 47787-2025")</f>
        <v/>
      </c>
      <c r="Y39">
        <f>HYPERLINK("https://klasma.github.io/Logging_1862/kartor_geotiff/A 47787-2025 georefererad karta.tif", "A 47787-2025")</f>
        <v/>
      </c>
      <c r="AA39">
        <f>HYPERLINK("https://klasma.github.io/Logging_1862/klagomål/A 47787-2025 FSC-klagomål.docx", "A 47787-2025")</f>
        <v/>
      </c>
      <c r="AB39">
        <f>HYPERLINK("https://klasma.github.io/Logging_1862/klagomålsmail/A 47787-2025 FSC-klagomål mail.docx", "A 47787-2025")</f>
        <v/>
      </c>
      <c r="AC39">
        <f>HYPERLINK("https://klasma.github.io/Logging_1862/tillsyn/A 47787-2025 tillsynsbegäran.docx", "A 47787-2025")</f>
        <v/>
      </c>
      <c r="AD39">
        <f>HYPERLINK("https://klasma.github.io/Logging_1862/tillsynsmail/A 47787-2025 tillsynsbegäran mail.docx", "A 47787-2025")</f>
        <v/>
      </c>
      <c r="AE39">
        <f>HYPERLINK("https://klasma.github.io/Logging_1862/fåglar/A 47787-2025 prioriterade fågelarter.docx", "A 47787-2025")</f>
        <v/>
      </c>
    </row>
    <row r="40" ht="15" customHeight="1">
      <c r="A40" t="inlineStr">
        <is>
          <t>A 14121-2022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46312</v>
      </c>
      <c r="F40" t="inlineStr">
        <is>
          <t>ÖREBRO LÄN</t>
        </is>
      </c>
      <c r="G40" t="inlineStr">
        <is>
          <t>DEGERFORS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Hårklomossa</t>
        </is>
      </c>
      <c r="W40">
        <f>HYPERLINK("https://klasma.github.io/Logging_1862/artfynd/A 14121-2022 artfynd.xlsx", "A 14121-2022")</f>
        <v/>
      </c>
      <c r="X40">
        <f>HYPERLINK("https://klasma.github.io/Logging_1862/kartor/A 14121-2022 karta.png", "A 14121-2022")</f>
        <v/>
      </c>
      <c r="Y40">
        <f>HYPERLINK("https://klasma.github.io/Logging_1862/kartor_geotiff/A 14121-2022 georefererad karta.tif", "A 14121-2022")</f>
        <v/>
      </c>
      <c r="AA40">
        <f>HYPERLINK("https://klasma.github.io/Logging_1862/klagomål/A 14121-2022 FSC-klagomål.docx", "A 14121-2022")</f>
        <v/>
      </c>
      <c r="AB40">
        <f>HYPERLINK("https://klasma.github.io/Logging_1862/klagomålsmail/A 14121-2022 FSC-klagomål mail.docx", "A 14121-2022")</f>
        <v/>
      </c>
      <c r="AC40">
        <f>HYPERLINK("https://klasma.github.io/Logging_1862/tillsyn/A 14121-2022 tillsynsbegäran.docx", "A 14121-2022")</f>
        <v/>
      </c>
      <c r="AD40">
        <f>HYPERLINK("https://klasma.github.io/Logging_1862/tillsynsmail/A 14121-2022 tillsynsbegäran mail.docx", "A 14121-2022")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46312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47941-2024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46312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Brunfläckig pärlemorfjäril</t>
        </is>
      </c>
      <c r="W42">
        <f>HYPERLINK("https://klasma.github.io/Logging_1862/artfynd/A 47941-2024 artfynd.xlsx", "A 47941-2024")</f>
        <v/>
      </c>
      <c r="X42">
        <f>HYPERLINK("https://klasma.github.io/Logging_1862/kartor/A 47941-2024 karta.png", "A 47941-2024")</f>
        <v/>
      </c>
      <c r="Y42">
        <f>HYPERLINK("https://klasma.github.io/Logging_1862/kartor_geotiff/A 47941-2024 georefererad karta.tif", "A 47941-2024")</f>
        <v/>
      </c>
      <c r="AA42">
        <f>HYPERLINK("https://klasma.github.io/Logging_1862/klagomål/A 47941-2024 FSC-klagomål.docx", "A 47941-2024")</f>
        <v/>
      </c>
      <c r="AB42">
        <f>HYPERLINK("https://klasma.github.io/Logging_1862/klagomålsmail/A 47941-2024 FSC-klagomål mail.docx", "A 47941-2024")</f>
        <v/>
      </c>
      <c r="AC42">
        <f>HYPERLINK("https://klasma.github.io/Logging_1862/tillsyn/A 47941-2024 tillsynsbegäran.docx", "A 47941-2024")</f>
        <v/>
      </c>
      <c r="AD42">
        <f>HYPERLINK("https://klasma.github.io/Logging_1862/tillsynsmail/A 47941-2024 tillsynsbegäran mail.docx", "A 47941-2024")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46312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HYPERLINK("https://klasma.github.io/Logging_1862/artfynd/A 27071-2026 artfynd.xlsx", "A 27071-2026")</f>
        <v/>
      </c>
      <c r="X43">
        <f>HYPERLINK("https://klasma.github.io/Logging_1862/kartor/A 27071-2026 karta.png", "A 27071-2026")</f>
        <v/>
      </c>
      <c r="Y43">
        <f>HYPERLINK("https://klasma.github.io/Logging_1862/kartor_geotiff/A 27071-2026 georefererad karta.tif", "A 27071-2026")</f>
        <v/>
      </c>
      <c r="AA43">
        <f>HYPERLINK("https://klasma.github.io/Logging_1862/klagomål/A 27071-2026 FSC-klagomål.docx", "A 27071-2026")</f>
        <v/>
      </c>
      <c r="AB43">
        <f>HYPERLINK("https://klasma.github.io/Logging_1862/klagomålsmail/A 27071-2026 FSC-klagomål mail.docx", "A 27071-2026")</f>
        <v/>
      </c>
      <c r="AC43">
        <f>HYPERLINK("https://klasma.github.io/Logging_1862/tillsyn/A 27071-2026 tillsynsbegäran.docx", "A 27071-2026")</f>
        <v/>
      </c>
      <c r="AD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46312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46312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46312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46312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46312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46312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42337-2026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46312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4.7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42337-2026 artfynd.xlsx", "A 42337-2026")</f>
        <v/>
      </c>
      <c r="X50">
        <f>HYPERLINK("https://klasma.github.io/Logging_1862/kartor/A 42337-2026 karta.png", "A 42337-2026")</f>
        <v/>
      </c>
      <c r="Y50">
        <f>HYPERLINK("https://klasma.github.io/Logging_1862/kartor_geotiff/A 42337-2026 georefererad karta.tif", "A 42337-2026")</f>
        <v/>
      </c>
      <c r="AA50">
        <f>HYPERLINK("https://klasma.github.io/Logging_1862/klagomål/A 42337-2026 FSC-klagomål.docx", "A 42337-2026")</f>
        <v/>
      </c>
      <c r="AB50">
        <f>HYPERLINK("https://klasma.github.io/Logging_1862/klagomålsmail/A 42337-2026 FSC-klagomål mail.docx", "A 42337-2026")</f>
        <v/>
      </c>
      <c r="AC50">
        <f>HYPERLINK("https://klasma.github.io/Logging_1862/tillsyn/A 42337-2026 tillsynsbegäran.docx", "A 42337-2026")</f>
        <v/>
      </c>
      <c r="AD50">
        <f>HYPERLINK("https://klasma.github.io/Logging_1862/tillsynsmail/A 42337-2026 tillsynsbegäran mail.docx", "A 42337-2026")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46312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46312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46312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46312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46312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46312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46312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46312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46312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46312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46312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46312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46312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46312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46312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46312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46312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44754</v>
      </c>
      <c r="E68" s="1" t="n">
        <v>46312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37672-2024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45541</v>
      </c>
      <c r="E69" s="1" t="n">
        <v>46312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46312</v>
      </c>
      <c r="F70" t="inlineStr">
        <is>
          <t>ÖREBRO LÄN</t>
        </is>
      </c>
      <c r="G70" t="inlineStr">
        <is>
          <t>DEGERFORS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46312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46312</v>
      </c>
      <c r="F72" t="inlineStr">
        <is>
          <t>ÖREBRO LÄN</t>
        </is>
      </c>
      <c r="G72" t="inlineStr">
        <is>
          <t>DEGERFORS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45535</v>
      </c>
      <c r="E73" s="1" t="n">
        <v>46312</v>
      </c>
      <c r="F73" t="inlineStr">
        <is>
          <t>ÖREBRO LÄN</t>
        </is>
      </c>
      <c r="G73" t="inlineStr">
        <is>
          <t>DEGERFORS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46312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44579</v>
      </c>
      <c r="E75" s="1" t="n">
        <v>46312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60907-2023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45261</v>
      </c>
      <c r="E76" s="1" t="n">
        <v>46312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46312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46312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46312</v>
      </c>
      <c r="F79" t="inlineStr">
        <is>
          <t>ÖREBRO LÄN</t>
        </is>
      </c>
      <c r="G79" t="inlineStr">
        <is>
          <t>DEGERFORS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46312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46312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46312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46312</v>
      </c>
      <c r="F83" t="inlineStr">
        <is>
          <t>ÖREBRO LÄN</t>
        </is>
      </c>
      <c r="G83" t="inlineStr">
        <is>
          <t>DEGERFORS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46312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45735</v>
      </c>
      <c r="E85" s="1" t="n">
        <v>46312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46312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38233-2023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45160</v>
      </c>
      <c r="E87" s="1" t="n">
        <v>46312</v>
      </c>
      <c r="F87" t="inlineStr">
        <is>
          <t>ÖREBRO LÄN</t>
        </is>
      </c>
      <c r="G87" t="inlineStr">
        <is>
          <t>DEGERFORS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46312</v>
      </c>
      <c r="F88" t="inlineStr">
        <is>
          <t>ÖREBRO LÄN</t>
        </is>
      </c>
      <c r="G88" t="inlineStr">
        <is>
          <t>DEGERFORS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46312</v>
      </c>
      <c r="F89" t="inlineStr">
        <is>
          <t>ÖREBRO LÄN</t>
        </is>
      </c>
      <c r="G89" t="inlineStr">
        <is>
          <t>DEGERFORS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20567-2026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46312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46312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10674-2024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45369</v>
      </c>
      <c r="E92" s="1" t="n">
        <v>46312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46312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46312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46312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46312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73693-2021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46312</v>
      </c>
      <c r="F97" t="inlineStr">
        <is>
          <t>ÖREBRO LÄN</t>
        </is>
      </c>
      <c r="G97" t="inlineStr">
        <is>
          <t>DEGERFORS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46312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46312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46312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46312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46312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46312</v>
      </c>
      <c r="F103" t="inlineStr">
        <is>
          <t>ÖREBRO LÄN</t>
        </is>
      </c>
      <c r="G103" t="inlineStr">
        <is>
          <t>DEGERFORS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46312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46312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46312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46312</v>
      </c>
      <c r="F107" t="inlineStr">
        <is>
          <t>ÖREBRO LÄN</t>
        </is>
      </c>
      <c r="G107" t="inlineStr">
        <is>
          <t>DEGERFORS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46312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45190</v>
      </c>
      <c r="E109" s="1" t="n">
        <v>46312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46312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46312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46312</v>
      </c>
      <c r="F112" t="inlineStr">
        <is>
          <t>ÖREBRO LÄN</t>
        </is>
      </c>
      <c r="G112" t="inlineStr">
        <is>
          <t>DEGERFORS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46312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46312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21952-2024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45443</v>
      </c>
      <c r="E115" s="1" t="n">
        <v>46312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46312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46162</v>
      </c>
      <c r="E117" s="1" t="n">
        <v>46312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46312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46312</v>
      </c>
      <c r="F119" t="inlineStr">
        <is>
          <t>ÖREBRO LÄN</t>
        </is>
      </c>
      <c r="G119" t="inlineStr">
        <is>
          <t>DEGERFORS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14678-2025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45742</v>
      </c>
      <c r="E120" s="1" t="n">
        <v>46312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57086-2025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45979</v>
      </c>
      <c r="E121" s="1" t="n">
        <v>46312</v>
      </c>
      <c r="F121" t="inlineStr">
        <is>
          <t>ÖREBRO LÄN</t>
        </is>
      </c>
      <c r="G121" t="inlineStr">
        <is>
          <t>DEGERFORS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45729</v>
      </c>
      <c r="E122" s="1" t="n">
        <v>46312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46312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46312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20577-2023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45057</v>
      </c>
      <c r="E125" s="1" t="n">
        <v>46312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45365-2023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45192</v>
      </c>
      <c r="E126" s="1" t="n">
        <v>46312</v>
      </c>
      <c r="F126" t="inlineStr">
        <is>
          <t>ÖREBRO LÄN</t>
        </is>
      </c>
      <c r="G126" t="inlineStr">
        <is>
          <t>DEGERFORS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45338</v>
      </c>
      <c r="E127" s="1" t="n">
        <v>46312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46312</v>
      </c>
      <c r="F128" t="inlineStr">
        <is>
          <t>ÖREBRO LÄN</t>
        </is>
      </c>
      <c r="G128" t="inlineStr">
        <is>
          <t>DEGERFORS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46312</v>
      </c>
      <c r="F129" t="inlineStr">
        <is>
          <t>ÖREBRO LÄN</t>
        </is>
      </c>
      <c r="G129" t="inlineStr">
        <is>
          <t>DEGERFORS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46312</v>
      </c>
      <c r="F130" t="inlineStr">
        <is>
          <t>ÖREBRO LÄN</t>
        </is>
      </c>
      <c r="G130" t="inlineStr">
        <is>
          <t>DEGERFORS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46312</v>
      </c>
      <c r="F131" t="inlineStr">
        <is>
          <t>ÖREBRO LÄN</t>
        </is>
      </c>
      <c r="G131" t="inlineStr">
        <is>
          <t>DEGERFORS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46312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46312</v>
      </c>
      <c r="F133" t="inlineStr">
        <is>
          <t>ÖREBRO LÄN</t>
        </is>
      </c>
      <c r="G133" t="inlineStr">
        <is>
          <t>DEGERFORS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45205</v>
      </c>
      <c r="E134" s="1" t="n">
        <v>46312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6394-2024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45338</v>
      </c>
      <c r="E135" s="1" t="n">
        <v>46312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46312</v>
      </c>
      <c r="F136" t="inlineStr">
        <is>
          <t>ÖREBRO LÄN</t>
        </is>
      </c>
      <c r="G136" t="inlineStr">
        <is>
          <t>DEGERFORS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24689-2026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46312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46312</v>
      </c>
      <c r="F138" t="inlineStr">
        <is>
          <t>ÖREBRO LÄN</t>
        </is>
      </c>
      <c r="G138" t="inlineStr">
        <is>
          <t>DEGERFORS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46312</v>
      </c>
      <c r="F139" t="inlineStr">
        <is>
          <t>ÖREBRO LÄN</t>
        </is>
      </c>
      <c r="G139" t="inlineStr">
        <is>
          <t>DEGERFORS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46312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45116</v>
      </c>
      <c r="E141" s="1" t="n">
        <v>46312</v>
      </c>
      <c r="F141" t="inlineStr">
        <is>
          <t>ÖREBRO LÄN</t>
        </is>
      </c>
      <c r="G141" t="inlineStr">
        <is>
          <t>DEGERFORS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46312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46312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46185</v>
      </c>
      <c r="E144" s="1" t="n">
        <v>46312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46312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46312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46312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46312</v>
      </c>
      <c r="F148" t="inlineStr">
        <is>
          <t>ÖREBRO LÄN</t>
        </is>
      </c>
      <c r="G148" t="inlineStr">
        <is>
          <t>DEGERFORS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46312</v>
      </c>
      <c r="F149" t="inlineStr">
        <is>
          <t>ÖREBRO LÄN</t>
        </is>
      </c>
      <c r="G149" t="inlineStr">
        <is>
          <t>DEGERFORS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45384</v>
      </c>
      <c r="E150" s="1" t="n">
        <v>46312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46312</v>
      </c>
      <c r="F151" t="inlineStr">
        <is>
          <t>ÖREBRO LÄN</t>
        </is>
      </c>
      <c r="G151" t="inlineStr">
        <is>
          <t>DEGERFORS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46312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46312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46312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46312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46312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46312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46312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46191</v>
      </c>
      <c r="E160" s="1" t="n">
        <v>46312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46312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46312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46312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46312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46199</v>
      </c>
      <c r="E165" s="1" t="n">
        <v>46312</v>
      </c>
      <c r="F165" t="inlineStr">
        <is>
          <t>ÖREBRO LÄN</t>
        </is>
      </c>
      <c r="G165" t="inlineStr">
        <is>
          <t>DEGERFORS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46312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46312</v>
      </c>
      <c r="F167" t="inlineStr">
        <is>
          <t>ÖREBRO LÄN</t>
        </is>
      </c>
      <c r="G167" t="inlineStr">
        <is>
          <t>DEGERFORS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46312</v>
      </c>
      <c r="F168" t="inlineStr">
        <is>
          <t>ÖREBRO LÄN</t>
        </is>
      </c>
      <c r="G168" t="inlineStr">
        <is>
          <t>DEGERFORS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46312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46312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46312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46312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46312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45106</v>
      </c>
      <c r="E174" s="1" t="n">
        <v>46312</v>
      </c>
      <c r="F174" t="inlineStr">
        <is>
          <t>ÖREBRO LÄN</t>
        </is>
      </c>
      <c r="G174" t="inlineStr">
        <is>
          <t>DEGERFORS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59158-2022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44904</v>
      </c>
      <c r="E175" s="1" t="n">
        <v>46312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46312</v>
      </c>
      <c r="F176" t="inlineStr">
        <is>
          <t>ÖREBRO LÄN</t>
        </is>
      </c>
      <c r="G176" t="inlineStr">
        <is>
          <t>DEGERFORS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44986</v>
      </c>
      <c r="E177" s="1" t="n">
        <v>46312</v>
      </c>
      <c r="F177" t="inlineStr">
        <is>
          <t>ÖREBRO LÄN</t>
        </is>
      </c>
      <c r="G177" t="inlineStr">
        <is>
          <t>DEGERFORS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46312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44989</v>
      </c>
      <c r="E179" s="1" t="n">
        <v>46312</v>
      </c>
      <c r="F179" t="inlineStr">
        <is>
          <t>ÖREBRO LÄN</t>
        </is>
      </c>
      <c r="G179" t="inlineStr">
        <is>
          <t>DEGERFORS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46312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46312</v>
      </c>
      <c r="F182" t="inlineStr">
        <is>
          <t>ÖREBRO LÄN</t>
        </is>
      </c>
      <c r="G182" t="inlineStr">
        <is>
          <t>DEGERFORS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46312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46312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45861-2023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45195</v>
      </c>
      <c r="E185" s="1" t="n">
        <v>46312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46312</v>
      </c>
      <c r="F186" t="inlineStr">
        <is>
          <t>ÖREBRO LÄN</t>
        </is>
      </c>
      <c r="G186" t="inlineStr">
        <is>
          <t>DEGERFORS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46279</v>
      </c>
      <c r="E187" s="1" t="n">
        <v>46312</v>
      </c>
      <c r="F187" t="inlineStr">
        <is>
          <t>ÖREBRO LÄN</t>
        </is>
      </c>
      <c r="G187" t="inlineStr">
        <is>
          <t>DEGERFORS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46312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46312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46283</v>
      </c>
      <c r="E190" s="1" t="n">
        <v>46312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46312</v>
      </c>
      <c r="F191" t="inlineStr">
        <is>
          <t>ÖREBRO LÄN</t>
        </is>
      </c>
      <c r="G191" t="inlineStr">
        <is>
          <t>DEGERFORS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46312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46312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46312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46241</v>
      </c>
      <c r="E195" s="1" t="n">
        <v>46312</v>
      </c>
      <c r="F195" t="inlineStr">
        <is>
          <t>ÖREBRO LÄN</t>
        </is>
      </c>
      <c r="G195" t="inlineStr">
        <is>
          <t>DEGERFORS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46312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46312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46312</v>
      </c>
      <c r="F198" t="inlineStr">
        <is>
          <t>ÖREBRO LÄN</t>
        </is>
      </c>
      <c r="G198" t="inlineStr">
        <is>
          <t>DEGERFORS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46312</v>
      </c>
      <c r="F199" t="inlineStr">
        <is>
          <t>ÖREBRO LÄN</t>
        </is>
      </c>
      <c r="G199" t="inlineStr">
        <is>
          <t>DEGERFORS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46312</v>
      </c>
      <c r="F200" t="inlineStr">
        <is>
          <t>ÖREBRO LÄN</t>
        </is>
      </c>
      <c r="G200" t="inlineStr">
        <is>
          <t>DEGERFORS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46312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46312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46312</v>
      </c>
      <c r="F203" t="inlineStr">
        <is>
          <t>ÖREBRO LÄN</t>
        </is>
      </c>
      <c r="G203" t="inlineStr">
        <is>
          <t>DEGERFORS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46312</v>
      </c>
      <c r="F204" t="inlineStr">
        <is>
          <t>ÖREBRO LÄN</t>
        </is>
      </c>
      <c r="G204" t="inlineStr">
        <is>
          <t>DEGERFORS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46312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46312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46312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46312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46303</v>
      </c>
      <c r="E209" s="1" t="n">
        <v>46312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46312</v>
      </c>
      <c r="F210" t="inlineStr">
        <is>
          <t>ÖREBRO LÄN</t>
        </is>
      </c>
      <c r="G210" t="inlineStr">
        <is>
          <t>DEGERFORS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46260</v>
      </c>
      <c r="E211" s="1" t="n">
        <v>46312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46312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46312</v>
      </c>
      <c r="F213" t="inlineStr">
        <is>
          <t>ÖREBRO LÄN</t>
        </is>
      </c>
      <c r="G213" t="inlineStr">
        <is>
          <t>DEGERFORS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46307</v>
      </c>
      <c r="E214" s="1" t="n">
        <v>46312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46312</v>
      </c>
      <c r="F215" t="inlineStr">
        <is>
          <t>ÖREBRO LÄN</t>
        </is>
      </c>
      <c r="G215" t="inlineStr">
        <is>
          <t>DEGERFORS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45330</v>
      </c>
      <c r="E216" s="1" t="n">
        <v>46312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46312</v>
      </c>
      <c r="F217" t="inlineStr">
        <is>
          <t>ÖREBRO LÄN</t>
        </is>
      </c>
      <c r="G217" t="inlineStr">
        <is>
          <t>DEGERFORS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46312</v>
      </c>
      <c r="F218" t="inlineStr">
        <is>
          <t>ÖREBRO LÄN</t>
        </is>
      </c>
      <c r="G218" t="inlineStr">
        <is>
          <t>DEGERFORS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46312</v>
      </c>
      <c r="F219" t="inlineStr">
        <is>
          <t>ÖREBRO LÄN</t>
        </is>
      </c>
      <c r="G219" t="inlineStr">
        <is>
          <t>DEGERFORS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46312</v>
      </c>
      <c r="F220" t="inlineStr">
        <is>
          <t>ÖREBRO LÄN</t>
        </is>
      </c>
      <c r="G220" t="inlineStr">
        <is>
          <t>DEGERFORS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46312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46312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46312</v>
      </c>
      <c r="F223" t="inlineStr">
        <is>
          <t>ÖREBRO LÄN</t>
        </is>
      </c>
      <c r="G223" t="inlineStr">
        <is>
          <t>DEGERFORS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46312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46303</v>
      </c>
      <c r="E225" s="1" t="n">
        <v>46312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46312</v>
      </c>
      <c r="F226" t="inlineStr">
        <is>
          <t>ÖREBRO LÄN</t>
        </is>
      </c>
      <c r="G226" t="inlineStr">
        <is>
          <t>DEGERFORS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46312</v>
      </c>
      <c r="F227" t="inlineStr">
        <is>
          <t>ÖREBRO LÄN</t>
        </is>
      </c>
      <c r="G227" t="inlineStr">
        <is>
          <t>DEGERFORS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46312</v>
      </c>
      <c r="F228" t="inlineStr">
        <is>
          <t>ÖREBRO LÄN</t>
        </is>
      </c>
      <c r="G228" t="inlineStr">
        <is>
          <t>DEGERFORS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37333-2025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45876</v>
      </c>
      <c r="E229" s="1" t="n">
        <v>46312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46312</v>
      </c>
      <c r="F230" t="inlineStr">
        <is>
          <t>ÖREBRO LÄN</t>
        </is>
      </c>
      <c r="G230" t="inlineStr">
        <is>
          <t>DEGERFORS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46312</v>
      </c>
      <c r="F231" t="inlineStr">
        <is>
          <t>ÖREBRO LÄN</t>
        </is>
      </c>
      <c r="G231" t="inlineStr">
        <is>
          <t>DEGERFORS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46312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46312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46312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46312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46312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46312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2026-10-17T02:03:44Z</dcterms:created>
  <dcterms:modified xmlns:dcterms="http://purl.org/dc/terms/" xmlns:xsi="http://www.w3.org/2001/XMLSchema-instance" xsi:type="dcterms:W3CDTF">2026-10-17T02:03:45Z</dcterms:modified>
</cp:coreProperties>
</file>