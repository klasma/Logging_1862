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38912-2023</t>
        </is>
      </c>
      <c r="B12" s="1" t="n">
        <v>45163</v>
      </c>
      <c r="C12" s="1" t="n">
        <v>45937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38912-2023 artfynd.xlsx", "A 38912-2023")</f>
        <v/>
      </c>
      <c r="T12">
        <f>HYPERLINK("https://klasma.github.io/Logging_1862/kartor/A 38912-2023 karta.png", "A 38912-2023")</f>
        <v/>
      </c>
      <c r="V12">
        <f>HYPERLINK("https://klasma.github.io/Logging_1862/klagomål/A 38912-2023 FSC-klagomål.docx", "A 38912-2023")</f>
        <v/>
      </c>
      <c r="W12">
        <f>HYPERLINK("https://klasma.github.io/Logging_1862/klagomålsmail/A 38912-2023 FSC-klagomål mail.docx", "A 38912-2023")</f>
        <v/>
      </c>
      <c r="X12">
        <f>HYPERLINK("https://klasma.github.io/Logging_1862/tillsyn/A 38912-2023 tillsynsbegäran.docx", "A 38912-2023")</f>
        <v/>
      </c>
      <c r="Y12">
        <f>HYPERLINK("https://klasma.github.io/Logging_1862/tillsynsmail/A 38912-2023 tillsynsbegäran mail.docx", "A 38912-2023")</f>
        <v/>
      </c>
      <c r="Z12">
        <f>HYPERLINK("https://klasma.github.io/Logging_1862/fåglar/A 38912-2023 prioriterade fågelarter.docx", "A 38912-2023")</f>
        <v/>
      </c>
    </row>
    <row r="13" ht="15" customHeight="1">
      <c r="A13" t="inlineStr">
        <is>
          <t>A 12720-2024</t>
        </is>
      </c>
      <c r="B13" s="1" t="n">
        <v>45384</v>
      </c>
      <c r="C13" s="1" t="n">
        <v>45937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12720-2024 artfynd.xlsx", "A 12720-2024")</f>
        <v/>
      </c>
      <c r="T13">
        <f>HYPERLINK("https://klasma.github.io/Logging_1862/kartor/A 12720-2024 karta.png", "A 12720-2024")</f>
        <v/>
      </c>
      <c r="V13">
        <f>HYPERLINK("https://klasma.github.io/Logging_1862/klagomål/A 12720-2024 FSC-klagomål.docx", "A 12720-2024")</f>
        <v/>
      </c>
      <c r="W13">
        <f>HYPERLINK("https://klasma.github.io/Logging_1862/klagomålsmail/A 12720-2024 FSC-klagomål mail.docx", "A 12720-2024")</f>
        <v/>
      </c>
      <c r="X13">
        <f>HYPERLINK("https://klasma.github.io/Logging_1862/tillsyn/A 12720-2024 tillsynsbegäran.docx", "A 12720-2024")</f>
        <v/>
      </c>
      <c r="Y13">
        <f>HYPERLINK("https://klasma.github.io/Logging_1862/tillsynsmail/A 12720-2024 tillsynsbegäran mail.docx", "A 12720-2024")</f>
        <v/>
      </c>
      <c r="Z13">
        <f>HYPERLINK("https://klasma.github.io/Logging_1862/fåglar/A 12720-2024 prioriterade fågelarter.docx", "A 12720-2024")</f>
        <v/>
      </c>
    </row>
    <row r="14" ht="15" customHeight="1">
      <c r="A14" t="inlineStr">
        <is>
          <t>A 47915-2024</t>
        </is>
      </c>
      <c r="B14" s="1" t="n">
        <v>45589.34315972222</v>
      </c>
      <c r="C14" s="1" t="n">
        <v>45937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HYPERLINK("https://klasma.github.io/Logging_1862/artfynd/A 47915-2024 artfynd.xlsx", "A 47915-2024")</f>
        <v/>
      </c>
      <c r="T14">
        <f>HYPERLINK("https://klasma.github.io/Logging_1862/kartor/A 47915-2024 karta.png", "A 47915-2024")</f>
        <v/>
      </c>
      <c r="V14">
        <f>HYPERLINK("https://klasma.github.io/Logging_1862/klagomål/A 47915-2024 FSC-klagomål.docx", "A 47915-2024")</f>
        <v/>
      </c>
      <c r="W14">
        <f>HYPERLINK("https://klasma.github.io/Logging_1862/klagomålsmail/A 47915-2024 FSC-klagomål mail.docx", "A 47915-2024")</f>
        <v/>
      </c>
      <c r="X14">
        <f>HYPERLINK("https://klasma.github.io/Logging_1862/tillsyn/A 47915-2024 tillsynsbegäran.docx", "A 47915-2024")</f>
        <v/>
      </c>
      <c r="Y14">
        <f>HYPERLINK("https://klasma.github.io/Logging_1862/tillsynsmail/A 47915-2024 tillsynsbegäran mail.docx", "A 47915-2024")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45937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45937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45937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45937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45937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45937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45937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45937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45937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45937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45937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45937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45937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12977-2022</t>
        </is>
      </c>
      <c r="B34" s="1" t="n">
        <v>44643</v>
      </c>
      <c r="C34" s="1" t="n">
        <v>45937</v>
      </c>
      <c r="D34" t="inlineStr">
        <is>
          <t>ÖREBRO LÄN</t>
        </is>
      </c>
      <c r="E34" t="inlineStr">
        <is>
          <t>DEGERFORS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45937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54139-2021</t>
        </is>
      </c>
      <c r="B36" s="1" t="n">
        <v>44470</v>
      </c>
      <c r="C36" s="1" t="n">
        <v>45937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45937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45937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68578-2021</t>
        </is>
      </c>
      <c r="B39" s="1" t="n">
        <v>44529.52201388889</v>
      </c>
      <c r="C39" s="1" t="n">
        <v>45937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45937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45937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45937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45937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25177-2024</t>
        </is>
      </c>
      <c r="B44" s="1" t="n">
        <v>45462.546875</v>
      </c>
      <c r="C44" s="1" t="n">
        <v>45937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45937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3177-2022</t>
        </is>
      </c>
      <c r="B46" s="1" t="n">
        <v>44582.61244212963</v>
      </c>
      <c r="C46" s="1" t="n">
        <v>45937</v>
      </c>
      <c r="D46" t="inlineStr">
        <is>
          <t>ÖREBRO LÄN</t>
        </is>
      </c>
      <c r="E46" t="inlineStr">
        <is>
          <t>DEGERFORS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50378-2024</t>
        </is>
      </c>
      <c r="B47" s="1" t="n">
        <v>45601.2984375</v>
      </c>
      <c r="C47" s="1" t="n">
        <v>45937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33658-2024</t>
        </is>
      </c>
      <c r="B48" s="1" t="n">
        <v>45520.46899305555</v>
      </c>
      <c r="C48" s="1" t="n">
        <v>45937</v>
      </c>
      <c r="D48" t="inlineStr">
        <is>
          <t>ÖREBRO LÄN</t>
        </is>
      </c>
      <c r="E48" t="inlineStr">
        <is>
          <t>DEGERFORS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38233-2023</t>
        </is>
      </c>
      <c r="B49" s="1" t="n">
        <v>45160</v>
      </c>
      <c r="C49" s="1" t="n">
        <v>45937</v>
      </c>
      <c r="D49" t="inlineStr">
        <is>
          <t>ÖREBRO LÄN</t>
        </is>
      </c>
      <c r="E49" t="inlineStr">
        <is>
          <t>DEGERFORS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18831-2025</t>
        </is>
      </c>
      <c r="B50" s="1" t="n">
        <v>45764.39109953704</v>
      </c>
      <c r="C50" s="1" t="n">
        <v>45937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26185-2024</t>
        </is>
      </c>
      <c r="B51" s="1" t="n">
        <v>45468.56267361111</v>
      </c>
      <c r="C51" s="1" t="n">
        <v>45937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14452-2025</t>
        </is>
      </c>
      <c r="B52" s="1" t="n">
        <v>45741.56143518518</v>
      </c>
      <c r="C52" s="1" t="n">
        <v>45937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10321-2023</t>
        </is>
      </c>
      <c r="B53" s="1" t="n">
        <v>44986.99549768519</v>
      </c>
      <c r="C53" s="1" t="n">
        <v>45937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45937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57234-2024</t>
        </is>
      </c>
      <c r="B55" s="1" t="n">
        <v>45629.54484953704</v>
      </c>
      <c r="C55" s="1" t="n">
        <v>45937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50766-2024</t>
        </is>
      </c>
      <c r="B56" s="1" t="n">
        <v>45602.43986111111</v>
      </c>
      <c r="C56" s="1" t="n">
        <v>45937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38917-2023</t>
        </is>
      </c>
      <c r="B57" s="1" t="n">
        <v>45163</v>
      </c>
      <c r="C57" s="1" t="n">
        <v>45937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25175-2024</t>
        </is>
      </c>
      <c r="B58" s="1" t="n">
        <v>45462.545625</v>
      </c>
      <c r="C58" s="1" t="n">
        <v>45937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58629-2024</t>
        </is>
      </c>
      <c r="B59" s="1" t="n">
        <v>45635.57008101852</v>
      </c>
      <c r="C59" s="1" t="n">
        <v>45937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45937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27438-2024</t>
        </is>
      </c>
      <c r="B61" s="1" t="n">
        <v>45474.40971064815</v>
      </c>
      <c r="C61" s="1" t="n">
        <v>45937</v>
      </c>
      <c r="D61" t="inlineStr">
        <is>
          <t>ÖREBRO LÄN</t>
        </is>
      </c>
      <c r="E61" t="inlineStr">
        <is>
          <t>DEGERFORS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6387-2024</t>
        </is>
      </c>
      <c r="B62" s="1" t="n">
        <v>45338.56366898148</v>
      </c>
      <c r="C62" s="1" t="n">
        <v>45937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2357-2022</t>
        </is>
      </c>
      <c r="B63" s="1" t="n">
        <v>44578</v>
      </c>
      <c r="C63" s="1" t="n">
        <v>45937</v>
      </c>
      <c r="D63" t="inlineStr">
        <is>
          <t>ÖREBRO LÄN</t>
        </is>
      </c>
      <c r="E63" t="inlineStr">
        <is>
          <t>DEGERFORS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50102-2023</t>
        </is>
      </c>
      <c r="B64" s="1" t="n">
        <v>45215</v>
      </c>
      <c r="C64" s="1" t="n">
        <v>45937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51996-2023</t>
        </is>
      </c>
      <c r="B65" s="1" t="n">
        <v>45223</v>
      </c>
      <c r="C65" s="1" t="n">
        <v>45937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62982-2023</t>
        </is>
      </c>
      <c r="B66" s="1" t="n">
        <v>45272</v>
      </c>
      <c r="C66" s="1" t="n">
        <v>45937</v>
      </c>
      <c r="D66" t="inlineStr">
        <is>
          <t>ÖREBRO LÄN</t>
        </is>
      </c>
      <c r="E66" t="inlineStr">
        <is>
          <t>DEGERFORS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9510-2025</t>
        </is>
      </c>
      <c r="B67" s="1" t="n">
        <v>45715.53829861111</v>
      </c>
      <c r="C67" s="1" t="n">
        <v>45937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58164-2024</t>
        </is>
      </c>
      <c r="B68" s="1" t="n">
        <v>45632.45396990741</v>
      </c>
      <c r="C68" s="1" t="n">
        <v>45937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53406-2024</t>
        </is>
      </c>
      <c r="B69" s="1" t="n">
        <v>45614.49704861111</v>
      </c>
      <c r="C69" s="1" t="n">
        <v>45937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46288-2024</t>
        </is>
      </c>
      <c r="B70" s="1" t="n">
        <v>45581.65881944444</v>
      </c>
      <c r="C70" s="1" t="n">
        <v>45937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50207-2024</t>
        </is>
      </c>
      <c r="B71" s="1" t="n">
        <v>45600.49782407407</v>
      </c>
      <c r="C71" s="1" t="n">
        <v>45937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50208-2024</t>
        </is>
      </c>
      <c r="B72" s="1" t="n">
        <v>45600.49924768518</v>
      </c>
      <c r="C72" s="1" t="n">
        <v>45937</v>
      </c>
      <c r="D72" t="inlineStr">
        <is>
          <t>ÖREBRO LÄN</t>
        </is>
      </c>
      <c r="E72" t="inlineStr">
        <is>
          <t>DEGERFORS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59158-2022</t>
        </is>
      </c>
      <c r="B73" s="1" t="n">
        <v>44904</v>
      </c>
      <c r="C73" s="1" t="n">
        <v>45937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53838-2024</t>
        </is>
      </c>
      <c r="B74" s="1" t="n">
        <v>45614</v>
      </c>
      <c r="C74" s="1" t="n">
        <v>45937</v>
      </c>
      <c r="D74" t="inlineStr">
        <is>
          <t>ÖREBRO LÄN</t>
        </is>
      </c>
      <c r="E74" t="inlineStr">
        <is>
          <t>DEGERFORS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45861-2023</t>
        </is>
      </c>
      <c r="B75" s="1" t="n">
        <v>45195</v>
      </c>
      <c r="C75" s="1" t="n">
        <v>45937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6394-2024</t>
        </is>
      </c>
      <c r="B76" s="1" t="n">
        <v>45338.57230324074</v>
      </c>
      <c r="C76" s="1" t="n">
        <v>45937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18675-2025</t>
        </is>
      </c>
      <c r="B77" s="1" t="n">
        <v>45763.59862268518</v>
      </c>
      <c r="C77" s="1" t="n">
        <v>45937</v>
      </c>
      <c r="D77" t="inlineStr">
        <is>
          <t>ÖREBRO LÄN</t>
        </is>
      </c>
      <c r="E77" t="inlineStr">
        <is>
          <t>DEGERFORS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5277-2024</t>
        </is>
      </c>
      <c r="B78" s="1" t="n">
        <v>45330</v>
      </c>
      <c r="C78" s="1" t="n">
        <v>45937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21935-2024</t>
        </is>
      </c>
      <c r="B79" s="1" t="n">
        <v>45443.47237268519</v>
      </c>
      <c r="C79" s="1" t="n">
        <v>45937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38743-2022</t>
        </is>
      </c>
      <c r="B80" s="1" t="n">
        <v>44816.34265046296</v>
      </c>
      <c r="C80" s="1" t="n">
        <v>45937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43768-2024</t>
        </is>
      </c>
      <c r="B81" s="1" t="n">
        <v>45569</v>
      </c>
      <c r="C81" s="1" t="n">
        <v>45937</v>
      </c>
      <c r="D81" t="inlineStr">
        <is>
          <t>ÖREBRO LÄN</t>
        </is>
      </c>
      <c r="E81" t="inlineStr">
        <is>
          <t>DEGERFORS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23460-2024</t>
        </is>
      </c>
      <c r="B82" s="1" t="n">
        <v>45453.65363425926</v>
      </c>
      <c r="C82" s="1" t="n">
        <v>45937</v>
      </c>
      <c r="D82" t="inlineStr">
        <is>
          <t>ÖREBRO LÄN</t>
        </is>
      </c>
      <c r="E82" t="inlineStr">
        <is>
          <t>DEGERFORS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40870-2024</t>
        </is>
      </c>
      <c r="B83" s="1" t="n">
        <v>45558.59421296296</v>
      </c>
      <c r="C83" s="1" t="n">
        <v>45937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26182-2024</t>
        </is>
      </c>
      <c r="B84" s="1" t="n">
        <v>45468</v>
      </c>
      <c r="C84" s="1" t="n">
        <v>45937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13405-2024</t>
        </is>
      </c>
      <c r="B85" s="1" t="n">
        <v>45387.44760416666</v>
      </c>
      <c r="C85" s="1" t="n">
        <v>45937</v>
      </c>
      <c r="D85" t="inlineStr">
        <is>
          <t>ÖREBRO LÄN</t>
        </is>
      </c>
      <c r="E85" t="inlineStr">
        <is>
          <t>DEGERFORS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45937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26176-2024</t>
        </is>
      </c>
      <c r="B87" s="1" t="n">
        <v>45468.55660879629</v>
      </c>
      <c r="C87" s="1" t="n">
        <v>45937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24707-2025</t>
        </is>
      </c>
      <c r="B88" s="1" t="n">
        <v>45798.81579861111</v>
      </c>
      <c r="C88" s="1" t="n">
        <v>45937</v>
      </c>
      <c r="D88" t="inlineStr">
        <is>
          <t>ÖREBRO LÄN</t>
        </is>
      </c>
      <c r="E88" t="inlineStr">
        <is>
          <t>DEGERFORS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46220-2024</t>
        </is>
      </c>
      <c r="B89" s="1" t="n">
        <v>45581.56866898148</v>
      </c>
      <c r="C89" s="1" t="n">
        <v>45937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47935-2024</t>
        </is>
      </c>
      <c r="B90" s="1" t="n">
        <v>45589.34674768519</v>
      </c>
      <c r="C90" s="1" t="n">
        <v>45937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46219-2024</t>
        </is>
      </c>
      <c r="B91" s="1" t="n">
        <v>45581.56686342593</v>
      </c>
      <c r="C91" s="1" t="n">
        <v>45937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21952-2024</t>
        </is>
      </c>
      <c r="B92" s="1" t="n">
        <v>45443.48370370371</v>
      </c>
      <c r="C92" s="1" t="n">
        <v>45937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45937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52566-2023</t>
        </is>
      </c>
      <c r="B94" s="1" t="n">
        <v>45219</v>
      </c>
      <c r="C94" s="1" t="n">
        <v>45937</v>
      </c>
      <c r="D94" t="inlineStr">
        <is>
          <t>ÖREBRO LÄN</t>
        </is>
      </c>
      <c r="E94" t="inlineStr">
        <is>
          <t>DEGERFORS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12143-2025</t>
        </is>
      </c>
      <c r="B95" s="1" t="n">
        <v>45729</v>
      </c>
      <c r="C95" s="1" t="n">
        <v>45937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45937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45937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52523-2024</t>
        </is>
      </c>
      <c r="B98" s="1" t="n">
        <v>45609</v>
      </c>
      <c r="C98" s="1" t="n">
        <v>45937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26170-2025</t>
        </is>
      </c>
      <c r="B99" s="1" t="n">
        <v>45805.46351851852</v>
      </c>
      <c r="C99" s="1" t="n">
        <v>45937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45937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48118-2023</t>
        </is>
      </c>
      <c r="B101" s="1" t="n">
        <v>45205</v>
      </c>
      <c r="C101" s="1" t="n">
        <v>45937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26147-2025</t>
        </is>
      </c>
      <c r="B102" s="1" t="n">
        <v>45805.4308912037</v>
      </c>
      <c r="C102" s="1" t="n">
        <v>45937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62972-2023</t>
        </is>
      </c>
      <c r="B103" s="1" t="n">
        <v>45272</v>
      </c>
      <c r="C103" s="1" t="n">
        <v>45937</v>
      </c>
      <c r="D103" t="inlineStr">
        <is>
          <t>ÖREBRO LÄN</t>
        </is>
      </c>
      <c r="E103" t="inlineStr">
        <is>
          <t>DEGERFORS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45937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60937-2024</t>
        </is>
      </c>
      <c r="B105" s="1" t="n">
        <v>45645.3683912037</v>
      </c>
      <c r="C105" s="1" t="n">
        <v>45937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60940-2024</t>
        </is>
      </c>
      <c r="B106" s="1" t="n">
        <v>45645.37079861111</v>
      </c>
      <c r="C106" s="1" t="n">
        <v>45937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45937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56886-2024</t>
        </is>
      </c>
      <c r="B108" s="1" t="n">
        <v>45628.57332175926</v>
      </c>
      <c r="C108" s="1" t="n">
        <v>45937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45937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50377-2024</t>
        </is>
      </c>
      <c r="B110" s="1" t="n">
        <v>45601.29576388889</v>
      </c>
      <c r="C110" s="1" t="n">
        <v>45937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52490-2024</t>
        </is>
      </c>
      <c r="B111" s="1" t="n">
        <v>45609.55875</v>
      </c>
      <c r="C111" s="1" t="n">
        <v>45937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44807-2023</t>
        </is>
      </c>
      <c r="B112" s="1" t="n">
        <v>45190.49269675926</v>
      </c>
      <c r="C112" s="1" t="n">
        <v>45937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58120-2024</t>
        </is>
      </c>
      <c r="B113" s="1" t="n">
        <v>45632.39280092593</v>
      </c>
      <c r="C113" s="1" t="n">
        <v>45937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58125-2024</t>
        </is>
      </c>
      <c r="B114" s="1" t="n">
        <v>45632.39546296297</v>
      </c>
      <c r="C114" s="1" t="n">
        <v>45937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52508-2024</t>
        </is>
      </c>
      <c r="B115" s="1" t="n">
        <v>45609</v>
      </c>
      <c r="C115" s="1" t="n">
        <v>45937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52528-2024</t>
        </is>
      </c>
      <c r="B116" s="1" t="n">
        <v>45609</v>
      </c>
      <c r="C116" s="1" t="n">
        <v>45937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51652-2023</t>
        </is>
      </c>
      <c r="B117" s="1" t="n">
        <v>45222</v>
      </c>
      <c r="C117" s="1" t="n">
        <v>45937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45937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21649-2024</t>
        </is>
      </c>
      <c r="B119" s="1" t="n">
        <v>45442.3671412037</v>
      </c>
      <c r="C119" s="1" t="n">
        <v>45937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28367-2025</t>
        </is>
      </c>
      <c r="B120" s="1" t="n">
        <v>45819</v>
      </c>
      <c r="C120" s="1" t="n">
        <v>45937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28368-2025</t>
        </is>
      </c>
      <c r="B121" s="1" t="n">
        <v>45819.21581018518</v>
      </c>
      <c r="C121" s="1" t="n">
        <v>45937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28370-2025</t>
        </is>
      </c>
      <c r="B122" s="1" t="n">
        <v>45819.22013888889</v>
      </c>
      <c r="C122" s="1" t="n">
        <v>45937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38874-2025</t>
        </is>
      </c>
      <c r="B123" s="1" t="n">
        <v>45887</v>
      </c>
      <c r="C123" s="1" t="n">
        <v>45937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38875-2025</t>
        </is>
      </c>
      <c r="B124" s="1" t="n">
        <v>45887</v>
      </c>
      <c r="C124" s="1" t="n">
        <v>45937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38872-2025</t>
        </is>
      </c>
      <c r="B125" s="1" t="n">
        <v>45887.5749074074</v>
      </c>
      <c r="C125" s="1" t="n">
        <v>45937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38782-2025</t>
        </is>
      </c>
      <c r="B126" s="1" t="n">
        <v>45887</v>
      </c>
      <c r="C126" s="1" t="n">
        <v>45937</v>
      </c>
      <c r="D126" t="inlineStr">
        <is>
          <t>ÖREBRO LÄN</t>
        </is>
      </c>
      <c r="E126" t="inlineStr">
        <is>
          <t>DEGERFORS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59206-2024</t>
        </is>
      </c>
      <c r="B127" s="1" t="n">
        <v>45636</v>
      </c>
      <c r="C127" s="1" t="n">
        <v>45937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33293-2023</t>
        </is>
      </c>
      <c r="B128" s="1" t="n">
        <v>45116</v>
      </c>
      <c r="C128" s="1" t="n">
        <v>45937</v>
      </c>
      <c r="D128" t="inlineStr">
        <is>
          <t>ÖREBRO LÄN</t>
        </is>
      </c>
      <c r="E128" t="inlineStr">
        <is>
          <t>DEGERFORS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45937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9525-2025</t>
        </is>
      </c>
      <c r="B130" s="1" t="n">
        <v>45715.56616898148</v>
      </c>
      <c r="C130" s="1" t="n">
        <v>45937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23066-2022</t>
        </is>
      </c>
      <c r="B131" s="1" t="n">
        <v>44719.45199074074</v>
      </c>
      <c r="C131" s="1" t="n">
        <v>45937</v>
      </c>
      <c r="D131" t="inlineStr">
        <is>
          <t>ÖREBRO LÄN</t>
        </is>
      </c>
      <c r="E131" t="inlineStr">
        <is>
          <t>DEGERFORS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38907-2023</t>
        </is>
      </c>
      <c r="B132" s="1" t="n">
        <v>45163</v>
      </c>
      <c r="C132" s="1" t="n">
        <v>45937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38910-2023</t>
        </is>
      </c>
      <c r="B133" s="1" t="n">
        <v>45163</v>
      </c>
      <c r="C133" s="1" t="n">
        <v>45937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47975-2025</t>
        </is>
      </c>
      <c r="B134" s="1" t="n">
        <v>45932</v>
      </c>
      <c r="C134" s="1" t="n">
        <v>45937</v>
      </c>
      <c r="D134" t="inlineStr">
        <is>
          <t>ÖREBRO LÄN</t>
        </is>
      </c>
      <c r="E134" t="inlineStr">
        <is>
          <t>DEGERFORS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47785-2025</t>
        </is>
      </c>
      <c r="B135" s="1" t="n">
        <v>45931</v>
      </c>
      <c r="C135" s="1" t="n">
        <v>45937</v>
      </c>
      <c r="D135" t="inlineStr">
        <is>
          <t>ÖREBRO LÄN</t>
        </is>
      </c>
      <c r="E135" t="inlineStr">
        <is>
          <t>DEGERFORS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47787-2025</t>
        </is>
      </c>
      <c r="B136" s="1" t="n">
        <v>45931</v>
      </c>
      <c r="C136" s="1" t="n">
        <v>45937</v>
      </c>
      <c r="D136" t="inlineStr">
        <is>
          <t>ÖREBRO LÄN</t>
        </is>
      </c>
      <c r="E136" t="inlineStr">
        <is>
          <t>DEGERFORS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47766-2025</t>
        </is>
      </c>
      <c r="B137" s="1" t="n">
        <v>45931</v>
      </c>
      <c r="C137" s="1" t="n">
        <v>45937</v>
      </c>
      <c r="D137" t="inlineStr">
        <is>
          <t>ÖREBRO LÄN</t>
        </is>
      </c>
      <c r="E137" t="inlineStr">
        <is>
          <t>DEGERFORS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43752-2025</t>
        </is>
      </c>
      <c r="B138" s="1" t="n">
        <v>45912</v>
      </c>
      <c r="C138" s="1" t="n">
        <v>45937</v>
      </c>
      <c r="D138" t="inlineStr">
        <is>
          <t>ÖREBRO LÄN</t>
        </is>
      </c>
      <c r="E138" t="inlineStr">
        <is>
          <t>DEGERFORS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48625-2025</t>
        </is>
      </c>
      <c r="B139" s="1" t="n">
        <v>45936.50938657407</v>
      </c>
      <c r="C139" s="1" t="n">
        <v>45937</v>
      </c>
      <c r="D139" t="inlineStr">
        <is>
          <t>ÖREBRO LÄN</t>
        </is>
      </c>
      <c r="E139" t="inlineStr">
        <is>
          <t>DEGERFORS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32154-2023</t>
        </is>
      </c>
      <c r="B140" s="1" t="n">
        <v>45119</v>
      </c>
      <c r="C140" s="1" t="n">
        <v>45937</v>
      </c>
      <c r="D140" t="inlineStr">
        <is>
          <t>ÖREBRO LÄN</t>
        </is>
      </c>
      <c r="E140" t="inlineStr">
        <is>
          <t>DEGERFORS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50764-2024</t>
        </is>
      </c>
      <c r="B141" s="1" t="n">
        <v>45602.43876157407</v>
      </c>
      <c r="C141" s="1" t="n">
        <v>45937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31603-2025</t>
        </is>
      </c>
      <c r="B142" s="1" t="n">
        <v>45833.73876157407</v>
      </c>
      <c r="C142" s="1" t="n">
        <v>45937</v>
      </c>
      <c r="D142" t="inlineStr">
        <is>
          <t>ÖREBRO LÄN</t>
        </is>
      </c>
      <c r="E142" t="inlineStr">
        <is>
          <t>DEGERFORS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54082-2024</t>
        </is>
      </c>
      <c r="B143" s="1" t="n">
        <v>45616.4956712963</v>
      </c>
      <c r="C143" s="1" t="n">
        <v>45937</v>
      </c>
      <c r="D143" t="inlineStr">
        <is>
          <t>ÖREBRO LÄN</t>
        </is>
      </c>
      <c r="E143" t="inlineStr">
        <is>
          <t>DEGERFORS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32300-2025</t>
        </is>
      </c>
      <c r="B144" s="1" t="n">
        <v>45835.71607638889</v>
      </c>
      <c r="C144" s="1" t="n">
        <v>45937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38904-2023</t>
        </is>
      </c>
      <c r="B145" s="1" t="n">
        <v>45163</v>
      </c>
      <c r="C145" s="1" t="n">
        <v>45937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38921-2023</t>
        </is>
      </c>
      <c r="B146" s="1" t="n">
        <v>45163</v>
      </c>
      <c r="C146" s="1" t="n">
        <v>45937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38915-2023</t>
        </is>
      </c>
      <c r="B147" s="1" t="n">
        <v>45163</v>
      </c>
      <c r="C147" s="1" t="n">
        <v>45937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48622-2025</t>
        </is>
      </c>
      <c r="B148" s="1" t="n">
        <v>45936.49850694444</v>
      </c>
      <c r="C148" s="1" t="n">
        <v>45937</v>
      </c>
      <c r="D148" t="inlineStr">
        <is>
          <t>ÖREBRO LÄN</t>
        </is>
      </c>
      <c r="E148" t="inlineStr">
        <is>
          <t>DEGERFORS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58479-2024</t>
        </is>
      </c>
      <c r="B149" s="1" t="n">
        <v>45635.38675925926</v>
      </c>
      <c r="C149" s="1" t="n">
        <v>45937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32717-2025</t>
        </is>
      </c>
      <c r="B150" s="1" t="n">
        <v>45839.37686342592</v>
      </c>
      <c r="C150" s="1" t="n">
        <v>45937</v>
      </c>
      <c r="D150" t="inlineStr">
        <is>
          <t>ÖREBRO LÄN</t>
        </is>
      </c>
      <c r="E150" t="inlineStr">
        <is>
          <t>DEGERFORS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8062-2024</t>
        </is>
      </c>
      <c r="B151" s="1" t="n">
        <v>45351</v>
      </c>
      <c r="C151" s="1" t="n">
        <v>45937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8074-2024</t>
        </is>
      </c>
      <c r="B152" s="1" t="n">
        <v>45351.42106481481</v>
      </c>
      <c r="C152" s="1" t="n">
        <v>45937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10672-2024</t>
        </is>
      </c>
      <c r="B153" s="1" t="n">
        <v>45369.35207175926</v>
      </c>
      <c r="C153" s="1" t="n">
        <v>45937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60907-2023</t>
        </is>
      </c>
      <c r="B154" s="1" t="n">
        <v>45261</v>
      </c>
      <c r="C154" s="1" t="n">
        <v>45937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9511-2025</t>
        </is>
      </c>
      <c r="B155" s="1" t="n">
        <v>45715.53921296296</v>
      </c>
      <c r="C155" s="1" t="n">
        <v>45937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48285-2023</t>
        </is>
      </c>
      <c r="B156" s="1" t="n">
        <v>45205.55755787037</v>
      </c>
      <c r="C156" s="1" t="n">
        <v>45937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33404-2025</t>
        </is>
      </c>
      <c r="B157" s="1" t="n">
        <v>45841</v>
      </c>
      <c r="C157" s="1" t="n">
        <v>45937</v>
      </c>
      <c r="D157" t="inlineStr">
        <is>
          <t>ÖREBRO LÄN</t>
        </is>
      </c>
      <c r="E157" t="inlineStr">
        <is>
          <t>DEGERFORS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45937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44781.43078703704</v>
      </c>
      <c r="C159" s="1" t="n">
        <v>45937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36963-2021</t>
        </is>
      </c>
      <c r="B160" s="1" t="n">
        <v>44393</v>
      </c>
      <c r="C160" s="1" t="n">
        <v>45937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14678-2025</t>
        </is>
      </c>
      <c r="B161" s="1" t="n">
        <v>45742.56563657407</v>
      </c>
      <c r="C161" s="1" t="n">
        <v>45937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14681-2025</t>
        </is>
      </c>
      <c r="B162" s="1" t="n">
        <v>45742.56857638889</v>
      </c>
      <c r="C162" s="1" t="n">
        <v>45937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13412-2025</t>
        </is>
      </c>
      <c r="B163" s="1" t="n">
        <v>45736.27773148148</v>
      </c>
      <c r="C163" s="1" t="n">
        <v>45937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13414-2025</t>
        </is>
      </c>
      <c r="B164" s="1" t="n">
        <v>45736.2803125</v>
      </c>
      <c r="C164" s="1" t="n">
        <v>45937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59863-2024</t>
        </is>
      </c>
      <c r="B165" s="1" t="n">
        <v>45639</v>
      </c>
      <c r="C165" s="1" t="n">
        <v>45937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63905-2021</t>
        </is>
      </c>
      <c r="B166" s="1" t="n">
        <v>44509.65712962963</v>
      </c>
      <c r="C166" s="1" t="n">
        <v>45937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14677-2025</t>
        </is>
      </c>
      <c r="B167" s="1" t="n">
        <v>45742.56465277778</v>
      </c>
      <c r="C167" s="1" t="n">
        <v>45937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12148-2025</t>
        </is>
      </c>
      <c r="B168" s="1" t="n">
        <v>45729</v>
      </c>
      <c r="C168" s="1" t="n">
        <v>45937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14633-2025</t>
        </is>
      </c>
      <c r="B169" s="1" t="n">
        <v>45742</v>
      </c>
      <c r="C169" s="1" t="n">
        <v>45937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14634-2025</t>
        </is>
      </c>
      <c r="B170" s="1" t="n">
        <v>45742</v>
      </c>
      <c r="C170" s="1" t="n">
        <v>45937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46290-2024</t>
        </is>
      </c>
      <c r="B171" s="1" t="n">
        <v>45581.66018518519</v>
      </c>
      <c r="C171" s="1" t="n">
        <v>45937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41642-2025</t>
        </is>
      </c>
      <c r="B172" s="1" t="n">
        <v>45901</v>
      </c>
      <c r="C172" s="1" t="n">
        <v>45937</v>
      </c>
      <c r="D172" t="inlineStr">
        <is>
          <t>ÖREBRO LÄN</t>
        </is>
      </c>
      <c r="E172" t="inlineStr">
        <is>
          <t>DEGERFORS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35706-2025</t>
        </is>
      </c>
      <c r="B173" s="1" t="n">
        <v>45860.37125</v>
      </c>
      <c r="C173" s="1" t="n">
        <v>45937</v>
      </c>
      <c r="D173" t="inlineStr">
        <is>
          <t>ÖREBRO LÄN</t>
        </is>
      </c>
      <c r="E173" t="inlineStr">
        <is>
          <t>DEGERFORS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41766-2025</t>
        </is>
      </c>
      <c r="B174" s="1" t="n">
        <v>45902.54806712963</v>
      </c>
      <c r="C174" s="1" t="n">
        <v>45937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20577-2023</t>
        </is>
      </c>
      <c r="B175" s="1" t="n">
        <v>45057</v>
      </c>
      <c r="C175" s="1" t="n">
        <v>45937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41767-2025</t>
        </is>
      </c>
      <c r="B176" s="1" t="n">
        <v>45902.54892361111</v>
      </c>
      <c r="C176" s="1" t="n">
        <v>45937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10797-2023</t>
        </is>
      </c>
      <c r="B177" s="1" t="n">
        <v>44989</v>
      </c>
      <c r="C177" s="1" t="n">
        <v>45937</v>
      </c>
      <c r="D177" t="inlineStr">
        <is>
          <t>ÖREBRO LÄN</t>
        </is>
      </c>
      <c r="E177" t="inlineStr">
        <is>
          <t>DEGERFORS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16480-2025</t>
        </is>
      </c>
      <c r="B178" s="1" t="n">
        <v>45751.57702546296</v>
      </c>
      <c r="C178" s="1" t="n">
        <v>45937</v>
      </c>
      <c r="D178" t="inlineStr">
        <is>
          <t>ÖREBRO LÄN</t>
        </is>
      </c>
      <c r="E178" t="inlineStr">
        <is>
          <t>DEGERFORS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44457-2022</t>
        </is>
      </c>
      <c r="B179" s="1" t="n">
        <v>44839</v>
      </c>
      <c r="C179" s="1" t="n">
        <v>45937</v>
      </c>
      <c r="D179" t="inlineStr">
        <is>
          <t>ÖREBRO LÄN</t>
        </is>
      </c>
      <c r="E179" t="inlineStr">
        <is>
          <t>DEGERFORS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41369-2025</t>
        </is>
      </c>
      <c r="B180" s="1" t="n">
        <v>45900.56857638889</v>
      </c>
      <c r="C180" s="1" t="n">
        <v>45937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29482-2023</t>
        </is>
      </c>
      <c r="B181" s="1" t="n">
        <v>45106.57938657407</v>
      </c>
      <c r="C181" s="1" t="n">
        <v>45937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73693-2021</t>
        </is>
      </c>
      <c r="B182" s="1" t="n">
        <v>44552.48893518518</v>
      </c>
      <c r="C182" s="1" t="n">
        <v>45937</v>
      </c>
      <c r="D182" t="inlineStr">
        <is>
          <t>ÖREBRO LÄN</t>
        </is>
      </c>
      <c r="E182" t="inlineStr">
        <is>
          <t>DEGERFORS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13415-2025</t>
        </is>
      </c>
      <c r="B183" s="1" t="n">
        <v>45736.28094907408</v>
      </c>
      <c r="C183" s="1" t="n">
        <v>45937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73321-2021</t>
        </is>
      </c>
      <c r="B184" s="1" t="n">
        <v>44550</v>
      </c>
      <c r="C184" s="1" t="n">
        <v>45937</v>
      </c>
      <c r="D184" t="inlineStr">
        <is>
          <t>ÖREBRO LÄN</t>
        </is>
      </c>
      <c r="E184" t="inlineStr">
        <is>
          <t>DEGERFORS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36437-2024</t>
        </is>
      </c>
      <c r="B185" s="1" t="n">
        <v>45535</v>
      </c>
      <c r="C185" s="1" t="n">
        <v>45937</v>
      </c>
      <c r="D185" t="inlineStr">
        <is>
          <t>ÖREBRO LÄN</t>
        </is>
      </c>
      <c r="E185" t="inlineStr">
        <is>
          <t>DEGERFORS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43689-2025</t>
        </is>
      </c>
      <c r="B186" s="1" t="n">
        <v>45912.38899305555</v>
      </c>
      <c r="C186" s="1" t="n">
        <v>45937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43691-2025</t>
        </is>
      </c>
      <c r="B187" s="1" t="n">
        <v>45912.39130787037</v>
      </c>
      <c r="C187" s="1" t="n">
        <v>45937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58197-2024</t>
        </is>
      </c>
      <c r="B188" s="1" t="n">
        <v>45632.48092592593</v>
      </c>
      <c r="C188" s="1" t="n">
        <v>45937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43690-2025</t>
        </is>
      </c>
      <c r="B189" s="1" t="n">
        <v>45912.38975694445</v>
      </c>
      <c r="C189" s="1" t="n">
        <v>45937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43694-2025</t>
        </is>
      </c>
      <c r="B190" s="1" t="n">
        <v>45912.39295138889</v>
      </c>
      <c r="C190" s="1" t="n">
        <v>45937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43692-2025</t>
        </is>
      </c>
      <c r="B191" s="1" t="n">
        <v>45912.39221064815</v>
      </c>
      <c r="C191" s="1" t="n">
        <v>45937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23683-2025</t>
        </is>
      </c>
      <c r="B192" s="1" t="n">
        <v>45793.34197916667</v>
      </c>
      <c r="C192" s="1" t="n">
        <v>45937</v>
      </c>
      <c r="D192" t="inlineStr">
        <is>
          <t>ÖREBRO LÄN</t>
        </is>
      </c>
      <c r="E192" t="inlineStr">
        <is>
          <t>DEGERFORS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13236-2025</t>
        </is>
      </c>
      <c r="B193" s="1" t="n">
        <v>45735.47133101852</v>
      </c>
      <c r="C193" s="1" t="n">
        <v>45937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45365-2023</t>
        </is>
      </c>
      <c r="B194" s="1" t="n">
        <v>45192.69640046296</v>
      </c>
      <c r="C194" s="1" t="n">
        <v>45937</v>
      </c>
      <c r="D194" t="inlineStr">
        <is>
          <t>ÖREBRO LÄN</t>
        </is>
      </c>
      <c r="E194" t="inlineStr">
        <is>
          <t>DEGERFORS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36768-2025</t>
        </is>
      </c>
      <c r="B195" s="1" t="n">
        <v>45873.58413194444</v>
      </c>
      <c r="C195" s="1" t="n">
        <v>45937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36769-2025</t>
        </is>
      </c>
      <c r="B196" s="1" t="n">
        <v>45873.58680555555</v>
      </c>
      <c r="C196" s="1" t="n">
        <v>45937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45937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37672-2024</t>
        </is>
      </c>
      <c r="B198" s="1" t="n">
        <v>45541.57966435186</v>
      </c>
      <c r="C198" s="1" t="n">
        <v>45937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44735-2021</t>
        </is>
      </c>
      <c r="B199" s="1" t="n">
        <v>44438</v>
      </c>
      <c r="C199" s="1" t="n">
        <v>45937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44642-2025</t>
        </is>
      </c>
      <c r="B200" s="1" t="n">
        <v>45917.52719907407</v>
      </c>
      <c r="C200" s="1" t="n">
        <v>45937</v>
      </c>
      <c r="D200" t="inlineStr">
        <is>
          <t>ÖREBRO LÄN</t>
        </is>
      </c>
      <c r="E200" t="inlineStr">
        <is>
          <t>DEGERFORS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37333-2025</t>
        </is>
      </c>
      <c r="B201" s="1" t="n">
        <v>45876.66482638889</v>
      </c>
      <c r="C201" s="1" t="n">
        <v>45937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37265-2025</t>
        </is>
      </c>
      <c r="B202" s="1" t="n">
        <v>45876.46099537037</v>
      </c>
      <c r="C202" s="1" t="n">
        <v>45937</v>
      </c>
      <c r="D202" t="inlineStr">
        <is>
          <t>ÖREBRO LÄN</t>
        </is>
      </c>
      <c r="E202" t="inlineStr">
        <is>
          <t>DEGERFORS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11084-2023</t>
        </is>
      </c>
      <c r="B203" s="1" t="n">
        <v>44986</v>
      </c>
      <c r="C203" s="1" t="n">
        <v>45937</v>
      </c>
      <c r="D203" t="inlineStr">
        <is>
          <t>ÖREBRO LÄN</t>
        </is>
      </c>
      <c r="E203" t="inlineStr">
        <is>
          <t>DEGERFORS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56478-2024</t>
        </is>
      </c>
      <c r="B204" s="1" t="n">
        <v>45624</v>
      </c>
      <c r="C204" s="1" t="n">
        <v>45937</v>
      </c>
      <c r="D204" t="inlineStr">
        <is>
          <t>ÖREBRO LÄN</t>
        </is>
      </c>
      <c r="E204" t="inlineStr">
        <is>
          <t>DEGERFORS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46147-2024</t>
        </is>
      </c>
      <c r="B205" s="1" t="n">
        <v>45581.45158564814</v>
      </c>
      <c r="C205" s="1" t="n">
        <v>45937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56464-2024</t>
        </is>
      </c>
      <c r="B206" s="1" t="n">
        <v>45624</v>
      </c>
      <c r="C206" s="1" t="n">
        <v>45937</v>
      </c>
      <c r="D206" t="inlineStr">
        <is>
          <t>ÖREBRO LÄN</t>
        </is>
      </c>
      <c r="E206" t="inlineStr">
        <is>
          <t>DEGERFORS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2565-2022</t>
        </is>
      </c>
      <c r="B207" s="1" t="n">
        <v>44579</v>
      </c>
      <c r="C207" s="1" t="n">
        <v>45937</v>
      </c>
      <c r="D207" t="inlineStr">
        <is>
          <t>ÖREBRO LÄN</t>
        </is>
      </c>
      <c r="E207" t="inlineStr">
        <is>
          <t>DEGERFORS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60933-2024</t>
        </is>
      </c>
      <c r="B208" s="1" t="n">
        <v>45645.36615740741</v>
      </c>
      <c r="C208" s="1" t="n">
        <v>45937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47941-2024</t>
        </is>
      </c>
      <c r="B209" s="1" t="n">
        <v>45589.34931712963</v>
      </c>
      <c r="C209" s="1" t="n">
        <v>45937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61750-2021</t>
        </is>
      </c>
      <c r="B210" s="1" t="n">
        <v>44501.64055555555</v>
      </c>
      <c r="C210" s="1" t="n">
        <v>45937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12678-2025</t>
        </is>
      </c>
      <c r="B211" s="1" t="n">
        <v>45733.44137731481</v>
      </c>
      <c r="C211" s="1" t="n">
        <v>45937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29607-2022</t>
        </is>
      </c>
      <c r="B212" s="1" t="n">
        <v>44754.50530092593</v>
      </c>
      <c r="C212" s="1" t="n">
        <v>45937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6240-2024</t>
        </is>
      </c>
      <c r="B213" s="1" t="n">
        <v>45337</v>
      </c>
      <c r="C213" s="1" t="n">
        <v>45937</v>
      </c>
      <c r="D213" t="inlineStr">
        <is>
          <t>ÖREBRO LÄN</t>
        </is>
      </c>
      <c r="E213" t="inlineStr">
        <is>
          <t>DEGERFORS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45937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15594-2025</t>
        </is>
      </c>
      <c r="B215" s="1" t="n">
        <v>45747.88466435186</v>
      </c>
      <c r="C215" s="1" t="n">
        <v>45937</v>
      </c>
      <c r="D215" t="inlineStr">
        <is>
          <t>ÖREBRO LÄN</t>
        </is>
      </c>
      <c r="E215" t="inlineStr">
        <is>
          <t>DEGERFORS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46222-2024</t>
        </is>
      </c>
      <c r="B216" s="1" t="n">
        <v>45581.56938657408</v>
      </c>
      <c r="C216" s="1" t="n">
        <v>45937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45937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45937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45937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45937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45937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45937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45937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45937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45937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45937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45937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45937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45937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45937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45937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45937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45937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7975-2025</t>
        </is>
      </c>
      <c r="B234" s="1" t="n">
        <v>45707.46203703704</v>
      </c>
      <c r="C234" s="1" t="n">
        <v>45937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2025-10-07T12:33:39Z</dcterms:created>
  <dcterms:modified xmlns:dcterms="http://purl.org/dc/terms/" xmlns:xsi="http://www.w3.org/2001/XMLSchema-instance" xsi:type="dcterms:W3CDTF">2025-10-07T12:33:40Z</dcterms:modified>
</cp:coreProperties>
</file>