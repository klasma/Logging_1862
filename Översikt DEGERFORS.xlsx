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46310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46310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46310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46310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46310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46310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46310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46310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46310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46310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46310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46310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46310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46310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46310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46310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46310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46310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46310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40870-2024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46310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1.9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Spillkråka</t>
        </is>
      </c>
      <c r="W28">
        <f>HYPERLINK("https://klasma.github.io/Logging_1862/artfynd/A 40870-2024 artfynd.xlsx", "A 40870-2024")</f>
        <v/>
      </c>
      <c r="X28">
        <f>HYPERLINK("https://klasma.github.io/Logging_1862/kartor/A 40870-2024 karta.png", "A 40870-2024")</f>
        <v/>
      </c>
      <c r="Y28">
        <f>HYPERLINK("https://klasma.github.io/Logging_1862/kartor_geotiff/A 40870-2024 georefererad karta.tif", "A 40870-2024")</f>
        <v/>
      </c>
      <c r="AA28">
        <f>HYPERLINK("https://klasma.github.io/Logging_1862/klagomål/A 40870-2024 FSC-klagomål.docx", "A 40870-2024")</f>
        <v/>
      </c>
      <c r="AB28">
        <f>HYPERLINK("https://klasma.github.io/Logging_1862/klagomålsmail/A 40870-2024 FSC-klagomål mail.docx", "A 40870-2024")</f>
        <v/>
      </c>
      <c r="AC28">
        <f>HYPERLINK("https://klasma.github.io/Logging_1862/tillsyn/A 40870-2024 tillsynsbegäran.docx", "A 40870-2024")</f>
        <v/>
      </c>
      <c r="AD28">
        <f>HYPERLINK("https://klasma.github.io/Logging_1862/tillsynsmail/A 40870-2024 tillsynsbegäran mail.docx", "A 40870-2024")</f>
        <v/>
      </c>
      <c r="AE28">
        <f>HYPERLINK("https://klasma.github.io/Logging_1862/fåglar/A 40870-2024 prioriterade fågelarter.docx", "A 40870-2024")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46310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38914-2023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46310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38914-2023 artfynd.xlsx", "A 38914-2023")</f>
        <v/>
      </c>
      <c r="X31">
        <f>HYPERLINK("https://klasma.github.io/Logging_1862/kartor/A 38914-2023 karta.png", "A 38914-2023")</f>
        <v/>
      </c>
      <c r="Y31">
        <f>HYPERLINK("https://klasma.github.io/Logging_1862/kartor_geotiff/A 38914-2023 georefererad karta.tif", "A 38914-2023")</f>
        <v/>
      </c>
      <c r="AA31">
        <f>HYPERLINK("https://klasma.github.io/Logging_1862/klagomål/A 38914-2023 FSC-klagomål.docx", "A 38914-2023")</f>
        <v/>
      </c>
      <c r="AB31">
        <f>HYPERLINK("https://klasma.github.io/Logging_1862/klagomålsmail/A 38914-2023 FSC-klagomål mail.docx", "A 38914-2023")</f>
        <v/>
      </c>
      <c r="AC31">
        <f>HYPERLINK("https://klasma.github.io/Logging_1862/tillsyn/A 38914-2023 tillsynsbegäran.docx", "A 38914-2023")</f>
        <v/>
      </c>
      <c r="AD31">
        <f>HYPERLINK("https://klasma.github.io/Logging_1862/tillsynsmail/A 38914-2023 tillsynsbegäran mail.docx", "A 38914-2023")</f>
        <v/>
      </c>
      <c r="AE31">
        <f>HYPERLINK("https://klasma.github.io/Logging_1862/fåglar/A 38914-2023 prioriterade fågelarter.docx", "A 38914-2023")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46310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46310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46310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33297-2023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45116</v>
      </c>
      <c r="E35" s="1" t="n">
        <v>46310</v>
      </c>
      <c r="F35" t="inlineStr">
        <is>
          <t>ÖREBRO LÄN</t>
        </is>
      </c>
      <c r="G35" t="inlineStr">
        <is>
          <t>DEGERFORS</t>
        </is>
      </c>
      <c r="I35" t="n">
        <v>7.2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HYPERLINK("https://klasma.github.io/Logging_1862/artfynd/A 33297-2023 artfynd.xlsx", "A 33297-2023")</f>
        <v/>
      </c>
      <c r="X35">
        <f>HYPERLINK("https://klasma.github.io/Logging_1862/kartor/A 33297-2023 karta.png", "A 33297-2023")</f>
        <v/>
      </c>
      <c r="Y35">
        <f>HYPERLINK("https://klasma.github.io/Logging_1862/kartor_geotiff/A 33297-2023 georefererad karta.tif", "A 33297-2023")</f>
        <v/>
      </c>
      <c r="AA35">
        <f>HYPERLINK("https://klasma.github.io/Logging_1862/klagomål/A 33297-2023 FSC-klagomål.docx", "A 33297-2023")</f>
        <v/>
      </c>
      <c r="AB35">
        <f>HYPERLINK("https://klasma.github.io/Logging_1862/klagomålsmail/A 33297-2023 FSC-klagomål mail.docx", "A 33297-2023")</f>
        <v/>
      </c>
      <c r="AC35">
        <f>HYPERLINK("https://klasma.github.io/Logging_1862/tillsyn/A 33297-2023 tillsynsbegäran.docx", "A 33297-2023")</f>
        <v/>
      </c>
      <c r="AD35">
        <f>HYPERLINK("https://klasma.github.io/Logging_1862/tillsynsmail/A 33297-2023 tillsynsbegäran mail.docx", "A 33297-2023")</f>
        <v/>
      </c>
    </row>
    <row r="36" ht="15" customHeight="1">
      <c r="A36" t="inlineStr">
        <is>
          <t>A 38904-2023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45163</v>
      </c>
      <c r="E36" s="1" t="n">
        <v>46310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38904-2023 artfynd.xlsx", "A 38904-2023")</f>
        <v/>
      </c>
      <c r="X36">
        <f>HYPERLINK("https://klasma.github.io/Logging_1862/kartor/A 38904-2023 karta.png", "A 38904-2023")</f>
        <v/>
      </c>
      <c r="Y36">
        <f>HYPERLINK("https://klasma.github.io/Logging_1862/kartor_geotiff/A 38904-2023 georefererad karta.tif", "A 38904-2023")</f>
        <v/>
      </c>
      <c r="AA36">
        <f>HYPERLINK("https://klasma.github.io/Logging_1862/klagomål/A 38904-2023 FSC-klagomål.docx", "A 38904-2023")</f>
        <v/>
      </c>
      <c r="AB36">
        <f>HYPERLINK("https://klasma.github.io/Logging_1862/klagomålsmail/A 38904-2023 FSC-klagomål mail.docx", "A 38904-2023")</f>
        <v/>
      </c>
      <c r="AC36">
        <f>HYPERLINK("https://klasma.github.io/Logging_1862/tillsyn/A 38904-2023 tillsynsbegäran.docx", "A 38904-2023")</f>
        <v/>
      </c>
      <c r="AD36">
        <f>HYPERLINK("https://klasma.github.io/Logging_1862/tillsynsmail/A 38904-2023 tillsynsbegäran mail.docx", "A 38904-2023")</f>
        <v/>
      </c>
      <c r="AE36">
        <f>HYPERLINK("https://klasma.github.io/Logging_1862/fåglar/A 38904-2023 prioriterade fågelarter.docx", "A 38904-2023")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46310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27093-2023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46310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27093-2023 artfynd.xlsx", "A 27093-2023")</f>
        <v/>
      </c>
      <c r="X38">
        <f>HYPERLINK("https://klasma.github.io/Logging_1862/kartor/A 27093-2023 karta.png", "A 27093-2023")</f>
        <v/>
      </c>
      <c r="Y38">
        <f>HYPERLINK("https://klasma.github.io/Logging_1862/kartor_geotiff/A 27093-2023 georefererad karta.tif", "A 27093-2023")</f>
        <v/>
      </c>
      <c r="AA38">
        <f>HYPERLINK("https://klasma.github.io/Logging_1862/klagomål/A 27093-2023 FSC-klagomål.docx", "A 27093-2023")</f>
        <v/>
      </c>
      <c r="AB38">
        <f>HYPERLINK("https://klasma.github.io/Logging_1862/klagomålsmail/A 27093-2023 FSC-klagomål mail.docx", "A 27093-2023")</f>
        <v/>
      </c>
      <c r="AC38">
        <f>HYPERLINK("https://klasma.github.io/Logging_1862/tillsyn/A 27093-2023 tillsynsbegäran.docx", "A 27093-2023")</f>
        <v/>
      </c>
      <c r="AD38">
        <f>HYPERLINK("https://klasma.github.io/Logging_1862/tillsynsmail/A 27093-2023 tillsynsbegäran mail.docx", "A 27093-2023")</f>
        <v/>
      </c>
      <c r="AE38">
        <f>HYPERLINK("https://klasma.github.io/Logging_1862/fåglar/A 27093-2023 prioriterade fågelarter.docx", "A 27093-2023")</f>
        <v/>
      </c>
    </row>
    <row r="39" ht="15" customHeight="1">
      <c r="A39" t="inlineStr">
        <is>
          <t>A 14177-2026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46310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HYPERLINK("https://klasma.github.io/Logging_1862/artfynd/A 14177-2026 artfynd.xlsx", "A 14177-2026")</f>
        <v/>
      </c>
      <c r="X39">
        <f>HYPERLINK("https://klasma.github.io/Logging_1862/kartor/A 14177-2026 karta.png", "A 14177-2026")</f>
        <v/>
      </c>
      <c r="Y39">
        <f>HYPERLINK("https://klasma.github.io/Logging_1862/kartor_geotiff/A 14177-2026 georefererad karta.tif", "A 14177-2026")</f>
        <v/>
      </c>
      <c r="AA39">
        <f>HYPERLINK("https://klasma.github.io/Logging_1862/klagomål/A 14177-2026 FSC-klagomål.docx", "A 14177-2026")</f>
        <v/>
      </c>
      <c r="AB39">
        <f>HYPERLINK("https://klasma.github.io/Logging_1862/klagomålsmail/A 14177-2026 FSC-klagomål mail.docx", "A 14177-2026")</f>
        <v/>
      </c>
      <c r="AC39">
        <f>HYPERLINK("https://klasma.github.io/Logging_1862/tillsyn/A 14177-2026 tillsynsbegäran.docx", "A 14177-2026")</f>
        <v/>
      </c>
      <c r="AD39">
        <f>HYPERLINK("https://klasma.github.io/Logging_1862/tillsynsmail/A 14177-2026 tillsynsbegäran mail.docx", "A 14177-2026")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46310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46310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46310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14121-2022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46310</v>
      </c>
      <c r="F43" t="inlineStr">
        <is>
          <t>ÖREBRO LÄN</t>
        </is>
      </c>
      <c r="G43" t="inlineStr">
        <is>
          <t>DEGERFORS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Hårklomossa</t>
        </is>
      </c>
      <c r="W43">
        <f>HYPERLINK("https://klasma.github.io/Logging_1862/artfynd/A 14121-2022 artfynd.xlsx", "A 14121-2022")</f>
        <v/>
      </c>
      <c r="X43">
        <f>HYPERLINK("https://klasma.github.io/Logging_1862/kartor/A 14121-2022 karta.png", "A 14121-2022")</f>
        <v/>
      </c>
      <c r="Y43">
        <f>HYPERLINK("https://klasma.github.io/Logging_1862/kartor_geotiff/A 14121-2022 georefererad karta.tif", "A 14121-2022")</f>
        <v/>
      </c>
      <c r="AA43">
        <f>HYPERLINK("https://klasma.github.io/Logging_1862/klagomål/A 14121-2022 FSC-klagomål.docx", "A 14121-2022")</f>
        <v/>
      </c>
      <c r="AB43">
        <f>HYPERLINK("https://klasma.github.io/Logging_1862/klagomålsmail/A 14121-2022 FSC-klagomål mail.docx", "A 14121-2022")</f>
        <v/>
      </c>
      <c r="AC43">
        <f>HYPERLINK("https://klasma.github.io/Logging_1862/tillsyn/A 14121-2022 tillsynsbegäran.docx", "A 14121-2022")</f>
        <v/>
      </c>
      <c r="AD43">
        <f>HYPERLINK("https://klasma.github.io/Logging_1862/tillsynsmail/A 14121-2022 tillsynsbegäran mail.docx", "A 14121-2022")</f>
        <v/>
      </c>
    </row>
    <row r="44" ht="15" customHeight="1">
      <c r="A44" t="inlineStr">
        <is>
          <t>A 47941-2024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46310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Brunfläckig pärlemorfjäril</t>
        </is>
      </c>
      <c r="W44">
        <f>HYPERLINK("https://klasma.github.io/Logging_1862/artfynd/A 47941-2024 artfynd.xlsx", "A 47941-2024")</f>
        <v/>
      </c>
      <c r="X44">
        <f>HYPERLINK("https://klasma.github.io/Logging_1862/kartor/A 47941-2024 karta.png", "A 47941-2024")</f>
        <v/>
      </c>
      <c r="Y44">
        <f>HYPERLINK("https://klasma.github.io/Logging_1862/kartor_geotiff/A 47941-2024 georefererad karta.tif", "A 47941-2024")</f>
        <v/>
      </c>
      <c r="AA44">
        <f>HYPERLINK("https://klasma.github.io/Logging_1862/klagomål/A 47941-2024 FSC-klagomål.docx", "A 47941-2024")</f>
        <v/>
      </c>
      <c r="AB44">
        <f>HYPERLINK("https://klasma.github.io/Logging_1862/klagomålsmail/A 47941-2024 FSC-klagomål mail.docx", "A 47941-2024")</f>
        <v/>
      </c>
      <c r="AC44">
        <f>HYPERLINK("https://klasma.github.io/Logging_1862/tillsyn/A 47941-2024 tillsynsbegäran.docx", "A 47941-2024")</f>
        <v/>
      </c>
      <c r="AD44">
        <f>HYPERLINK("https://klasma.github.io/Logging_1862/tillsynsmail/A 47941-2024 tillsynsbegäran mail.docx", "A 47941-2024")</f>
        <v/>
      </c>
    </row>
    <row r="45" ht="15" customHeight="1">
      <c r="A45" t="inlineStr">
        <is>
          <t>A 27071-2026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46310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HYPERLINK("https://klasma.github.io/Logging_1862/artfynd/A 27071-2026 artfynd.xlsx", "A 27071-2026")</f>
        <v/>
      </c>
      <c r="X45">
        <f>HYPERLINK("https://klasma.github.io/Logging_1862/kartor/A 27071-2026 karta.png", "A 27071-2026")</f>
        <v/>
      </c>
      <c r="Y45">
        <f>HYPERLINK("https://klasma.github.io/Logging_1862/kartor_geotiff/A 27071-2026 georefererad karta.tif", "A 27071-2026")</f>
        <v/>
      </c>
      <c r="AA45">
        <f>HYPERLINK("https://klasma.github.io/Logging_1862/klagomål/A 27071-2026 FSC-klagomål.docx", "A 27071-2026")</f>
        <v/>
      </c>
      <c r="AB45">
        <f>HYPERLINK("https://klasma.github.io/Logging_1862/klagomålsmail/A 27071-2026 FSC-klagomål mail.docx", "A 27071-2026")</f>
        <v/>
      </c>
      <c r="AC45">
        <f>HYPERLINK("https://klasma.github.io/Logging_1862/tillsyn/A 27071-2026 tillsynsbegäran.docx", "A 27071-2026")</f>
        <v/>
      </c>
      <c r="AD45">
        <f>HYPERLINK("https://klasma.github.io/Logging_1862/tillsynsmail/A 27071-2026 tillsynsbegäran mail.docx", "A 27071-2026")</f>
        <v/>
      </c>
    </row>
    <row r="46" ht="15" customHeight="1">
      <c r="A46" t="inlineStr">
        <is>
          <t>A 27072-2026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46310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7.6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HYPERLINK("https://klasma.github.io/Logging_1862/artfynd/A 27072-2026 artfynd.xlsx", "A 27072-2026")</f>
        <v/>
      </c>
      <c r="X46">
        <f>HYPERLINK("https://klasma.github.io/Logging_1862/kartor/A 27072-2026 karta.png", "A 27072-2026")</f>
        <v/>
      </c>
      <c r="Y46">
        <f>HYPERLINK("https://klasma.github.io/Logging_1862/kartor_geotiff/A 27072-2026 georefererad karta.tif", "A 27072-2026")</f>
        <v/>
      </c>
      <c r="AA46">
        <f>HYPERLINK("https://klasma.github.io/Logging_1862/klagomål/A 27072-2026 FSC-klagomål.docx", "A 27072-2026")</f>
        <v/>
      </c>
      <c r="AB46">
        <f>HYPERLINK("https://klasma.github.io/Logging_1862/klagomålsmail/A 27072-2026 FSC-klagomål mail.docx", "A 27072-2026")</f>
        <v/>
      </c>
      <c r="AC46">
        <f>HYPERLINK("https://klasma.github.io/Logging_1862/tillsyn/A 27072-2026 tillsynsbegäran.docx", "A 27072-2026")</f>
        <v/>
      </c>
      <c r="AD46">
        <f>HYPERLINK("https://klasma.github.io/Logging_1862/tillsynsmail/A 27072-2026 tillsynsbegäran mail.docx", "A 27072-2026")</f>
        <v/>
      </c>
      <c r="AE46">
        <f>HYPERLINK("https://klasma.github.io/Logging_1862/fåglar/A 27072-2026 prioriterade fågelarter.docx", "A 27072-2026")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46310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46310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42337-2026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46310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4.7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42337-2026 artfynd.xlsx", "A 42337-2026")</f>
        <v/>
      </c>
      <c r="X49">
        <f>HYPERLINK("https://klasma.github.io/Logging_1862/kartor/A 42337-2026 karta.png", "A 42337-2026")</f>
        <v/>
      </c>
      <c r="Y49">
        <f>HYPERLINK("https://klasma.github.io/Logging_1862/kartor_geotiff/A 42337-2026 georefererad karta.tif", "A 42337-2026")</f>
        <v/>
      </c>
      <c r="AA49">
        <f>HYPERLINK("https://klasma.github.io/Logging_1862/klagomål/A 42337-2026 FSC-klagomål.docx", "A 42337-2026")</f>
        <v/>
      </c>
      <c r="AB49">
        <f>HYPERLINK("https://klasma.github.io/Logging_1862/klagomålsmail/A 42337-2026 FSC-klagomål mail.docx", "A 42337-2026")</f>
        <v/>
      </c>
      <c r="AC49">
        <f>HYPERLINK("https://klasma.github.io/Logging_1862/tillsyn/A 42337-2026 tillsynsbegäran.docx", "A 42337-2026")</f>
        <v/>
      </c>
      <c r="AD49">
        <f>HYPERLINK("https://klasma.github.io/Logging_1862/tillsynsmail/A 42337-2026 tillsynsbegäran mail.docx", "A 42337-2026")</f>
        <v/>
      </c>
    </row>
    <row r="50" ht="15" customHeight="1">
      <c r="A50" t="inlineStr">
        <is>
          <t>A 53838-2024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46310</v>
      </c>
      <c r="F50" t="inlineStr">
        <is>
          <t>ÖREBRO LÄN</t>
        </is>
      </c>
      <c r="G50" t="inlineStr">
        <is>
          <t>DEGERFORS</t>
        </is>
      </c>
      <c r="I50" t="n">
        <v>4.3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53838-2024 artfynd.xlsx", "A 53838-2024")</f>
        <v/>
      </c>
      <c r="X50">
        <f>HYPERLINK("https://klasma.github.io/Logging_1862/kartor/A 53838-2024 karta.png", "A 53838-2024")</f>
        <v/>
      </c>
      <c r="Y50">
        <f>HYPERLINK("https://klasma.github.io/Logging_1862/kartor_geotiff/A 53838-2024 georefererad karta.tif", "A 53838-2024")</f>
        <v/>
      </c>
      <c r="AA50">
        <f>HYPERLINK("https://klasma.github.io/Logging_1862/klagomål/A 53838-2024 FSC-klagomål.docx", "A 53838-2024")</f>
        <v/>
      </c>
      <c r="AB50">
        <f>HYPERLINK("https://klasma.github.io/Logging_1862/klagomålsmail/A 53838-2024 FSC-klagomål mail.docx", "A 53838-2024")</f>
        <v/>
      </c>
      <c r="AC50">
        <f>HYPERLINK("https://klasma.github.io/Logging_1862/tillsyn/A 53838-2024 tillsynsbegäran.docx", "A 53838-2024")</f>
        <v/>
      </c>
      <c r="AD50">
        <f>HYPERLINK("https://klasma.github.io/Logging_1862/tillsynsmail/A 53838-2024 tillsynsbegäran mail.docx", "A 53838-2024")</f>
        <v/>
      </c>
      <c r="AE50">
        <f>HYPERLINK("https://klasma.github.io/Logging_1862/fåglar/A 53838-2024 prioriterade fågelarter.docx", "A 53838-2024")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46310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36798-2022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46310</v>
      </c>
      <c r="F52" t="inlineStr">
        <is>
          <t>ÖREBRO LÄN</t>
        </is>
      </c>
      <c r="G52" t="inlineStr">
        <is>
          <t>DEGERFORS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46310</v>
      </c>
      <c r="F53" t="inlineStr">
        <is>
          <t>ÖREBRO LÄN</t>
        </is>
      </c>
      <c r="G53" t="inlineStr">
        <is>
          <t>DEGERFORS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50599-2022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46310</v>
      </c>
      <c r="F54" t="inlineStr">
        <is>
          <t>ÖREBRO LÄN</t>
        </is>
      </c>
      <c r="G54" t="inlineStr">
        <is>
          <t>DEGERFORS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7510-2022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44607</v>
      </c>
      <c r="E55" s="1" t="n">
        <v>46310</v>
      </c>
      <c r="F55" t="inlineStr">
        <is>
          <t>ÖREBRO LÄN</t>
        </is>
      </c>
      <c r="G55" t="inlineStr">
        <is>
          <t>DEGERFORS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46310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44609</v>
      </c>
      <c r="E57" s="1" t="n">
        <v>46310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60889-2021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44497</v>
      </c>
      <c r="E58" s="1" t="n">
        <v>46310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46310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46310</v>
      </c>
      <c r="F60" t="inlineStr">
        <is>
          <t>ÖREBRO LÄN</t>
        </is>
      </c>
      <c r="G60" t="inlineStr">
        <is>
          <t>DEGERFORS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23460-2024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45453</v>
      </c>
      <c r="E61" s="1" t="n">
        <v>46310</v>
      </c>
      <c r="F61" t="inlineStr">
        <is>
          <t>ÖREBRO LÄN</t>
        </is>
      </c>
      <c r="G61" t="inlineStr">
        <is>
          <t>DEGERFORS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46310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45798</v>
      </c>
      <c r="E63" s="1" t="n">
        <v>46310</v>
      </c>
      <c r="F63" t="inlineStr">
        <is>
          <t>ÖREBRO LÄN</t>
        </is>
      </c>
      <c r="G63" t="inlineStr">
        <is>
          <t>DEGERFORS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46310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46310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44643</v>
      </c>
      <c r="E66" s="1" t="n">
        <v>46310</v>
      </c>
      <c r="F66" t="inlineStr">
        <is>
          <t>ÖREBRO LÄN</t>
        </is>
      </c>
      <c r="G66" t="inlineStr">
        <is>
          <t>DEGERFORS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46310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46310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46310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45810</v>
      </c>
      <c r="E70" s="1" t="n">
        <v>46310</v>
      </c>
      <c r="F70" t="inlineStr">
        <is>
          <t>ÖREBRO LÄN</t>
        </is>
      </c>
      <c r="G70" t="inlineStr">
        <is>
          <t>DEGERFORS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45810</v>
      </c>
      <c r="E71" s="1" t="n">
        <v>46310</v>
      </c>
      <c r="F71" t="inlineStr">
        <is>
          <t>ÖREBRO LÄN</t>
        </is>
      </c>
      <c r="G71" t="inlineStr">
        <is>
          <t>DEGERFORS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45819</v>
      </c>
      <c r="E72" s="1" t="n">
        <v>46310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28368-2025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46310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8.1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44719</v>
      </c>
      <c r="E74" s="1" t="n">
        <v>46310</v>
      </c>
      <c r="F74" t="inlineStr">
        <is>
          <t>ÖREBRO LÄN</t>
        </is>
      </c>
      <c r="G74" t="inlineStr">
        <is>
          <t>DEGERFORS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46310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46310</v>
      </c>
      <c r="F76" t="inlineStr">
        <is>
          <t>ÖREBRO LÄN</t>
        </is>
      </c>
      <c r="G76" t="inlineStr">
        <is>
          <t>DEGERFORS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46310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45707</v>
      </c>
      <c r="E78" s="1" t="n">
        <v>46310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46310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46310</v>
      </c>
      <c r="F80" t="inlineStr">
        <is>
          <t>ÖREBRO LÄN</t>
        </is>
      </c>
      <c r="G80" t="inlineStr">
        <is>
          <t>DEGERFORS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37672-2024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45541</v>
      </c>
      <c r="E81" s="1" t="n">
        <v>46310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45639</v>
      </c>
      <c r="E82" s="1" t="n">
        <v>46310</v>
      </c>
      <c r="F82" t="inlineStr">
        <is>
          <t>ÖREBRO LÄN</t>
        </is>
      </c>
      <c r="G82" t="inlineStr">
        <is>
          <t>DEGERFORS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45624</v>
      </c>
      <c r="E83" s="1" t="n">
        <v>46310</v>
      </c>
      <c r="F83" t="inlineStr">
        <is>
          <t>ÖREBRO LÄN</t>
        </is>
      </c>
      <c r="G83" t="inlineStr">
        <is>
          <t>DEGERFORS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46310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46310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46310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21952-2024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45443</v>
      </c>
      <c r="E87" s="1" t="n">
        <v>46310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46310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46310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46310</v>
      </c>
      <c r="F90" t="inlineStr">
        <is>
          <t>ÖREBRO LÄN</t>
        </is>
      </c>
      <c r="G90" t="inlineStr">
        <is>
          <t>DEGERFORS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46310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37333-2025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45876</v>
      </c>
      <c r="E92" s="1" t="n">
        <v>46310</v>
      </c>
      <c r="F92" t="inlineStr">
        <is>
          <t>ÖREBRO LÄN</t>
        </is>
      </c>
      <c r="G92" t="inlineStr">
        <is>
          <t>DEGERFORS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37265-2025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45876</v>
      </c>
      <c r="E93" s="1" t="n">
        <v>46310</v>
      </c>
      <c r="F93" t="inlineStr">
        <is>
          <t>ÖREBRO LÄN</t>
        </is>
      </c>
      <c r="G93" t="inlineStr">
        <is>
          <t>DEGERFORS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45535</v>
      </c>
      <c r="E94" s="1" t="n">
        <v>46310</v>
      </c>
      <c r="F94" t="inlineStr">
        <is>
          <t>ÖREBRO LÄN</t>
        </is>
      </c>
      <c r="G94" t="inlineStr">
        <is>
          <t>DEGERFORS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46310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46310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46310</v>
      </c>
      <c r="F97" t="inlineStr">
        <is>
          <t>ÖREBRO LÄN</t>
        </is>
      </c>
      <c r="G97" t="inlineStr">
        <is>
          <t>DEGERFORS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46310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46310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44579</v>
      </c>
      <c r="E100" s="1" t="n">
        <v>46310</v>
      </c>
      <c r="F100" t="inlineStr">
        <is>
          <t>ÖREBRO LÄN</t>
        </is>
      </c>
      <c r="G100" t="inlineStr">
        <is>
          <t>DEGERFORS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46310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12143-2025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45729</v>
      </c>
      <c r="E102" s="1" t="n">
        <v>46310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46310</v>
      </c>
      <c r="F103" t="inlineStr">
        <is>
          <t>ÖREBRO LÄN</t>
        </is>
      </c>
      <c r="G103" t="inlineStr">
        <is>
          <t>DEGERFORS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12159-2026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46310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46310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46310</v>
      </c>
      <c r="F106" t="inlineStr">
        <is>
          <t>ÖREBRO LÄN</t>
        </is>
      </c>
      <c r="G106" t="inlineStr">
        <is>
          <t>DEGERFORS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46310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46092</v>
      </c>
      <c r="E108" s="1" t="n">
        <v>46310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46310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46310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46310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20577-2023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45057</v>
      </c>
      <c r="E112" s="1" t="n">
        <v>46310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46310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60907-2023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45261</v>
      </c>
      <c r="E114" s="1" t="n">
        <v>46310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45192</v>
      </c>
      <c r="E115" s="1" t="n">
        <v>46310</v>
      </c>
      <c r="F115" t="inlineStr">
        <is>
          <t>ÖREBRO LÄN</t>
        </is>
      </c>
      <c r="G115" t="inlineStr">
        <is>
          <t>DEGERFORS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46310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45338</v>
      </c>
      <c r="E117" s="1" t="n">
        <v>46310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46310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44582</v>
      </c>
      <c r="E119" s="1" t="n">
        <v>46310</v>
      </c>
      <c r="F119" t="inlineStr">
        <is>
          <t>ÖREBRO LÄN</t>
        </is>
      </c>
      <c r="G119" t="inlineStr">
        <is>
          <t>DEGERFORS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46310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8184-2022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44609</v>
      </c>
      <c r="E121" s="1" t="n">
        <v>46310</v>
      </c>
      <c r="F121" t="inlineStr">
        <is>
          <t>ÖREBRO LÄN</t>
        </is>
      </c>
      <c r="G121" t="inlineStr">
        <is>
          <t>DEGERFORS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45609</v>
      </c>
      <c r="E122" s="1" t="n">
        <v>46310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46310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18506-2026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46127</v>
      </c>
      <c r="E124" s="1" t="n">
        <v>46310</v>
      </c>
      <c r="F124" t="inlineStr">
        <is>
          <t>ÖREBRO LÄN</t>
        </is>
      </c>
      <c r="G124" t="inlineStr">
        <is>
          <t>DEGERFORS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46310</v>
      </c>
      <c r="F125" t="inlineStr">
        <is>
          <t>ÖREBRO LÄN</t>
        </is>
      </c>
      <c r="G125" t="inlineStr">
        <is>
          <t>DEGERFORS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46132</v>
      </c>
      <c r="E126" s="1" t="n">
        <v>46310</v>
      </c>
      <c r="F126" t="inlineStr">
        <is>
          <t>ÖREBRO LÄN</t>
        </is>
      </c>
      <c r="G126" t="inlineStr">
        <is>
          <t>DEGERFORS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46310</v>
      </c>
      <c r="F127" t="inlineStr">
        <is>
          <t>ÖREBRO LÄN</t>
        </is>
      </c>
      <c r="G127" t="inlineStr">
        <is>
          <t>DEGERFORS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45233</v>
      </c>
      <c r="E128" s="1" t="n">
        <v>46310</v>
      </c>
      <c r="F128" t="inlineStr">
        <is>
          <t>ÖREBRO LÄN</t>
        </is>
      </c>
      <c r="G128" t="inlineStr">
        <is>
          <t>DEGERFORS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46310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46310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46310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46310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46310</v>
      </c>
      <c r="F133" t="inlineStr">
        <is>
          <t>ÖREBRO LÄN</t>
        </is>
      </c>
      <c r="G133" t="inlineStr">
        <is>
          <t>DEGERFORS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38233-2023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45160</v>
      </c>
      <c r="E134" s="1" t="n">
        <v>46310</v>
      </c>
      <c r="F134" t="inlineStr">
        <is>
          <t>ÖREBRO LÄN</t>
        </is>
      </c>
      <c r="G134" t="inlineStr">
        <is>
          <t>DEGERFORS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10674-2024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45369</v>
      </c>
      <c r="E135" s="1" t="n">
        <v>46310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46310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73693-2021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44552</v>
      </c>
      <c r="E137" s="1" t="n">
        <v>46310</v>
      </c>
      <c r="F137" t="inlineStr">
        <is>
          <t>ÖREBRO LÄN</t>
        </is>
      </c>
      <c r="G137" t="inlineStr">
        <is>
          <t>DEGERFORS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46310</v>
      </c>
      <c r="F138" t="inlineStr">
        <is>
          <t>ÖREBRO LÄN</t>
        </is>
      </c>
      <c r="G138" t="inlineStr">
        <is>
          <t>DEGERFORS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46310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46310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46310</v>
      </c>
      <c r="F141" t="inlineStr">
        <is>
          <t>ÖREBRO LÄN</t>
        </is>
      </c>
      <c r="G141" t="inlineStr">
        <is>
          <t>DEGERFORS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46310</v>
      </c>
      <c r="F142" t="inlineStr">
        <is>
          <t>ÖREBRO LÄN</t>
        </is>
      </c>
      <c r="G142" t="inlineStr">
        <is>
          <t>DEGERFORS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46310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46310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46310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46310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46310</v>
      </c>
      <c r="F147" t="inlineStr">
        <is>
          <t>ÖREBRO LÄN</t>
        </is>
      </c>
      <c r="G147" t="inlineStr">
        <is>
          <t>DEGERFORS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46310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46310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46310</v>
      </c>
      <c r="F150" t="inlineStr">
        <is>
          <t>ÖREBRO LÄN</t>
        </is>
      </c>
      <c r="G150" t="inlineStr">
        <is>
          <t>DEGERFORS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6394-2024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45338</v>
      </c>
      <c r="E151" s="1" t="n">
        <v>46310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46310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44986</v>
      </c>
      <c r="E153" s="1" t="n">
        <v>46310</v>
      </c>
      <c r="F153" t="inlineStr">
        <is>
          <t>ÖREBRO LÄN</t>
        </is>
      </c>
      <c r="G153" t="inlineStr">
        <is>
          <t>DEGERFORS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46310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46310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46162</v>
      </c>
      <c r="E156" s="1" t="n">
        <v>46310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46310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14678-2025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45742</v>
      </c>
      <c r="E158" s="1" t="n">
        <v>46310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23854-2026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46167</v>
      </c>
      <c r="E159" s="1" t="n">
        <v>46310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45330</v>
      </c>
      <c r="E160" s="1" t="n">
        <v>46310</v>
      </c>
      <c r="F160" t="inlineStr">
        <is>
          <t>ÖREBRO LÄN</t>
        </is>
      </c>
      <c r="G160" t="inlineStr">
        <is>
          <t>DEGERFORS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45601</v>
      </c>
      <c r="E161" s="1" t="n">
        <v>46310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45116</v>
      </c>
      <c r="E162" s="1" t="n">
        <v>46310</v>
      </c>
      <c r="F162" t="inlineStr">
        <is>
          <t>ÖREBRO LÄN</t>
        </is>
      </c>
      <c r="G162" t="inlineStr">
        <is>
          <t>DEGERFORS</t>
        </is>
      </c>
      <c r="I162" t="n">
        <v>17.2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46310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46310</v>
      </c>
      <c r="F164" t="inlineStr">
        <is>
          <t>ÖREBRO LÄN</t>
        </is>
      </c>
      <c r="G164" t="inlineStr">
        <is>
          <t>DEGERFORS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46310</v>
      </c>
      <c r="F165" t="inlineStr">
        <is>
          <t>ÖREBRO LÄN</t>
        </is>
      </c>
      <c r="G165" t="inlineStr">
        <is>
          <t>DEGERFORS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46310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46310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46310</v>
      </c>
      <c r="F168" t="inlineStr">
        <is>
          <t>ÖREBRO LÄN</t>
        </is>
      </c>
      <c r="G168" t="inlineStr">
        <is>
          <t>DEGERFORS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44781</v>
      </c>
      <c r="E169" s="1" t="n">
        <v>46310</v>
      </c>
      <c r="F169" t="inlineStr">
        <is>
          <t>ÖREBRO LÄN</t>
        </is>
      </c>
      <c r="G169" t="inlineStr">
        <is>
          <t>DEGERFORS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46310</v>
      </c>
      <c r="F170" t="inlineStr">
        <is>
          <t>ÖREBRO LÄN</t>
        </is>
      </c>
      <c r="G170" t="inlineStr">
        <is>
          <t>DEGERFORS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45384</v>
      </c>
      <c r="E171" s="1" t="n">
        <v>46310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46310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46310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46310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46310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46310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46310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46310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28708-2026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46310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46310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46310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46199</v>
      </c>
      <c r="E182" s="1" t="n">
        <v>46310</v>
      </c>
      <c r="F182" t="inlineStr">
        <is>
          <t>ÖREBRO LÄN</t>
        </is>
      </c>
      <c r="G182" t="inlineStr">
        <is>
          <t>DEGERFORS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46268</v>
      </c>
      <c r="E183" s="1" t="n">
        <v>46310</v>
      </c>
      <c r="F183" t="inlineStr">
        <is>
          <t>ÖREBRO LÄN</t>
        </is>
      </c>
      <c r="G183" t="inlineStr">
        <is>
          <t>DEGERFORS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46268</v>
      </c>
      <c r="E184" s="1" t="n">
        <v>46310</v>
      </c>
      <c r="F184" t="inlineStr">
        <is>
          <t>ÖREBRO LÄN</t>
        </is>
      </c>
      <c r="G184" t="inlineStr">
        <is>
          <t>DEGERFORS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46268</v>
      </c>
      <c r="E185" s="1" t="n">
        <v>46310</v>
      </c>
      <c r="F185" t="inlineStr">
        <is>
          <t>ÖREBRO LÄN</t>
        </is>
      </c>
      <c r="G185" t="inlineStr">
        <is>
          <t>DEGERFORS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63905-2021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44509</v>
      </c>
      <c r="E186" s="1" t="n">
        <v>46310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46310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46230</v>
      </c>
      <c r="E188" s="1" t="n">
        <v>46310</v>
      </c>
      <c r="F188" t="inlineStr">
        <is>
          <t>ÖREBRO LÄN</t>
        </is>
      </c>
      <c r="G188" t="inlineStr">
        <is>
          <t>DEGERFORS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45589</v>
      </c>
      <c r="E189" s="1" t="n">
        <v>46310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46310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46310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46310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8059-2024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45351</v>
      </c>
      <c r="E193" s="1" t="n">
        <v>46310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46310</v>
      </c>
      <c r="F194" t="inlineStr">
        <is>
          <t>ÖREBRO LÄN</t>
        </is>
      </c>
      <c r="G194" t="inlineStr">
        <is>
          <t>DEGERFORS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46279</v>
      </c>
      <c r="E195" s="1" t="n">
        <v>46310</v>
      </c>
      <c r="F195" t="inlineStr">
        <is>
          <t>ÖREBRO LÄN</t>
        </is>
      </c>
      <c r="G195" t="inlineStr">
        <is>
          <t>DEGERFORS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59158-2022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44904</v>
      </c>
      <c r="E196" s="1" t="n">
        <v>46310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46310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46310</v>
      </c>
      <c r="F198" t="inlineStr">
        <is>
          <t>ÖREBRO LÄN</t>
        </is>
      </c>
      <c r="G198" t="inlineStr">
        <is>
          <t>DEGERFORS</t>
        </is>
      </c>
      <c r="I198" t="n">
        <v>13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46239</v>
      </c>
      <c r="E199" s="1" t="n">
        <v>46310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46283</v>
      </c>
      <c r="E200" s="1" t="n">
        <v>46310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46310</v>
      </c>
      <c r="F201" t="inlineStr">
        <is>
          <t>ÖREBRO LÄN</t>
        </is>
      </c>
      <c r="G201" t="inlineStr">
        <is>
          <t>DEGERFORS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44986</v>
      </c>
      <c r="E202" s="1" t="n">
        <v>46310</v>
      </c>
      <c r="F202" t="inlineStr">
        <is>
          <t>ÖREBRO LÄN</t>
        </is>
      </c>
      <c r="G202" t="inlineStr">
        <is>
          <t>DEGERFORS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46310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46283</v>
      </c>
      <c r="E204" s="1" t="n">
        <v>46310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44989</v>
      </c>
      <c r="E205" s="1" t="n">
        <v>46310</v>
      </c>
      <c r="F205" t="inlineStr">
        <is>
          <t>ÖREBRO LÄN</t>
        </is>
      </c>
      <c r="G205" t="inlineStr">
        <is>
          <t>DEGERFORS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46310</v>
      </c>
      <c r="F206" t="inlineStr">
        <is>
          <t>ÖREBRO LÄN</t>
        </is>
      </c>
      <c r="G206" t="inlineStr">
        <is>
          <t>DEGERFORS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46310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45520</v>
      </c>
      <c r="E208" s="1" t="n">
        <v>46310</v>
      </c>
      <c r="F208" t="inlineStr">
        <is>
          <t>ÖREBRO LÄN</t>
        </is>
      </c>
      <c r="G208" t="inlineStr">
        <is>
          <t>DEGERFORS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45861-2023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45195</v>
      </c>
      <c r="E209" s="1" t="n">
        <v>46310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43768-2024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46310</v>
      </c>
      <c r="F210" t="inlineStr">
        <is>
          <t>ÖREBRO LÄN</t>
        </is>
      </c>
      <c r="G210" t="inlineStr">
        <is>
          <t>DEGERFORS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46310</v>
      </c>
      <c r="F211" t="inlineStr">
        <is>
          <t>ÖREBRO LÄN</t>
        </is>
      </c>
      <c r="G211" t="inlineStr">
        <is>
          <t>DEGERFORS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44816</v>
      </c>
      <c r="E212" s="1" t="n">
        <v>46310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61750-2021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46310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46310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46310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46310</v>
      </c>
      <c r="F216" t="inlineStr">
        <is>
          <t>ÖREBRO LÄN</t>
        </is>
      </c>
      <c r="G216" t="inlineStr">
        <is>
          <t>DEGERFORS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46310</v>
      </c>
      <c r="F217" t="inlineStr">
        <is>
          <t>ÖREBRO LÄN</t>
        </is>
      </c>
      <c r="G217" t="inlineStr">
        <is>
          <t>DEGERFORS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46204</v>
      </c>
      <c r="E218" s="1" t="n">
        <v>46310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46310</v>
      </c>
      <c r="F219" t="inlineStr">
        <is>
          <t>ÖREBRO LÄN</t>
        </is>
      </c>
      <c r="G219" t="inlineStr">
        <is>
          <t>DEGERFORS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46303</v>
      </c>
      <c r="E220" s="1" t="n">
        <v>46310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46310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46260</v>
      </c>
      <c r="E222" s="1" t="n">
        <v>46310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9.5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46310</v>
      </c>
      <c r="F223" t="inlineStr">
        <is>
          <t>ÖREBRO LÄN</t>
        </is>
      </c>
      <c r="G223" t="inlineStr">
        <is>
          <t>DEGERFORS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46310</v>
      </c>
      <c r="F224" t="inlineStr">
        <is>
          <t>ÖREBRO LÄN</t>
        </is>
      </c>
      <c r="G224" t="inlineStr">
        <is>
          <t>DEGERFORS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46307</v>
      </c>
      <c r="E225" s="1" t="n">
        <v>46310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46310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46310</v>
      </c>
      <c r="F227" t="inlineStr">
        <is>
          <t>ÖREBRO LÄN</t>
        </is>
      </c>
      <c r="G227" t="inlineStr">
        <is>
          <t>DEGERFORS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46310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46310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46303</v>
      </c>
      <c r="E230" s="1" t="n">
        <v>46310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45215</v>
      </c>
      <c r="E231" s="1" t="n">
        <v>46310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62982-2023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46310</v>
      </c>
      <c r="F232" t="inlineStr">
        <is>
          <t>ÖREBRO LÄN</t>
        </is>
      </c>
      <c r="G232" t="inlineStr">
        <is>
          <t>DEGERFORS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46310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46310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46310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46310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46310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46310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46310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46310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46310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2026-10-15T02:07:13Z</dcterms:created>
  <dcterms:modified xmlns:dcterms="http://purl.org/dc/terms/" xmlns:xsi="http://www.w3.org/2001/XMLSchema-instance" xsi:type="dcterms:W3CDTF">2026-10-15T02:07:14Z</dcterms:modified>
</cp:coreProperties>
</file>