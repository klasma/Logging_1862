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46202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46202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46202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46202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46202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46202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Grynig filtlav
Gulsparv
Rynkskinn
Vedticka
Spillkråka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46202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Tretåig hackspett
Grönpyrola
Thomsons trägnagare
Vågbandad barkbock
Spillkråka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46202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46202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Jungfrulin
Skogsklocka
Svinrot
Springkorn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46202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Jungfrulin
Skogsklocka
Svinrot
Springkorn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47975-2025</t>
        </is>
      </c>
      <c r="B12" s="1" t="n">
        <v>45932</v>
      </c>
      <c r="C12" s="1" t="n">
        <v>46202</v>
      </c>
      <c r="D12" t="inlineStr">
        <is>
          <t>ÖREBRO LÄN</t>
        </is>
      </c>
      <c r="E12" t="inlineStr">
        <is>
          <t>DEGERFORS</t>
        </is>
      </c>
      <c r="G12" t="n">
        <v>11.8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Spillkråka
Kråka
Kungsfågel</t>
        </is>
      </c>
      <c r="S12">
        <f>HYPERLINK("https://klasma.github.io/Logging_1862/artfynd/A 47975-2025 artfynd.xlsx", "A 47975-2025")</f>
        <v/>
      </c>
      <c r="T12">
        <f>HYPERLINK("https://klasma.github.io/Logging_1862/kartor/A 47975-2025 karta.png", "A 47975-2025")</f>
        <v/>
      </c>
      <c r="V12">
        <f>HYPERLINK("https://klasma.github.io/Logging_1862/klagomål/A 47975-2025 FSC-klagomål.docx", "A 47975-2025")</f>
        <v/>
      </c>
      <c r="W12">
        <f>HYPERLINK("https://klasma.github.io/Logging_1862/klagomålsmail/A 47975-2025 FSC-klagomål mail.docx", "A 47975-2025")</f>
        <v/>
      </c>
      <c r="X12">
        <f>HYPERLINK("https://klasma.github.io/Logging_1862/tillsyn/A 47975-2025 tillsynsbegäran.docx", "A 47975-2025")</f>
        <v/>
      </c>
      <c r="Y12">
        <f>HYPERLINK("https://klasma.github.io/Logging_1862/tillsynsmail/A 47975-2025 tillsynsbegäran mail.docx", "A 47975-2025")</f>
        <v/>
      </c>
      <c r="Z12">
        <f>HYPERLINK("https://klasma.github.io/Logging_1862/fåglar/A 47975-2025 prioriterade fågelarter.docx", "A 47975-2025")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46202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Mattlummer
Spillkråka
Sångsvan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48284-2023</t>
        </is>
      </c>
      <c r="B14" s="1" t="n">
        <v>45205</v>
      </c>
      <c r="C14" s="1" t="n">
        <v>46202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6.7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Spillkråka
Kungsfågel
Revlummer</t>
        </is>
      </c>
      <c r="S14">
        <f>HYPERLINK("https://klasma.github.io/Logging_1862/artfynd/A 48284-2023 artfynd.xlsx", "A 48284-2023")</f>
        <v/>
      </c>
      <c r="T14">
        <f>HYPERLINK("https://klasma.github.io/Logging_1862/kartor/A 48284-2023 karta.png", "A 48284-2023")</f>
        <v/>
      </c>
      <c r="V14">
        <f>HYPERLINK("https://klasma.github.io/Logging_1862/klagomål/A 48284-2023 FSC-klagomål.docx", "A 48284-2023")</f>
        <v/>
      </c>
      <c r="W14">
        <f>HYPERLINK("https://klasma.github.io/Logging_1862/klagomålsmail/A 48284-2023 FSC-klagomål mail.docx", "A 48284-2023")</f>
        <v/>
      </c>
      <c r="X14">
        <f>HYPERLINK("https://klasma.github.io/Logging_1862/tillsyn/A 48284-2023 tillsynsbegäran.docx", "A 48284-2023")</f>
        <v/>
      </c>
      <c r="Y14">
        <f>HYPERLINK("https://klasma.github.io/Logging_1862/tillsynsmail/A 48284-2023 tillsynsbegäran mail.docx", "A 48284-2023")</f>
        <v/>
      </c>
      <c r="Z14">
        <f>HYPERLINK("https://klasma.github.io/Logging_1862/fåglar/A 48284-2023 prioriterade fågelarter.docx", "A 48284-2023")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46202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46202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46202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47785-2025</t>
        </is>
      </c>
      <c r="B18" s="1" t="n">
        <v>45931</v>
      </c>
      <c r="C18" s="1" t="n">
        <v>46202</v>
      </c>
      <c r="D18" t="inlineStr">
        <is>
          <t>ÖREBRO LÄN</t>
        </is>
      </c>
      <c r="E18" t="inlineStr">
        <is>
          <t>DEGERFORS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Spillkråka
Kungsfågel</t>
        </is>
      </c>
      <c r="S18">
        <f>HYPERLINK("https://klasma.github.io/Logging_1862/artfynd/A 47785-2025 artfynd.xlsx", "A 47785-2025")</f>
        <v/>
      </c>
      <c r="T18">
        <f>HYPERLINK("https://klasma.github.io/Logging_1862/kartor/A 47785-2025 karta.png", "A 47785-2025")</f>
        <v/>
      </c>
      <c r="V18">
        <f>HYPERLINK("https://klasma.github.io/Logging_1862/klagomål/A 47785-2025 FSC-klagomål.docx", "A 47785-2025")</f>
        <v/>
      </c>
      <c r="W18">
        <f>HYPERLINK("https://klasma.github.io/Logging_1862/klagomålsmail/A 47785-2025 FSC-klagomål mail.docx", "A 47785-2025")</f>
        <v/>
      </c>
      <c r="X18">
        <f>HYPERLINK("https://klasma.github.io/Logging_1862/tillsyn/A 47785-2025 tillsynsbegäran.docx", "A 47785-2025")</f>
        <v/>
      </c>
      <c r="Y18">
        <f>HYPERLINK("https://klasma.github.io/Logging_1862/tillsynsmail/A 47785-2025 tillsynsbegäran mail.docx", "A 47785-2025")</f>
        <v/>
      </c>
      <c r="Z18">
        <f>HYPERLINK("https://klasma.github.io/Logging_1862/fåglar/A 47785-2025 prioriterade fågelarter.docx", "A 47785-2025")</f>
        <v/>
      </c>
    </row>
    <row r="19" ht="15" customHeight="1">
      <c r="A19" t="inlineStr">
        <is>
          <t>A 40870-2024</t>
        </is>
      </c>
      <c r="B19" s="1" t="n">
        <v>45558</v>
      </c>
      <c r="C19" s="1" t="n">
        <v>46202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38910-2023</t>
        </is>
      </c>
      <c r="B20" s="1" t="n">
        <v>45163</v>
      </c>
      <c r="C20" s="1" t="n">
        <v>46202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Tjäder
Fläcknycklar</t>
        </is>
      </c>
      <c r="S20">
        <f>HYPERLINK("https://klasma.github.io/Logging_1862/artfynd/A 38910-2023 artfynd.xlsx", "A 38910-2023")</f>
        <v/>
      </c>
      <c r="T20">
        <f>HYPERLINK("https://klasma.github.io/Logging_1862/kartor/A 38910-2023 karta.png", "A 38910-2023")</f>
        <v/>
      </c>
      <c r="V20">
        <f>HYPERLINK("https://klasma.github.io/Logging_1862/klagomål/A 38910-2023 FSC-klagomål.docx", "A 38910-2023")</f>
        <v/>
      </c>
      <c r="W20">
        <f>HYPERLINK("https://klasma.github.io/Logging_1862/klagomålsmail/A 38910-2023 FSC-klagomål mail.docx", "A 38910-2023")</f>
        <v/>
      </c>
      <c r="X20">
        <f>HYPERLINK("https://klasma.github.io/Logging_1862/tillsyn/A 38910-2023 tillsynsbegäran.docx", "A 38910-2023")</f>
        <v/>
      </c>
      <c r="Y20">
        <f>HYPERLINK("https://klasma.github.io/Logging_1862/tillsynsmail/A 38910-2023 tillsynsbegäran mail.docx", "A 38910-2023")</f>
        <v/>
      </c>
      <c r="Z20">
        <f>HYPERLINK("https://klasma.github.io/Logging_1862/fåglar/A 38910-2023 prioriterade fågelarter.docx", "A 38910-2023")</f>
        <v/>
      </c>
    </row>
    <row r="21" ht="15" customHeight="1">
      <c r="A21" t="inlineStr">
        <is>
          <t>A 38912-2023</t>
        </is>
      </c>
      <c r="B21" s="1" t="n">
        <v>45163</v>
      </c>
      <c r="C21" s="1" t="n">
        <v>46202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Tjäder</t>
        </is>
      </c>
      <c r="S21">
        <f>HYPERLINK("https://klasma.github.io/Logging_1862/artfynd/A 38912-2023 artfynd.xlsx", "A 38912-2023")</f>
        <v/>
      </c>
      <c r="T21">
        <f>HYPERLINK("https://klasma.github.io/Logging_1862/kartor/A 38912-2023 karta.png", "A 38912-2023")</f>
        <v/>
      </c>
      <c r="V21">
        <f>HYPERLINK("https://klasma.github.io/Logging_1862/klagomål/A 38912-2023 FSC-klagomål.docx", "A 38912-2023")</f>
        <v/>
      </c>
      <c r="W21">
        <f>HYPERLINK("https://klasma.github.io/Logging_1862/klagomålsmail/A 38912-2023 FSC-klagomål mail.docx", "A 38912-2023")</f>
        <v/>
      </c>
      <c r="X21">
        <f>HYPERLINK("https://klasma.github.io/Logging_1862/tillsyn/A 38912-2023 tillsynsbegäran.docx", "A 38912-2023")</f>
        <v/>
      </c>
      <c r="Y21">
        <f>HYPERLINK("https://klasma.github.io/Logging_1862/tillsynsmail/A 38912-2023 tillsynsbegäran mail.docx", "A 38912-2023")</f>
        <v/>
      </c>
      <c r="Z21">
        <f>HYPERLINK("https://klasma.github.io/Logging_1862/fåglar/A 38912-2023 prioriterade fågelarter.docx", "A 38912-2023")</f>
        <v/>
      </c>
    </row>
    <row r="22" ht="15" customHeight="1">
      <c r="A22" t="inlineStr">
        <is>
          <t>A 4256-2026</t>
        </is>
      </c>
      <c r="B22" s="1" t="n">
        <v>46045</v>
      </c>
      <c r="C22" s="1" t="n">
        <v>46202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Skogsklocka
Slåtterfibbla</t>
        </is>
      </c>
      <c r="S22">
        <f>HYPERLINK("https://klasma.github.io/Logging_1862/artfynd/A 4256-2026 artfynd.xlsx", "A 4256-2026")</f>
        <v/>
      </c>
      <c r="T22">
        <f>HYPERLINK("https://klasma.github.io/Logging_1862/kartor/A 4256-2026 karta.png", "A 4256-2026")</f>
        <v/>
      </c>
      <c r="V22">
        <f>HYPERLINK("https://klasma.github.io/Logging_1862/klagomål/A 4256-2026 FSC-klagomål.docx", "A 4256-2026")</f>
        <v/>
      </c>
      <c r="W22">
        <f>HYPERLINK("https://klasma.github.io/Logging_1862/klagomålsmail/A 4256-2026 FSC-klagomål mail.docx", "A 4256-2026")</f>
        <v/>
      </c>
      <c r="X22">
        <f>HYPERLINK("https://klasma.github.io/Logging_1862/tillsyn/A 4256-2026 tillsynsbegäran.docx", "A 4256-2026")</f>
        <v/>
      </c>
      <c r="Y22">
        <f>HYPERLINK("https://klasma.github.io/Logging_1862/tillsynsmail/A 4256-2026 tillsynsbegäran mail.docx", "A 4256-2026")</f>
        <v/>
      </c>
    </row>
    <row r="23" ht="15" customHeight="1">
      <c r="A23" t="inlineStr">
        <is>
          <t>A 15809-2026</t>
        </is>
      </c>
      <c r="B23" s="1" t="n">
        <v>46107</v>
      </c>
      <c r="C23" s="1" t="n">
        <v>46202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9.5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Revlummer</t>
        </is>
      </c>
      <c r="S23">
        <f>HYPERLINK("https://klasma.github.io/Logging_1862/artfynd/A 15809-2026 artfynd.xlsx", "A 15809-2026")</f>
        <v/>
      </c>
      <c r="T23">
        <f>HYPERLINK("https://klasma.github.io/Logging_1862/kartor/A 15809-2026 karta.png", "A 15809-2026")</f>
        <v/>
      </c>
      <c r="V23">
        <f>HYPERLINK("https://klasma.github.io/Logging_1862/klagomål/A 15809-2026 FSC-klagomål.docx", "A 15809-2026")</f>
        <v/>
      </c>
      <c r="W23">
        <f>HYPERLINK("https://klasma.github.io/Logging_1862/klagomålsmail/A 15809-2026 FSC-klagomål mail.docx", "A 15809-2026")</f>
        <v/>
      </c>
      <c r="X23">
        <f>HYPERLINK("https://klasma.github.io/Logging_1862/tillsyn/A 15809-2026 tillsynsbegäran.docx", "A 15809-2026")</f>
        <v/>
      </c>
      <c r="Y23">
        <f>HYPERLINK("https://klasma.github.io/Logging_1862/tillsynsmail/A 15809-2026 tillsynsbegäran mail.docx", "A 15809-2026")</f>
        <v/>
      </c>
    </row>
    <row r="24" ht="15" customHeight="1">
      <c r="A24" t="inlineStr">
        <is>
          <t>A 14121-2022</t>
        </is>
      </c>
      <c r="B24" s="1" t="n">
        <v>44651</v>
      </c>
      <c r="C24" s="1" t="n">
        <v>46202</v>
      </c>
      <c r="D24" t="inlineStr">
        <is>
          <t>ÖREBRO LÄN</t>
        </is>
      </c>
      <c r="E24" t="inlineStr">
        <is>
          <t>DEGERFORS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HYPERLINK("https://klasma.github.io/Logging_1862/artfynd/A 14121-2022 artfynd.xlsx", "A 14121-2022")</f>
        <v/>
      </c>
      <c r="T24">
        <f>HYPERLINK("https://klasma.github.io/Logging_1862/kartor/A 14121-2022 karta.png", "A 14121-2022")</f>
        <v/>
      </c>
      <c r="V24">
        <f>HYPERLINK("https://klasma.github.io/Logging_1862/klagomål/A 14121-2022 FSC-klagomål.docx", "A 14121-2022")</f>
        <v/>
      </c>
      <c r="W24">
        <f>HYPERLINK("https://klasma.github.io/Logging_1862/klagomålsmail/A 14121-2022 FSC-klagomål mail.docx", "A 14121-2022")</f>
        <v/>
      </c>
      <c r="X24">
        <f>HYPERLINK("https://klasma.github.io/Logging_1862/tillsyn/A 14121-2022 tillsynsbegäran.docx", "A 14121-2022")</f>
        <v/>
      </c>
      <c r="Y24">
        <f>HYPERLINK("https://klasma.github.io/Logging_1862/tillsynsmail/A 14121-2022 tillsynsbegäran mail.docx", "A 14121-2022")</f>
        <v/>
      </c>
    </row>
    <row r="25" ht="15" customHeight="1">
      <c r="A25" t="inlineStr">
        <is>
          <t>A 54130-2021</t>
        </is>
      </c>
      <c r="B25" s="1" t="n">
        <v>44470</v>
      </c>
      <c r="C25" s="1" t="n">
        <v>46202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HYPERLINK("https://klasma.github.io/Logging_1862/artfynd/A 54130-2021 artfynd.xlsx", "A 54130-2021")</f>
        <v/>
      </c>
      <c r="T25">
        <f>HYPERLINK("https://klasma.github.io/Logging_1862/kartor/A 54130-2021 karta.png", "A 54130-2021")</f>
        <v/>
      </c>
      <c r="V25">
        <f>HYPERLINK("https://klasma.github.io/Logging_1862/klagomål/A 54130-2021 FSC-klagomål.docx", "A 54130-2021")</f>
        <v/>
      </c>
      <c r="W25">
        <f>HYPERLINK("https://klasma.github.io/Logging_1862/klagomålsmail/A 54130-2021 FSC-klagomål mail.docx", "A 54130-2021")</f>
        <v/>
      </c>
      <c r="X25">
        <f>HYPERLINK("https://klasma.github.io/Logging_1862/tillsyn/A 54130-2021 tillsynsbegäran.docx", "A 54130-2021")</f>
        <v/>
      </c>
      <c r="Y25">
        <f>HYPERLINK("https://klasma.github.io/Logging_1862/tillsynsmail/A 54130-2021 tillsynsbegäran mail.docx", "A 54130-2021")</f>
        <v/>
      </c>
    </row>
    <row r="26" ht="15" customHeight="1">
      <c r="A26" t="inlineStr">
        <is>
          <t>A 54134-2021</t>
        </is>
      </c>
      <c r="B26" s="1" t="n">
        <v>44470</v>
      </c>
      <c r="C26" s="1" t="n">
        <v>46202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HYPERLINK("https://klasma.github.io/Logging_1862/artfynd/A 54134-2021 artfynd.xlsx", "A 54134-2021")</f>
        <v/>
      </c>
      <c r="T26">
        <f>HYPERLINK("https://klasma.github.io/Logging_1862/kartor/A 54134-2021 karta.png", "A 54134-2021")</f>
        <v/>
      </c>
      <c r="V26">
        <f>HYPERLINK("https://klasma.github.io/Logging_1862/klagomål/A 54134-2021 FSC-klagomål.docx", "A 54134-2021")</f>
        <v/>
      </c>
      <c r="W26">
        <f>HYPERLINK("https://klasma.github.io/Logging_1862/klagomålsmail/A 54134-2021 FSC-klagomål mail.docx", "A 54134-2021")</f>
        <v/>
      </c>
      <c r="X26">
        <f>HYPERLINK("https://klasma.github.io/Logging_1862/tillsyn/A 54134-2021 tillsynsbegäran.docx", "A 54134-2021")</f>
        <v/>
      </c>
      <c r="Y26">
        <f>HYPERLINK("https://klasma.github.io/Logging_1862/tillsynsmail/A 54134-2021 tillsynsbegäran mail.docx", "A 54134-2021")</f>
        <v/>
      </c>
    </row>
    <row r="27" ht="15" customHeight="1">
      <c r="A27" t="inlineStr">
        <is>
          <t>A 58132-2021</t>
        </is>
      </c>
      <c r="B27" s="1" t="n">
        <v>44487</v>
      </c>
      <c r="C27" s="1" t="n">
        <v>46202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HYPERLINK("https://klasma.github.io/Logging_1862/artfynd/A 58132-2021 artfynd.xlsx", "A 58132-2021")</f>
        <v/>
      </c>
      <c r="T27">
        <f>HYPERLINK("https://klasma.github.io/Logging_1862/kartor/A 58132-2021 karta.png", "A 58132-2021")</f>
        <v/>
      </c>
      <c r="V27">
        <f>HYPERLINK("https://klasma.github.io/Logging_1862/klagomål/A 58132-2021 FSC-klagomål.docx", "A 58132-2021")</f>
        <v/>
      </c>
      <c r="W27">
        <f>HYPERLINK("https://klasma.github.io/Logging_1862/klagomålsmail/A 58132-2021 FSC-klagomål mail.docx", "A 58132-2021")</f>
        <v/>
      </c>
      <c r="X27">
        <f>HYPERLINK("https://klasma.github.io/Logging_1862/tillsyn/A 58132-2021 tillsynsbegäran.docx", "A 58132-2021")</f>
        <v/>
      </c>
      <c r="Y27">
        <f>HYPERLINK("https://klasma.github.io/Logging_1862/tillsynsmail/A 58132-2021 tillsynsbegäran mail.docx", "A 58132-2021")</f>
        <v/>
      </c>
    </row>
    <row r="28" ht="15" customHeight="1">
      <c r="A28" t="inlineStr">
        <is>
          <t>A 47941-2024</t>
        </is>
      </c>
      <c r="B28" s="1" t="n">
        <v>45589</v>
      </c>
      <c r="C28" s="1" t="n">
        <v>46202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Brunfläckig pärlemorfjäril</t>
        </is>
      </c>
      <c r="S28">
        <f>HYPERLINK("https://klasma.github.io/Logging_1862/artfynd/A 47941-2024 artfynd.xlsx", "A 47941-2024")</f>
        <v/>
      </c>
      <c r="T28">
        <f>HYPERLINK("https://klasma.github.io/Logging_1862/kartor/A 47941-2024 karta.png", "A 47941-2024")</f>
        <v/>
      </c>
      <c r="V28">
        <f>HYPERLINK("https://klasma.github.io/Logging_1862/klagomål/A 47941-2024 FSC-klagomål.docx", "A 47941-2024")</f>
        <v/>
      </c>
      <c r="W28">
        <f>HYPERLINK("https://klasma.github.io/Logging_1862/klagomålsmail/A 47941-2024 FSC-klagomål mail.docx", "A 47941-2024")</f>
        <v/>
      </c>
      <c r="X28">
        <f>HYPERLINK("https://klasma.github.io/Logging_1862/tillsyn/A 47941-2024 tillsynsbegäran.docx", "A 47941-2024")</f>
        <v/>
      </c>
      <c r="Y28">
        <f>HYPERLINK("https://klasma.github.io/Logging_1862/tillsynsmail/A 47941-2024 tillsynsbegäran mail.docx", "A 47941-2024")</f>
        <v/>
      </c>
    </row>
    <row r="29" ht="15" customHeight="1">
      <c r="A29" t="inlineStr">
        <is>
          <t>A 33297-2023</t>
        </is>
      </c>
      <c r="B29" s="1" t="n">
        <v>45116</v>
      </c>
      <c r="C29" s="1" t="n">
        <v>46202</v>
      </c>
      <c r="D29" t="inlineStr">
        <is>
          <t>ÖREBRO LÄN</t>
        </is>
      </c>
      <c r="E29" t="inlineStr">
        <is>
          <t>DEGERFORS</t>
        </is>
      </c>
      <c r="G29" t="n">
        <v>7.2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HYPERLINK("https://klasma.github.io/Logging_1862/artfynd/A 33297-2023 artfynd.xlsx", "A 33297-2023")</f>
        <v/>
      </c>
      <c r="T29">
        <f>HYPERLINK("https://klasma.github.io/Logging_1862/kartor/A 33297-2023 karta.png", "A 33297-2023")</f>
        <v/>
      </c>
      <c r="V29">
        <f>HYPERLINK("https://klasma.github.io/Logging_1862/klagomål/A 33297-2023 FSC-klagomål.docx", "A 33297-2023")</f>
        <v/>
      </c>
      <c r="W29">
        <f>HYPERLINK("https://klasma.github.io/Logging_1862/klagomålsmail/A 33297-2023 FSC-klagomål mail.docx", "A 33297-2023")</f>
        <v/>
      </c>
      <c r="X29">
        <f>HYPERLINK("https://klasma.github.io/Logging_1862/tillsyn/A 33297-2023 tillsynsbegäran.docx", "A 33297-2023")</f>
        <v/>
      </c>
      <c r="Y29">
        <f>HYPERLINK("https://klasma.github.io/Logging_1862/tillsynsmail/A 33297-2023 tillsynsbegäran mail.docx", "A 33297-2023")</f>
        <v/>
      </c>
    </row>
    <row r="30" ht="15" customHeight="1">
      <c r="A30" t="inlineStr">
        <is>
          <t>A 38904-2023</t>
        </is>
      </c>
      <c r="B30" s="1" t="n">
        <v>45163</v>
      </c>
      <c r="C30" s="1" t="n">
        <v>46202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38904-2023 artfynd.xlsx", "A 38904-2023")</f>
        <v/>
      </c>
      <c r="T30">
        <f>HYPERLINK("https://klasma.github.io/Logging_1862/kartor/A 38904-2023 karta.png", "A 38904-2023")</f>
        <v/>
      </c>
      <c r="V30">
        <f>HYPERLINK("https://klasma.github.io/Logging_1862/klagomål/A 38904-2023 FSC-klagomål.docx", "A 38904-2023")</f>
        <v/>
      </c>
      <c r="W30">
        <f>HYPERLINK("https://klasma.github.io/Logging_1862/klagomålsmail/A 38904-2023 FSC-klagomål mail.docx", "A 38904-2023")</f>
        <v/>
      </c>
      <c r="X30">
        <f>HYPERLINK("https://klasma.github.io/Logging_1862/tillsyn/A 38904-2023 tillsynsbegäran.docx", "A 38904-2023")</f>
        <v/>
      </c>
      <c r="Y30">
        <f>HYPERLINK("https://klasma.github.io/Logging_1862/tillsynsmail/A 38904-2023 tillsynsbegäran mail.docx", "A 38904-2023")</f>
        <v/>
      </c>
      <c r="Z30">
        <f>HYPERLINK("https://klasma.github.io/Logging_1862/fåglar/A 38904-2023 prioriterade fågelarter.docx", "A 38904-2023")</f>
        <v/>
      </c>
    </row>
    <row r="31" ht="15" customHeight="1">
      <c r="A31" t="inlineStr">
        <is>
          <t>A 48285-2023</t>
        </is>
      </c>
      <c r="B31" s="1" t="n">
        <v>45205</v>
      </c>
      <c r="C31" s="1" t="n">
        <v>46202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48285-2023 artfynd.xlsx", "A 48285-2023")</f>
        <v/>
      </c>
      <c r="T31">
        <f>HYPERLINK("https://klasma.github.io/Logging_1862/kartor/A 48285-2023 karta.png", "A 48285-2023")</f>
        <v/>
      </c>
      <c r="V31">
        <f>HYPERLINK("https://klasma.github.io/Logging_1862/klagomål/A 48285-2023 FSC-klagomål.docx", "A 48285-2023")</f>
        <v/>
      </c>
      <c r="W31">
        <f>HYPERLINK("https://klasma.github.io/Logging_1862/klagomålsmail/A 48285-2023 FSC-klagomål mail.docx", "A 48285-2023")</f>
        <v/>
      </c>
      <c r="X31">
        <f>HYPERLINK("https://klasma.github.io/Logging_1862/tillsyn/A 48285-2023 tillsynsbegäran.docx", "A 48285-2023")</f>
        <v/>
      </c>
      <c r="Y31">
        <f>HYPERLINK("https://klasma.github.io/Logging_1862/tillsynsmail/A 48285-2023 tillsynsbegäran mail.docx", "A 48285-2023")</f>
        <v/>
      </c>
      <c r="Z31">
        <f>HYPERLINK("https://klasma.github.io/Logging_1862/fåglar/A 48285-2023 prioriterade fågelarter.docx", "A 48285-2023")</f>
        <v/>
      </c>
    </row>
    <row r="32" ht="15" customHeight="1">
      <c r="A32" t="inlineStr">
        <is>
          <t>A 27093-2023</t>
        </is>
      </c>
      <c r="B32" s="1" t="n">
        <v>45096</v>
      </c>
      <c r="C32" s="1" t="n">
        <v>46202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HYPERLINK("https://klasma.github.io/Logging_1862/artfynd/A 27093-2023 artfynd.xlsx", "A 27093-2023")</f>
        <v/>
      </c>
      <c r="T32">
        <f>HYPERLINK("https://klasma.github.io/Logging_1862/kartor/A 27093-2023 karta.png", "A 27093-2023")</f>
        <v/>
      </c>
      <c r="V32">
        <f>HYPERLINK("https://klasma.github.io/Logging_1862/klagomål/A 27093-2023 FSC-klagomål.docx", "A 27093-2023")</f>
        <v/>
      </c>
      <c r="W32">
        <f>HYPERLINK("https://klasma.github.io/Logging_1862/klagomålsmail/A 27093-2023 FSC-klagomål mail.docx", "A 27093-2023")</f>
        <v/>
      </c>
      <c r="X32">
        <f>HYPERLINK("https://klasma.github.io/Logging_1862/tillsyn/A 27093-2023 tillsynsbegäran.docx", "A 27093-2023")</f>
        <v/>
      </c>
      <c r="Y32">
        <f>HYPERLINK("https://klasma.github.io/Logging_1862/tillsynsmail/A 27093-2023 tillsynsbegäran mail.docx", "A 27093-2023")</f>
        <v/>
      </c>
      <c r="Z32">
        <f>HYPERLINK("https://klasma.github.io/Logging_1862/fåglar/A 27093-2023 prioriterade fågelarter.docx", "A 27093-2023")</f>
        <v/>
      </c>
    </row>
    <row r="33" ht="15" customHeight="1">
      <c r="A33" t="inlineStr">
        <is>
          <t>A 47915-2024</t>
        </is>
      </c>
      <c r="B33" s="1" t="n">
        <v>45589</v>
      </c>
      <c r="C33" s="1" t="n">
        <v>46202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HYPERLINK("https://klasma.github.io/Logging_1862/artfynd/A 47915-2024 artfynd.xlsx", "A 47915-2024")</f>
        <v/>
      </c>
      <c r="T33">
        <f>HYPERLINK("https://klasma.github.io/Logging_1862/kartor/A 47915-2024 karta.png", "A 47915-2024")</f>
        <v/>
      </c>
      <c r="V33">
        <f>HYPERLINK("https://klasma.github.io/Logging_1862/klagomål/A 47915-2024 FSC-klagomål.docx", "A 47915-2024")</f>
        <v/>
      </c>
      <c r="W33">
        <f>HYPERLINK("https://klasma.github.io/Logging_1862/klagomålsmail/A 47915-2024 FSC-klagomål mail.docx", "A 47915-2024")</f>
        <v/>
      </c>
      <c r="X33">
        <f>HYPERLINK("https://klasma.github.io/Logging_1862/tillsyn/A 47915-2024 tillsynsbegäran.docx", "A 47915-2024")</f>
        <v/>
      </c>
      <c r="Y33">
        <f>HYPERLINK("https://klasma.github.io/Logging_1862/tillsynsmail/A 47915-2024 tillsynsbegäran mail.docx", "A 47915-2024")</f>
        <v/>
      </c>
    </row>
    <row r="34" ht="15" customHeight="1">
      <c r="A34" t="inlineStr">
        <is>
          <t>A 49306-2025</t>
        </is>
      </c>
      <c r="B34" s="1" t="n">
        <v>45938</v>
      </c>
      <c r="C34" s="1" t="n">
        <v>46202</v>
      </c>
      <c r="D34" t="inlineStr">
        <is>
          <t>ÖREBRO LÄN</t>
        </is>
      </c>
      <c r="E34" t="inlineStr">
        <is>
          <t>DEGERFORS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HYPERLINK("https://klasma.github.io/Logging_1862/artfynd/A 49306-2025 artfynd.xlsx", "A 49306-2025")</f>
        <v/>
      </c>
      <c r="T34">
        <f>HYPERLINK("https://klasma.github.io/Logging_1862/kartor/A 49306-2025 karta.png", "A 49306-2025")</f>
        <v/>
      </c>
      <c r="V34">
        <f>HYPERLINK("https://klasma.github.io/Logging_1862/klagomål/A 49306-2025 FSC-klagomål.docx", "A 49306-2025")</f>
        <v/>
      </c>
      <c r="W34">
        <f>HYPERLINK("https://klasma.github.io/Logging_1862/klagomålsmail/A 49306-2025 FSC-klagomål mail.docx", "A 49306-2025")</f>
        <v/>
      </c>
      <c r="X34">
        <f>HYPERLINK("https://klasma.github.io/Logging_1862/tillsyn/A 49306-2025 tillsynsbegäran.docx", "A 49306-2025")</f>
        <v/>
      </c>
      <c r="Y34">
        <f>HYPERLINK("https://klasma.github.io/Logging_1862/tillsynsmail/A 49306-2025 tillsynsbegäran mail.docx", "A 49306-2025")</f>
        <v/>
      </c>
    </row>
    <row r="35" ht="15" customHeight="1">
      <c r="A35" t="inlineStr">
        <is>
          <t>A 53838-2024</t>
        </is>
      </c>
      <c r="B35" s="1" t="n">
        <v>45614</v>
      </c>
      <c r="C35" s="1" t="n">
        <v>46202</v>
      </c>
      <c r="D35" t="inlineStr">
        <is>
          <t>ÖREBRO LÄN</t>
        </is>
      </c>
      <c r="E35" t="inlineStr">
        <is>
          <t>DEGERFORS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HYPERLINK("https://klasma.github.io/Logging_1862/artfynd/A 53838-2024 artfynd.xlsx", "A 53838-2024")</f>
        <v/>
      </c>
      <c r="T35">
        <f>HYPERLINK("https://klasma.github.io/Logging_1862/kartor/A 53838-2024 karta.png", "A 53838-2024")</f>
        <v/>
      </c>
      <c r="V35">
        <f>HYPERLINK("https://klasma.github.io/Logging_1862/klagomål/A 53838-2024 FSC-klagomål.docx", "A 53838-2024")</f>
        <v/>
      </c>
      <c r="W35">
        <f>HYPERLINK("https://klasma.github.io/Logging_1862/klagomålsmail/A 53838-2024 FSC-klagomål mail.docx", "A 53838-2024")</f>
        <v/>
      </c>
      <c r="X35">
        <f>HYPERLINK("https://klasma.github.io/Logging_1862/tillsyn/A 53838-2024 tillsynsbegäran.docx", "A 53838-2024")</f>
        <v/>
      </c>
      <c r="Y35">
        <f>HYPERLINK("https://klasma.github.io/Logging_1862/tillsynsmail/A 53838-2024 tillsynsbegäran mail.docx", "A 53838-2024")</f>
        <v/>
      </c>
      <c r="Z35">
        <f>HYPERLINK("https://klasma.github.io/Logging_1862/fåglar/A 53838-2024 prioriterade fågelarter.docx", "A 53838-2024")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46202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47787-2025</t>
        </is>
      </c>
      <c r="B37" s="1" t="n">
        <v>45931</v>
      </c>
      <c r="C37" s="1" t="n">
        <v>46202</v>
      </c>
      <c r="D37" t="inlineStr">
        <is>
          <t>ÖREBRO LÄN</t>
        </is>
      </c>
      <c r="E37" t="inlineStr">
        <is>
          <t>DEGERFORS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HYPERLINK("https://klasma.github.io/Logging_1862/artfynd/A 47787-2025 artfynd.xlsx", "A 47787-2025")</f>
        <v/>
      </c>
      <c r="T37">
        <f>HYPERLINK("https://klasma.github.io/Logging_1862/kartor/A 47787-2025 karta.png", "A 47787-2025")</f>
        <v/>
      </c>
      <c r="V37">
        <f>HYPERLINK("https://klasma.github.io/Logging_1862/klagomål/A 47787-2025 FSC-klagomål.docx", "A 47787-2025")</f>
        <v/>
      </c>
      <c r="W37">
        <f>HYPERLINK("https://klasma.github.io/Logging_1862/klagomålsmail/A 47787-2025 FSC-klagomål mail.docx", "A 47787-2025")</f>
        <v/>
      </c>
      <c r="X37">
        <f>HYPERLINK("https://klasma.github.io/Logging_1862/tillsyn/A 47787-2025 tillsynsbegäran.docx", "A 47787-2025")</f>
        <v/>
      </c>
      <c r="Y37">
        <f>HYPERLINK("https://klasma.github.io/Logging_1862/tillsynsmail/A 47787-2025 tillsynsbegäran mail.docx", "A 47787-2025")</f>
        <v/>
      </c>
      <c r="Z37">
        <f>HYPERLINK("https://klasma.github.io/Logging_1862/fåglar/A 47787-2025 prioriterade fågelarter.docx", "A 47787-2025")</f>
        <v/>
      </c>
    </row>
    <row r="38" ht="15" customHeight="1">
      <c r="A38" t="inlineStr">
        <is>
          <t>A 38907-2023</t>
        </is>
      </c>
      <c r="B38" s="1" t="n">
        <v>45163</v>
      </c>
      <c r="C38" s="1" t="n">
        <v>46202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HYPERLINK("https://klasma.github.io/Logging_1862/artfynd/A 38907-2023 artfynd.xlsx", "A 38907-2023")</f>
        <v/>
      </c>
      <c r="T38">
        <f>HYPERLINK("https://klasma.github.io/Logging_1862/kartor/A 38907-2023 karta.png", "A 38907-2023")</f>
        <v/>
      </c>
      <c r="V38">
        <f>HYPERLINK("https://klasma.github.io/Logging_1862/klagomål/A 38907-2023 FSC-klagomål.docx", "A 38907-2023")</f>
        <v/>
      </c>
      <c r="W38">
        <f>HYPERLINK("https://klasma.github.io/Logging_1862/klagomålsmail/A 38907-2023 FSC-klagomål mail.docx", "A 38907-2023")</f>
        <v/>
      </c>
      <c r="X38">
        <f>HYPERLINK("https://klasma.github.io/Logging_1862/tillsyn/A 38907-2023 tillsynsbegäran.docx", "A 38907-2023")</f>
        <v/>
      </c>
      <c r="Y38">
        <f>HYPERLINK("https://klasma.github.io/Logging_1862/tillsynsmail/A 38907-2023 tillsynsbegäran mail.docx", "A 38907-2023")</f>
        <v/>
      </c>
      <c r="Z38">
        <f>HYPERLINK("https://klasma.github.io/Logging_1862/fåglar/A 38907-2023 prioriterade fågelarter.docx", "A 38907-2023")</f>
        <v/>
      </c>
    </row>
    <row r="39" ht="15" customHeight="1">
      <c r="A39" t="inlineStr">
        <is>
          <t>A 14177-2026</t>
        </is>
      </c>
      <c r="B39" s="1" t="n">
        <v>46099</v>
      </c>
      <c r="C39" s="1" t="n">
        <v>46202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HYPERLINK("https://klasma.github.io/Logging_1862/artfynd/A 14177-2026 artfynd.xlsx", "A 14177-2026")</f>
        <v/>
      </c>
      <c r="T39">
        <f>HYPERLINK("https://klasma.github.io/Logging_1862/kartor/A 14177-2026 karta.png", "A 14177-2026")</f>
        <v/>
      </c>
      <c r="V39">
        <f>HYPERLINK("https://klasma.github.io/Logging_1862/klagomål/A 14177-2026 FSC-klagomål.docx", "A 14177-2026")</f>
        <v/>
      </c>
      <c r="W39">
        <f>HYPERLINK("https://klasma.github.io/Logging_1862/klagomålsmail/A 14177-2026 FSC-klagomål mail.docx", "A 14177-2026")</f>
        <v/>
      </c>
      <c r="X39">
        <f>HYPERLINK("https://klasma.github.io/Logging_1862/tillsyn/A 14177-2026 tillsynsbegäran.docx", "A 14177-2026")</f>
        <v/>
      </c>
      <c r="Y39">
        <f>HYPERLINK("https://klasma.github.io/Logging_1862/tillsynsmail/A 14177-2026 tillsynsbegäran mail.docx", "A 14177-2026")</f>
        <v/>
      </c>
    </row>
    <row r="40" ht="15" customHeight="1">
      <c r="A40" t="inlineStr">
        <is>
          <t>A 23008-2026</t>
        </is>
      </c>
      <c r="B40" s="1" t="n">
        <v>46161</v>
      </c>
      <c r="C40" s="1" t="n">
        <v>46202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HYPERLINK("https://klasma.github.io/Logging_1862/artfynd/A 23008-2026 artfynd.xlsx", "A 23008-2026")</f>
        <v/>
      </c>
      <c r="T40">
        <f>HYPERLINK("https://klasma.github.io/Logging_1862/kartor/A 23008-2026 karta.png", "A 23008-2026")</f>
        <v/>
      </c>
      <c r="V40">
        <f>HYPERLINK("https://klasma.github.io/Logging_1862/klagomål/A 23008-2026 FSC-klagomål.docx", "A 23008-2026")</f>
        <v/>
      </c>
      <c r="W40">
        <f>HYPERLINK("https://klasma.github.io/Logging_1862/klagomålsmail/A 23008-2026 FSC-klagomål mail.docx", "A 23008-2026")</f>
        <v/>
      </c>
      <c r="X40">
        <f>HYPERLINK("https://klasma.github.io/Logging_1862/tillsyn/A 23008-2026 tillsynsbegäran.docx", "A 23008-2026")</f>
        <v/>
      </c>
      <c r="Y40">
        <f>HYPERLINK("https://klasma.github.io/Logging_1862/tillsynsmail/A 23008-2026 tillsynsbegäran mail.docx", "A 23008-2026")</f>
        <v/>
      </c>
    </row>
    <row r="41" ht="15" customHeight="1">
      <c r="A41" t="inlineStr">
        <is>
          <t>A 26971-2026</t>
        </is>
      </c>
      <c r="B41" s="1" t="n">
        <v>46185</v>
      </c>
      <c r="C41" s="1" t="n">
        <v>46202</v>
      </c>
      <c r="D41" t="inlineStr">
        <is>
          <t>ÖREBRO LÄN</t>
        </is>
      </c>
      <c r="E41" t="inlineStr">
        <is>
          <t>DEGERFORS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HYPERLINK("https://klasma.github.io/Logging_1862/artfynd/A 26971-2026 artfynd.xlsx", "A 26971-2026")</f>
        <v/>
      </c>
      <c r="T41">
        <f>HYPERLINK("https://klasma.github.io/Logging_1862/kartor/A 26971-2026 karta.png", "A 26971-2026")</f>
        <v/>
      </c>
      <c r="V41">
        <f>HYPERLINK("https://klasma.github.io/Logging_1862/klagomål/A 26971-2026 FSC-klagomål.docx", "A 26971-2026")</f>
        <v/>
      </c>
      <c r="W41">
        <f>HYPERLINK("https://klasma.github.io/Logging_1862/klagomålsmail/A 26971-2026 FSC-klagomål mail.docx", "A 26971-2026")</f>
        <v/>
      </c>
      <c r="X41">
        <f>HYPERLINK("https://klasma.github.io/Logging_1862/tillsyn/A 26971-2026 tillsynsbegäran.docx", "A 26971-2026")</f>
        <v/>
      </c>
      <c r="Y41">
        <f>HYPERLINK("https://klasma.github.io/Logging_1862/tillsynsmail/A 26971-2026 tillsynsbegäran mail.docx", "A 26971-2026")</f>
        <v/>
      </c>
    </row>
    <row r="42" ht="15" customHeight="1">
      <c r="A42" t="inlineStr">
        <is>
          <t>A 27071-2026</t>
        </is>
      </c>
      <c r="B42" s="1" t="n">
        <v>46186</v>
      </c>
      <c r="C42" s="1" t="n">
        <v>46202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HYPERLINK("https://klasma.github.io/Logging_1862/artfynd/A 27071-2026 artfynd.xlsx", "A 27071-2026")</f>
        <v/>
      </c>
      <c r="T42">
        <f>HYPERLINK("https://klasma.github.io/Logging_1862/kartor/A 27071-2026 karta.png", "A 27071-2026")</f>
        <v/>
      </c>
      <c r="V42">
        <f>HYPERLINK("https://klasma.github.io/Logging_1862/klagomål/A 27071-2026 FSC-klagomål.docx", "A 27071-2026")</f>
        <v/>
      </c>
      <c r="W42">
        <f>HYPERLINK("https://klasma.github.io/Logging_1862/klagomålsmail/A 27071-2026 FSC-klagomål mail.docx", "A 27071-2026")</f>
        <v/>
      </c>
      <c r="X42">
        <f>HYPERLINK("https://klasma.github.io/Logging_1862/tillsyn/A 27071-2026 tillsynsbegäran.docx", "A 27071-2026")</f>
        <v/>
      </c>
      <c r="Y42">
        <f>HYPERLINK("https://klasma.github.io/Logging_1862/tillsynsmail/A 27071-2026 tillsynsbegäran mail.docx", "A 27071-2026")</f>
        <v/>
      </c>
    </row>
    <row r="43" ht="15" customHeight="1">
      <c r="A43" t="inlineStr">
        <is>
          <t>A 27072-2026</t>
        </is>
      </c>
      <c r="B43" s="1" t="n">
        <v>46186</v>
      </c>
      <c r="C43" s="1" t="n">
        <v>46202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7.6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HYPERLINK("https://klasma.github.io/Logging_1862/artfynd/A 27072-2026 artfynd.xlsx", "A 27072-2026")</f>
        <v/>
      </c>
      <c r="T43">
        <f>HYPERLINK("https://klasma.github.io/Logging_1862/kartor/A 27072-2026 karta.png", "A 27072-2026")</f>
        <v/>
      </c>
      <c r="V43">
        <f>HYPERLINK("https://klasma.github.io/Logging_1862/klagomål/A 27072-2026 FSC-klagomål.docx", "A 27072-2026")</f>
        <v/>
      </c>
      <c r="W43">
        <f>HYPERLINK("https://klasma.github.io/Logging_1862/klagomålsmail/A 27072-2026 FSC-klagomål mail.docx", "A 27072-2026")</f>
        <v/>
      </c>
      <c r="X43">
        <f>HYPERLINK("https://klasma.github.io/Logging_1862/tillsyn/A 27072-2026 tillsynsbegäran.docx", "A 27072-2026")</f>
        <v/>
      </c>
      <c r="Y43">
        <f>HYPERLINK("https://klasma.github.io/Logging_1862/tillsynsmail/A 27072-2026 tillsynsbegäran mail.docx", "A 27072-2026")</f>
        <v/>
      </c>
      <c r="Z43">
        <f>HYPERLINK("https://klasma.github.io/Logging_1862/fåglar/A 27072-2026 prioriterade fågelarter.docx", "A 27072-2026")</f>
        <v/>
      </c>
    </row>
    <row r="44" ht="15" customHeight="1">
      <c r="A44" t="inlineStr">
        <is>
          <t>A 28976-2026</t>
        </is>
      </c>
      <c r="B44" s="1" t="n">
        <v>46199</v>
      </c>
      <c r="C44" s="1" t="n">
        <v>46202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HYPERLINK("https://klasma.github.io/Logging_1862/artfynd/A 28976-2026 artfynd.xlsx", "A 28976-2026")</f>
        <v/>
      </c>
      <c r="T44">
        <f>HYPERLINK("https://klasma.github.io/Logging_1862/kartor/A 28976-2026 karta.png", "A 28976-2026")</f>
        <v/>
      </c>
      <c r="V44">
        <f>HYPERLINK("https://klasma.github.io/Logging_1862/klagomål/A 28976-2026 FSC-klagomål.docx", "A 28976-2026")</f>
        <v/>
      </c>
      <c r="W44">
        <f>HYPERLINK("https://klasma.github.io/Logging_1862/klagomålsmail/A 28976-2026 FSC-klagomål mail.docx", "A 28976-2026")</f>
        <v/>
      </c>
      <c r="X44">
        <f>HYPERLINK("https://klasma.github.io/Logging_1862/tillsyn/A 28976-2026 tillsynsbegäran.docx", "A 28976-2026")</f>
        <v/>
      </c>
      <c r="Y44">
        <f>HYPERLINK("https://klasma.github.io/Logging_1862/tillsynsmail/A 28976-2026 tillsynsbegäran mail.docx", "A 28976-2026")</f>
        <v/>
      </c>
    </row>
    <row r="45" ht="15" customHeight="1">
      <c r="A45" t="inlineStr">
        <is>
          <t>A 36798-2022</t>
        </is>
      </c>
      <c r="B45" s="1" t="n">
        <v>44805</v>
      </c>
      <c r="C45" s="1" t="n">
        <v>46202</v>
      </c>
      <c r="D45" t="inlineStr">
        <is>
          <t>ÖREBRO LÄN</t>
        </is>
      </c>
      <c r="E45" t="inlineStr">
        <is>
          <t>DEGERFORS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36784-2022</t>
        </is>
      </c>
      <c r="B46" s="1" t="n">
        <v>44805</v>
      </c>
      <c r="C46" s="1" t="n">
        <v>46202</v>
      </c>
      <c r="D46" t="inlineStr">
        <is>
          <t>ÖREBRO LÄN</t>
        </is>
      </c>
      <c r="E46" t="inlineStr">
        <is>
          <t>DEGERFORS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37122-2021</t>
        </is>
      </c>
      <c r="B47" s="1" t="n">
        <v>44396</v>
      </c>
      <c r="C47" s="1" t="n">
        <v>46202</v>
      </c>
      <c r="D47" t="inlineStr">
        <is>
          <t>ÖREBRO LÄN</t>
        </is>
      </c>
      <c r="E47" t="inlineStr">
        <is>
          <t>DEGERFORS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50599-2022</t>
        </is>
      </c>
      <c r="B48" s="1" t="n">
        <v>44861</v>
      </c>
      <c r="C48" s="1" t="n">
        <v>46202</v>
      </c>
      <c r="D48" t="inlineStr">
        <is>
          <t>ÖREBRO LÄN</t>
        </is>
      </c>
      <c r="E48" t="inlineStr">
        <is>
          <t>DEGERFORS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7510-2022</t>
        </is>
      </c>
      <c r="B49" s="1" t="n">
        <v>44607</v>
      </c>
      <c r="C49" s="1" t="n">
        <v>46202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37302-2021</t>
        </is>
      </c>
      <c r="B50" s="1" t="n">
        <v>44397</v>
      </c>
      <c r="C50" s="1" t="n">
        <v>46202</v>
      </c>
      <c r="D50" t="inlineStr">
        <is>
          <t>ÖREBRO LÄN</t>
        </is>
      </c>
      <c r="E50" t="inlineStr">
        <is>
          <t>DEGERFORS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8186-2022</t>
        </is>
      </c>
      <c r="B51" s="1" t="n">
        <v>44609</v>
      </c>
      <c r="C51" s="1" t="n">
        <v>46202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60889-2021</t>
        </is>
      </c>
      <c r="B52" s="1" t="n">
        <v>44497</v>
      </c>
      <c r="C52" s="1" t="n">
        <v>46202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19371-2022</t>
        </is>
      </c>
      <c r="B53" s="1" t="n">
        <v>44692</v>
      </c>
      <c r="C53" s="1" t="n">
        <v>46202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54137-2021</t>
        </is>
      </c>
      <c r="B54" s="1" t="n">
        <v>44470</v>
      </c>
      <c r="C54" s="1" t="n">
        <v>46202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47569-2022</t>
        </is>
      </c>
      <c r="B55" s="1" t="n">
        <v>44853</v>
      </c>
      <c r="C55" s="1" t="n">
        <v>46202</v>
      </c>
      <c r="D55" t="inlineStr">
        <is>
          <t>ÖREBRO LÄN</t>
        </is>
      </c>
      <c r="E55" t="inlineStr">
        <is>
          <t>DEGERFORS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5319-2022</t>
        </is>
      </c>
      <c r="B56" s="1" t="n">
        <v>44594</v>
      </c>
      <c r="C56" s="1" t="n">
        <v>46202</v>
      </c>
      <c r="D56" t="inlineStr">
        <is>
          <t>ÖREBRO LÄN</t>
        </is>
      </c>
      <c r="E56" t="inlineStr">
        <is>
          <t>DEGERFORS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32729-2021</t>
        </is>
      </c>
      <c r="B57" s="1" t="n">
        <v>44375</v>
      </c>
      <c r="C57" s="1" t="n">
        <v>46202</v>
      </c>
      <c r="D57" t="inlineStr">
        <is>
          <t>ÖREBRO LÄN</t>
        </is>
      </c>
      <c r="E57" t="inlineStr">
        <is>
          <t>DEGERFORS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65456-2021</t>
        </is>
      </c>
      <c r="B58" s="1" t="n">
        <v>44515</v>
      </c>
      <c r="C58" s="1" t="n">
        <v>46202</v>
      </c>
      <c r="D58" t="inlineStr">
        <is>
          <t>ÖREBRO LÄN</t>
        </is>
      </c>
      <c r="E58" t="inlineStr">
        <is>
          <t>DEGERFORS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12977-2022</t>
        </is>
      </c>
      <c r="B59" s="1" t="n">
        <v>44643</v>
      </c>
      <c r="C59" s="1" t="n">
        <v>46202</v>
      </c>
      <c r="D59" t="inlineStr">
        <is>
          <t>ÖREBRO LÄN</t>
        </is>
      </c>
      <c r="E59" t="inlineStr">
        <is>
          <t>DEGERFORS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67998-2021</t>
        </is>
      </c>
      <c r="B60" s="1" t="n">
        <v>44525</v>
      </c>
      <c r="C60" s="1" t="n">
        <v>46202</v>
      </c>
      <c r="D60" t="inlineStr">
        <is>
          <t>ÖREBRO LÄN</t>
        </is>
      </c>
      <c r="E60" t="inlineStr">
        <is>
          <t>DEGERFORS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63906-2021</t>
        </is>
      </c>
      <c r="B61" s="1" t="n">
        <v>44509</v>
      </c>
      <c r="C61" s="1" t="n">
        <v>46202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52457-2021</t>
        </is>
      </c>
      <c r="B62" s="1" t="n">
        <v>44466</v>
      </c>
      <c r="C62" s="1" t="n">
        <v>46202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63008-2021</t>
        </is>
      </c>
      <c r="B63" s="1" t="n">
        <v>44505</v>
      </c>
      <c r="C63" s="1" t="n">
        <v>46202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54139-2021</t>
        </is>
      </c>
      <c r="B64" s="1" t="n">
        <v>44470</v>
      </c>
      <c r="C64" s="1" t="n">
        <v>46202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68578-2021</t>
        </is>
      </c>
      <c r="B65" s="1" t="n">
        <v>44529</v>
      </c>
      <c r="C65" s="1" t="n">
        <v>46202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26176-2024</t>
        </is>
      </c>
      <c r="B66" s="1" t="n">
        <v>45468</v>
      </c>
      <c r="C66" s="1" t="n">
        <v>46202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3177-2022</t>
        </is>
      </c>
      <c r="B67" s="1" t="n">
        <v>44582</v>
      </c>
      <c r="C67" s="1" t="n">
        <v>46202</v>
      </c>
      <c r="D67" t="inlineStr">
        <is>
          <t>ÖREBRO LÄN</t>
        </is>
      </c>
      <c r="E67" t="inlineStr">
        <is>
          <t>DEGERFORS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50766-2024</t>
        </is>
      </c>
      <c r="B68" s="1" t="n">
        <v>45602</v>
      </c>
      <c r="C68" s="1" t="n">
        <v>46202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8184-2022</t>
        </is>
      </c>
      <c r="B69" s="1" t="n">
        <v>44609</v>
      </c>
      <c r="C69" s="1" t="n">
        <v>46202</v>
      </c>
      <c r="D69" t="inlineStr">
        <is>
          <t>ÖREBRO LÄN</t>
        </is>
      </c>
      <c r="E69" t="inlineStr">
        <is>
          <t>DEGERFORS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52523-2024</t>
        </is>
      </c>
      <c r="B70" s="1" t="n">
        <v>45609</v>
      </c>
      <c r="C70" s="1" t="n">
        <v>46202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18675-2025</t>
        </is>
      </c>
      <c r="B71" s="1" t="n">
        <v>45763</v>
      </c>
      <c r="C71" s="1" t="n">
        <v>46202</v>
      </c>
      <c r="D71" t="inlineStr">
        <is>
          <t>ÖREBRO LÄN</t>
        </is>
      </c>
      <c r="E71" t="inlineStr">
        <is>
          <t>DEGERFORS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7975-2025</t>
        </is>
      </c>
      <c r="B72" s="1" t="n">
        <v>45707</v>
      </c>
      <c r="C72" s="1" t="n">
        <v>46202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29607-2022</t>
        </is>
      </c>
      <c r="B73" s="1" t="n">
        <v>44754</v>
      </c>
      <c r="C73" s="1" t="n">
        <v>46202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54515-2023</t>
        </is>
      </c>
      <c r="B74" s="1" t="n">
        <v>45233</v>
      </c>
      <c r="C74" s="1" t="n">
        <v>46202</v>
      </c>
      <c r="D74" t="inlineStr">
        <is>
          <t>ÖREBRO LÄN</t>
        </is>
      </c>
      <c r="E74" t="inlineStr">
        <is>
          <t>DEGERFORS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37672-2024</t>
        </is>
      </c>
      <c r="B75" s="1" t="n">
        <v>45541</v>
      </c>
      <c r="C75" s="1" t="n">
        <v>46202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54994-2024</t>
        </is>
      </c>
      <c r="B76" s="1" t="n">
        <v>45621</v>
      </c>
      <c r="C76" s="1" t="n">
        <v>46202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5277-2024</t>
        </is>
      </c>
      <c r="B77" s="1" t="n">
        <v>45330</v>
      </c>
      <c r="C77" s="1" t="n">
        <v>46202</v>
      </c>
      <c r="D77" t="inlineStr">
        <is>
          <t>ÖREBRO LÄN</t>
        </is>
      </c>
      <c r="E77" t="inlineStr">
        <is>
          <t>DEGERFORS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50378-2024</t>
        </is>
      </c>
      <c r="B78" s="1" t="n">
        <v>45601</v>
      </c>
      <c r="C78" s="1" t="n">
        <v>46202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33293-2023</t>
        </is>
      </c>
      <c r="B79" s="1" t="n">
        <v>45116</v>
      </c>
      <c r="C79" s="1" t="n">
        <v>46202</v>
      </c>
      <c r="D79" t="inlineStr">
        <is>
          <t>ÖREBRO LÄN</t>
        </is>
      </c>
      <c r="E79" t="inlineStr">
        <is>
          <t>DEGERFORS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56478-2024</t>
        </is>
      </c>
      <c r="B80" s="1" t="n">
        <v>45624</v>
      </c>
      <c r="C80" s="1" t="n">
        <v>46202</v>
      </c>
      <c r="D80" t="inlineStr">
        <is>
          <t>ÖREBRO LÄN</t>
        </is>
      </c>
      <c r="E80" t="inlineStr">
        <is>
          <t>DEGERFORS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13236-2025</t>
        </is>
      </c>
      <c r="B81" s="1" t="n">
        <v>45735</v>
      </c>
      <c r="C81" s="1" t="n">
        <v>46202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8062-2024</t>
        </is>
      </c>
      <c r="B82" s="1" t="n">
        <v>45351</v>
      </c>
      <c r="C82" s="1" t="n">
        <v>46202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44807-2023</t>
        </is>
      </c>
      <c r="B83" s="1" t="n">
        <v>45190</v>
      </c>
      <c r="C83" s="1" t="n">
        <v>46202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38233-2023</t>
        </is>
      </c>
      <c r="B84" s="1" t="n">
        <v>45160</v>
      </c>
      <c r="C84" s="1" t="n">
        <v>46202</v>
      </c>
      <c r="D84" t="inlineStr">
        <is>
          <t>ÖREBRO LÄN</t>
        </is>
      </c>
      <c r="E84" t="inlineStr">
        <is>
          <t>DEGERFORS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51652-2023</t>
        </is>
      </c>
      <c r="B85" s="1" t="n">
        <v>45222</v>
      </c>
      <c r="C85" s="1" t="n">
        <v>46202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36963-2021</t>
        </is>
      </c>
      <c r="B86" s="1" t="n">
        <v>44393</v>
      </c>
      <c r="C86" s="1" t="n">
        <v>46202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38738-2022</t>
        </is>
      </c>
      <c r="B87" s="1" t="n">
        <v>44816</v>
      </c>
      <c r="C87" s="1" t="n">
        <v>46202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10674-2024</t>
        </is>
      </c>
      <c r="B88" s="1" t="n">
        <v>45369</v>
      </c>
      <c r="C88" s="1" t="n">
        <v>46202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10321-2023</t>
        </is>
      </c>
      <c r="B89" s="1" t="n">
        <v>44986</v>
      </c>
      <c r="C89" s="1" t="n">
        <v>46202</v>
      </c>
      <c r="D89" t="inlineStr">
        <is>
          <t>ÖREBRO LÄN</t>
        </is>
      </c>
      <c r="E89" t="inlineStr">
        <is>
          <t>DEGERFORS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60933-2024</t>
        </is>
      </c>
      <c r="B90" s="1" t="n">
        <v>45645</v>
      </c>
      <c r="C90" s="1" t="n">
        <v>46202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73693-2021</t>
        </is>
      </c>
      <c r="B91" s="1" t="n">
        <v>44552</v>
      </c>
      <c r="C91" s="1" t="n">
        <v>46202</v>
      </c>
      <c r="D91" t="inlineStr">
        <is>
          <t>ÖREBRO LÄN</t>
        </is>
      </c>
      <c r="E91" t="inlineStr">
        <is>
          <t>DEGERFORS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44457-2022</t>
        </is>
      </c>
      <c r="B92" s="1" t="n">
        <v>44839</v>
      </c>
      <c r="C92" s="1" t="n">
        <v>46202</v>
      </c>
      <c r="D92" t="inlineStr">
        <is>
          <t>ÖREBRO LÄN</t>
        </is>
      </c>
      <c r="E92" t="inlineStr">
        <is>
          <t>DEGERFORS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36437-2024</t>
        </is>
      </c>
      <c r="B93" s="1" t="n">
        <v>45535</v>
      </c>
      <c r="C93" s="1" t="n">
        <v>46202</v>
      </c>
      <c r="D93" t="inlineStr">
        <is>
          <t>ÖREBRO LÄN</t>
        </is>
      </c>
      <c r="E93" t="inlineStr">
        <is>
          <t>DEGERFORS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60937-2024</t>
        </is>
      </c>
      <c r="B94" s="1" t="n">
        <v>45645</v>
      </c>
      <c r="C94" s="1" t="n">
        <v>46202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60940-2024</t>
        </is>
      </c>
      <c r="B95" s="1" t="n">
        <v>45645</v>
      </c>
      <c r="C95" s="1" t="n">
        <v>46202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38921-2023</t>
        </is>
      </c>
      <c r="B96" s="1" t="n">
        <v>45163</v>
      </c>
      <c r="C96" s="1" t="n">
        <v>46202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52566-2023</t>
        </is>
      </c>
      <c r="B97" s="1" t="n">
        <v>45219</v>
      </c>
      <c r="C97" s="1" t="n">
        <v>46202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32211-2022</t>
        </is>
      </c>
      <c r="B98" s="1" t="n">
        <v>44781</v>
      </c>
      <c r="C98" s="1" t="n">
        <v>46202</v>
      </c>
      <c r="D98" t="inlineStr">
        <is>
          <t>ÖREBRO LÄN</t>
        </is>
      </c>
      <c r="E98" t="inlineStr">
        <is>
          <t>DEGERFORS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13405-2024</t>
        </is>
      </c>
      <c r="B99" s="1" t="n">
        <v>45387</v>
      </c>
      <c r="C99" s="1" t="n">
        <v>46202</v>
      </c>
      <c r="D99" t="inlineStr">
        <is>
          <t>ÖREBRO LÄN</t>
        </is>
      </c>
      <c r="E99" t="inlineStr">
        <is>
          <t>DEGERFORS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12729-2024</t>
        </is>
      </c>
      <c r="B100" s="1" t="n">
        <v>45384</v>
      </c>
      <c r="C100" s="1" t="n">
        <v>46202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52131-2021</t>
        </is>
      </c>
      <c r="B101" s="1" t="n">
        <v>44463</v>
      </c>
      <c r="C101" s="1" t="n">
        <v>46202</v>
      </c>
      <c r="D101" t="inlineStr">
        <is>
          <t>ÖREBRO LÄN</t>
        </is>
      </c>
      <c r="E101" t="inlineStr">
        <is>
          <t>DEGERFORS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57234-2024</t>
        </is>
      </c>
      <c r="B102" s="1" t="n">
        <v>45629</v>
      </c>
      <c r="C102" s="1" t="n">
        <v>46202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2565-2022</t>
        </is>
      </c>
      <c r="B103" s="1" t="n">
        <v>44579</v>
      </c>
      <c r="C103" s="1" t="n">
        <v>46202</v>
      </c>
      <c r="D103" t="inlineStr">
        <is>
          <t>ÖREBRO LÄN</t>
        </is>
      </c>
      <c r="E103" t="inlineStr">
        <is>
          <t>DEGERFORS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12148-2025</t>
        </is>
      </c>
      <c r="B104" s="1" t="n">
        <v>45729</v>
      </c>
      <c r="C104" s="1" t="n">
        <v>46202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8074-2024</t>
        </is>
      </c>
      <c r="B105" s="1" t="n">
        <v>45351</v>
      </c>
      <c r="C105" s="1" t="n">
        <v>46202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21952-2024</t>
        </is>
      </c>
      <c r="B106" s="1" t="n">
        <v>45443</v>
      </c>
      <c r="C106" s="1" t="n">
        <v>46202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60907-2023</t>
        </is>
      </c>
      <c r="B107" s="1" t="n">
        <v>45261</v>
      </c>
      <c r="C107" s="1" t="n">
        <v>46202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26820-2025</t>
        </is>
      </c>
      <c r="B108" s="1" t="n">
        <v>45810</v>
      </c>
      <c r="C108" s="1" t="n">
        <v>46202</v>
      </c>
      <c r="D108" t="inlineStr">
        <is>
          <t>ÖREBRO LÄN</t>
        </is>
      </c>
      <c r="E108" t="inlineStr">
        <is>
          <t>DEGERFORS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26783-2025</t>
        </is>
      </c>
      <c r="B109" s="1" t="n">
        <v>45810</v>
      </c>
      <c r="C109" s="1" t="n">
        <v>46202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62972-2023</t>
        </is>
      </c>
      <c r="B110" s="1" t="n">
        <v>45272</v>
      </c>
      <c r="C110" s="1" t="n">
        <v>46202</v>
      </c>
      <c r="D110" t="inlineStr">
        <is>
          <t>ÖREBRO LÄN</t>
        </is>
      </c>
      <c r="E110" t="inlineStr">
        <is>
          <t>DEGERFORS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61750-2021</t>
        </is>
      </c>
      <c r="B111" s="1" t="n">
        <v>44501</v>
      </c>
      <c r="C111" s="1" t="n">
        <v>46202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7472-2025</t>
        </is>
      </c>
      <c r="B112" s="1" t="n">
        <v>45705</v>
      </c>
      <c r="C112" s="1" t="n">
        <v>46202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28367-2025</t>
        </is>
      </c>
      <c r="B113" s="1" t="n">
        <v>45819</v>
      </c>
      <c r="C113" s="1" t="n">
        <v>46202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28368-2025</t>
        </is>
      </c>
      <c r="B114" s="1" t="n">
        <v>45819</v>
      </c>
      <c r="C114" s="1" t="n">
        <v>46202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12143-2025</t>
        </is>
      </c>
      <c r="B115" s="1" t="n">
        <v>45729</v>
      </c>
      <c r="C115" s="1" t="n">
        <v>46202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51653-2023</t>
        </is>
      </c>
      <c r="B116" s="1" t="n">
        <v>45222</v>
      </c>
      <c r="C116" s="1" t="n">
        <v>46202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23066-2022</t>
        </is>
      </c>
      <c r="B117" s="1" t="n">
        <v>44719</v>
      </c>
      <c r="C117" s="1" t="n">
        <v>46202</v>
      </c>
      <c r="D117" t="inlineStr">
        <is>
          <t>ÖREBRO LÄN</t>
        </is>
      </c>
      <c r="E117" t="inlineStr">
        <is>
          <t>DEGERFORS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20577-2023</t>
        </is>
      </c>
      <c r="B118" s="1" t="n">
        <v>45057</v>
      </c>
      <c r="C118" s="1" t="n">
        <v>46202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45365-2023</t>
        </is>
      </c>
      <c r="B119" s="1" t="n">
        <v>45192</v>
      </c>
      <c r="C119" s="1" t="n">
        <v>46202</v>
      </c>
      <c r="D119" t="inlineStr">
        <is>
          <t>ÖREBRO LÄN</t>
        </is>
      </c>
      <c r="E119" t="inlineStr">
        <is>
          <t>DEGERFORS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6387-2024</t>
        </is>
      </c>
      <c r="B120" s="1" t="n">
        <v>45338</v>
      </c>
      <c r="C120" s="1" t="n">
        <v>46202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50207-2024</t>
        </is>
      </c>
      <c r="B121" s="1" t="n">
        <v>45600</v>
      </c>
      <c r="C121" s="1" t="n">
        <v>46202</v>
      </c>
      <c r="D121" t="inlineStr">
        <is>
          <t>ÖREBRO LÄN</t>
        </is>
      </c>
      <c r="E121" t="inlineStr">
        <is>
          <t>DEGERFORS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50208-2024</t>
        </is>
      </c>
      <c r="B122" s="1" t="n">
        <v>45600</v>
      </c>
      <c r="C122" s="1" t="n">
        <v>46202</v>
      </c>
      <c r="D122" t="inlineStr">
        <is>
          <t>ÖREBRO LÄN</t>
        </is>
      </c>
      <c r="E122" t="inlineStr">
        <is>
          <t>DEGERFORS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63905-2021</t>
        </is>
      </c>
      <c r="B123" s="1" t="n">
        <v>44509</v>
      </c>
      <c r="C123" s="1" t="n">
        <v>46202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38743-2022</t>
        </is>
      </c>
      <c r="B124" s="1" t="n">
        <v>44816</v>
      </c>
      <c r="C124" s="1" t="n">
        <v>46202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33404-2025</t>
        </is>
      </c>
      <c r="B125" s="1" t="n">
        <v>45841</v>
      </c>
      <c r="C125" s="1" t="n">
        <v>46202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6240-2024</t>
        </is>
      </c>
      <c r="B126" s="1" t="n">
        <v>45337</v>
      </c>
      <c r="C126" s="1" t="n">
        <v>46202</v>
      </c>
      <c r="D126" t="inlineStr">
        <is>
          <t>ÖREBRO LÄN</t>
        </is>
      </c>
      <c r="E126" t="inlineStr">
        <is>
          <t>DEGERFORS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47935-2024</t>
        </is>
      </c>
      <c r="B127" s="1" t="n">
        <v>45589</v>
      </c>
      <c r="C127" s="1" t="n">
        <v>46202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59863-2024</t>
        </is>
      </c>
      <c r="B128" s="1" t="n">
        <v>45639</v>
      </c>
      <c r="C128" s="1" t="n">
        <v>46202</v>
      </c>
      <c r="D128" t="inlineStr">
        <is>
          <t>ÖREBRO LÄN</t>
        </is>
      </c>
      <c r="E128" t="inlineStr">
        <is>
          <t>DEGERFORS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6394-2024</t>
        </is>
      </c>
      <c r="B129" s="1" t="n">
        <v>45338</v>
      </c>
      <c r="C129" s="1" t="n">
        <v>46202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14678-2025</t>
        </is>
      </c>
      <c r="B130" s="1" t="n">
        <v>45742</v>
      </c>
      <c r="C130" s="1" t="n">
        <v>46202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14681-2025</t>
        </is>
      </c>
      <c r="B131" s="1" t="n">
        <v>45742</v>
      </c>
      <c r="C131" s="1" t="n">
        <v>46202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12108-2024</t>
        </is>
      </c>
      <c r="B132" s="1" t="n">
        <v>45376</v>
      </c>
      <c r="C132" s="1" t="n">
        <v>46202</v>
      </c>
      <c r="D132" t="inlineStr">
        <is>
          <t>ÖREBRO LÄN</t>
        </is>
      </c>
      <c r="E132" t="inlineStr">
        <is>
          <t>DEGERFORS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18831-2025</t>
        </is>
      </c>
      <c r="B133" s="1" t="n">
        <v>45764</v>
      </c>
      <c r="C133" s="1" t="n">
        <v>46202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50377-2024</t>
        </is>
      </c>
      <c r="B134" s="1" t="n">
        <v>45601</v>
      </c>
      <c r="C134" s="1" t="n">
        <v>46202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11085-2023</t>
        </is>
      </c>
      <c r="B135" s="1" t="n">
        <v>44986</v>
      </c>
      <c r="C135" s="1" t="n">
        <v>46202</v>
      </c>
      <c r="D135" t="inlineStr">
        <is>
          <t>ÖREBRO LÄN</t>
        </is>
      </c>
      <c r="E135" t="inlineStr">
        <is>
          <t>DEGERFORS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8059-2024</t>
        </is>
      </c>
      <c r="B136" s="1" t="n">
        <v>45351</v>
      </c>
      <c r="C136" s="1" t="n">
        <v>46202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44735-2021</t>
        </is>
      </c>
      <c r="B137" s="1" t="n">
        <v>44438</v>
      </c>
      <c r="C137" s="1" t="n">
        <v>46202</v>
      </c>
      <c r="D137" t="inlineStr">
        <is>
          <t>ÖREBRO LÄN</t>
        </is>
      </c>
      <c r="E137" t="inlineStr">
        <is>
          <t>DEGERFORS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32154-2023</t>
        </is>
      </c>
      <c r="B138" s="1" t="n">
        <v>45119</v>
      </c>
      <c r="C138" s="1" t="n">
        <v>46202</v>
      </c>
      <c r="D138" t="inlineStr">
        <is>
          <t>ÖREBRO LÄN</t>
        </is>
      </c>
      <c r="E138" t="inlineStr">
        <is>
          <t>DEGERFORS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29482-2023</t>
        </is>
      </c>
      <c r="B139" s="1" t="n">
        <v>45106</v>
      </c>
      <c r="C139" s="1" t="n">
        <v>46202</v>
      </c>
      <c r="D139" t="inlineStr">
        <is>
          <t>ÖREBRO LÄN</t>
        </is>
      </c>
      <c r="E139" t="inlineStr">
        <is>
          <t>DEGERFORS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38875-2025</t>
        </is>
      </c>
      <c r="B140" s="1" t="n">
        <v>45887</v>
      </c>
      <c r="C140" s="1" t="n">
        <v>46202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59158-2022</t>
        </is>
      </c>
      <c r="B141" s="1" t="n">
        <v>44904</v>
      </c>
      <c r="C141" s="1" t="n">
        <v>46202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37333-2025</t>
        </is>
      </c>
      <c r="B142" s="1" t="n">
        <v>45876</v>
      </c>
      <c r="C142" s="1" t="n">
        <v>46202</v>
      </c>
      <c r="D142" t="inlineStr">
        <is>
          <t>ÖREBRO LÄN</t>
        </is>
      </c>
      <c r="E142" t="inlineStr">
        <is>
          <t>DEGERFORS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37265-2025</t>
        </is>
      </c>
      <c r="B143" s="1" t="n">
        <v>45876</v>
      </c>
      <c r="C143" s="1" t="n">
        <v>46202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18773-2025</t>
        </is>
      </c>
      <c r="B144" s="1" t="n">
        <v>45763</v>
      </c>
      <c r="C144" s="1" t="n">
        <v>46202</v>
      </c>
      <c r="D144" t="inlineStr">
        <is>
          <t>ÖREBRO LÄN</t>
        </is>
      </c>
      <c r="E144" t="inlineStr">
        <is>
          <t>DEGERFORS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27438-2024</t>
        </is>
      </c>
      <c r="B145" s="1" t="n">
        <v>45474</v>
      </c>
      <c r="C145" s="1" t="n">
        <v>46202</v>
      </c>
      <c r="D145" t="inlineStr">
        <is>
          <t>ÖREBRO LÄN</t>
        </is>
      </c>
      <c r="E145" t="inlineStr">
        <is>
          <t>DEGERFORS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15594-2025</t>
        </is>
      </c>
      <c r="B146" s="1" t="n">
        <v>45747</v>
      </c>
      <c r="C146" s="1" t="n">
        <v>46202</v>
      </c>
      <c r="D146" t="inlineStr">
        <is>
          <t>ÖREBRO LÄN</t>
        </is>
      </c>
      <c r="E146" t="inlineStr">
        <is>
          <t>DEGERFORS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38874-2025</t>
        </is>
      </c>
      <c r="B147" s="1" t="n">
        <v>45887</v>
      </c>
      <c r="C147" s="1" t="n">
        <v>46202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46288-2024</t>
        </is>
      </c>
      <c r="B148" s="1" t="n">
        <v>45581</v>
      </c>
      <c r="C148" s="1" t="n">
        <v>46202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51996-2023</t>
        </is>
      </c>
      <c r="B149" s="1" t="n">
        <v>45223</v>
      </c>
      <c r="C149" s="1" t="n">
        <v>46202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10320-2023</t>
        </is>
      </c>
      <c r="B150" s="1" t="n">
        <v>44986</v>
      </c>
      <c r="C150" s="1" t="n">
        <v>46202</v>
      </c>
      <c r="D150" t="inlineStr">
        <is>
          <t>ÖREBRO LÄN</t>
        </is>
      </c>
      <c r="E150" t="inlineStr">
        <is>
          <t>DEGERFORS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58629-2024</t>
        </is>
      </c>
      <c r="B151" s="1" t="n">
        <v>45635</v>
      </c>
      <c r="C151" s="1" t="n">
        <v>46202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48625-2025</t>
        </is>
      </c>
      <c r="B152" s="1" t="n">
        <v>45936</v>
      </c>
      <c r="C152" s="1" t="n">
        <v>46202</v>
      </c>
      <c r="D152" t="inlineStr">
        <is>
          <t>ÖREBRO LÄN</t>
        </is>
      </c>
      <c r="E152" t="inlineStr">
        <is>
          <t>DEGERFORS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10797-2023</t>
        </is>
      </c>
      <c r="B153" s="1" t="n">
        <v>44989</v>
      </c>
      <c r="C153" s="1" t="n">
        <v>46202</v>
      </c>
      <c r="D153" t="inlineStr">
        <is>
          <t>ÖREBRO LÄN</t>
        </is>
      </c>
      <c r="E153" t="inlineStr">
        <is>
          <t>DEGERFORS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11084-2023</t>
        </is>
      </c>
      <c r="B154" s="1" t="n">
        <v>44986</v>
      </c>
      <c r="C154" s="1" t="n">
        <v>46202</v>
      </c>
      <c r="D154" t="inlineStr">
        <is>
          <t>ÖREBRO LÄN</t>
        </is>
      </c>
      <c r="E154" t="inlineStr">
        <is>
          <t>DEGERFORS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50764-2024</t>
        </is>
      </c>
      <c r="B155" s="1" t="n">
        <v>45602</v>
      </c>
      <c r="C155" s="1" t="n">
        <v>46202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33658-2024</t>
        </is>
      </c>
      <c r="B156" s="1" t="n">
        <v>45520</v>
      </c>
      <c r="C156" s="1" t="n">
        <v>46202</v>
      </c>
      <c r="D156" t="inlineStr">
        <is>
          <t>ÖREBRO LÄN</t>
        </is>
      </c>
      <c r="E156" t="inlineStr">
        <is>
          <t>DEGERFORS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50102-2023</t>
        </is>
      </c>
      <c r="B157" s="1" t="n">
        <v>45215</v>
      </c>
      <c r="C157" s="1" t="n">
        <v>46202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51040-2025</t>
        </is>
      </c>
      <c r="B158" s="1" t="n">
        <v>45947</v>
      </c>
      <c r="C158" s="1" t="n">
        <v>46202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41767-2025</t>
        </is>
      </c>
      <c r="B159" s="1" t="n">
        <v>45902</v>
      </c>
      <c r="C159" s="1" t="n">
        <v>46202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41766-2025</t>
        </is>
      </c>
      <c r="B160" s="1" t="n">
        <v>45902</v>
      </c>
      <c r="C160" s="1" t="n">
        <v>46202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52099-2025</t>
        </is>
      </c>
      <c r="B161" s="1" t="n">
        <v>45952</v>
      </c>
      <c r="C161" s="1" t="n">
        <v>46202</v>
      </c>
      <c r="D161" t="inlineStr">
        <is>
          <t>ÖREBRO LÄN</t>
        </is>
      </c>
      <c r="E161" t="inlineStr">
        <is>
          <t>DEGERFORS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62982-2023</t>
        </is>
      </c>
      <c r="B162" s="1" t="n">
        <v>45272</v>
      </c>
      <c r="C162" s="1" t="n">
        <v>46202</v>
      </c>
      <c r="D162" t="inlineStr">
        <is>
          <t>ÖREBRO LÄN</t>
        </is>
      </c>
      <c r="E162" t="inlineStr">
        <is>
          <t>DEGERFORS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45861-2023</t>
        </is>
      </c>
      <c r="B163" s="1" t="n">
        <v>45195</v>
      </c>
      <c r="C163" s="1" t="n">
        <v>46202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21935-2024</t>
        </is>
      </c>
      <c r="B164" s="1" t="n">
        <v>45443</v>
      </c>
      <c r="C164" s="1" t="n">
        <v>46202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43768-2024</t>
        </is>
      </c>
      <c r="B165" s="1" t="n">
        <v>45569</v>
      </c>
      <c r="C165" s="1" t="n">
        <v>46202</v>
      </c>
      <c r="D165" t="inlineStr">
        <is>
          <t>ÖREBRO LÄN</t>
        </is>
      </c>
      <c r="E165" t="inlineStr">
        <is>
          <t>DEGERFORS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43694-2025</t>
        </is>
      </c>
      <c r="B166" s="1" t="n">
        <v>45912</v>
      </c>
      <c r="C166" s="1" t="n">
        <v>46202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43691-2025</t>
        </is>
      </c>
      <c r="B167" s="1" t="n">
        <v>45912</v>
      </c>
      <c r="C167" s="1" t="n">
        <v>46202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43689-2025</t>
        </is>
      </c>
      <c r="B168" s="1" t="n">
        <v>45912</v>
      </c>
      <c r="C168" s="1" t="n">
        <v>46202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23460-2024</t>
        </is>
      </c>
      <c r="B169" s="1" t="n">
        <v>45453</v>
      </c>
      <c r="C169" s="1" t="n">
        <v>46202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55341-2025</t>
        </is>
      </c>
      <c r="B170" s="1" t="n">
        <v>45971</v>
      </c>
      <c r="C170" s="1" t="n">
        <v>46202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57086-2025</t>
        </is>
      </c>
      <c r="B171" s="1" t="n">
        <v>45979</v>
      </c>
      <c r="C171" s="1" t="n">
        <v>46202</v>
      </c>
      <c r="D171" t="inlineStr">
        <is>
          <t>ÖREBRO LÄN</t>
        </is>
      </c>
      <c r="E171" t="inlineStr">
        <is>
          <t>DEGERFORS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24707-2025</t>
        </is>
      </c>
      <c r="B172" s="1" t="n">
        <v>45798</v>
      </c>
      <c r="C172" s="1" t="n">
        <v>46202</v>
      </c>
      <c r="D172" t="inlineStr">
        <is>
          <t>ÖREBRO LÄN</t>
        </is>
      </c>
      <c r="E172" t="inlineStr">
        <is>
          <t>DEGERFORS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5218-2024</t>
        </is>
      </c>
      <c r="B173" s="1" t="n">
        <v>45330</v>
      </c>
      <c r="C173" s="1" t="n">
        <v>46202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60524-2025</t>
        </is>
      </c>
      <c r="B174" s="1" t="n">
        <v>45995</v>
      </c>
      <c r="C174" s="1" t="n">
        <v>46202</v>
      </c>
      <c r="D174" t="inlineStr">
        <is>
          <t>ÖREBRO LÄN</t>
        </is>
      </c>
      <c r="E174" t="inlineStr">
        <is>
          <t>DEGERFORS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26170-2025</t>
        </is>
      </c>
      <c r="B175" s="1" t="n">
        <v>45805</v>
      </c>
      <c r="C175" s="1" t="n">
        <v>46202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60736-2025</t>
        </is>
      </c>
      <c r="B176" s="1" t="n">
        <v>45996</v>
      </c>
      <c r="C176" s="1" t="n">
        <v>46202</v>
      </c>
      <c r="D176" t="inlineStr">
        <is>
          <t>ÖREBRO LÄN</t>
        </is>
      </c>
      <c r="E176" t="inlineStr">
        <is>
          <t>DEGERFORS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60708-2025</t>
        </is>
      </c>
      <c r="B177" s="1" t="n">
        <v>45996</v>
      </c>
      <c r="C177" s="1" t="n">
        <v>46202</v>
      </c>
      <c r="D177" t="inlineStr">
        <is>
          <t>ÖREBRO LÄN</t>
        </is>
      </c>
      <c r="E177" t="inlineStr">
        <is>
          <t>DEGERFORS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38917-2023</t>
        </is>
      </c>
      <c r="B178" s="1" t="n">
        <v>45163</v>
      </c>
      <c r="C178" s="1" t="n">
        <v>46202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48118-2023</t>
        </is>
      </c>
      <c r="B179" s="1" t="n">
        <v>45205</v>
      </c>
      <c r="C179" s="1" t="n">
        <v>46202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770-2026</t>
        </is>
      </c>
      <c r="B180" s="1" t="n">
        <v>46027</v>
      </c>
      <c r="C180" s="1" t="n">
        <v>46202</v>
      </c>
      <c r="D180" t="inlineStr">
        <is>
          <t>ÖREBRO LÄN</t>
        </is>
      </c>
      <c r="E180" t="inlineStr">
        <is>
          <t>DEGERFORS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9273-2026</t>
        </is>
      </c>
      <c r="B181" s="1" t="n">
        <v>46070</v>
      </c>
      <c r="C181" s="1" t="n">
        <v>46202</v>
      </c>
      <c r="D181" t="inlineStr">
        <is>
          <t>ÖREBRO LÄN</t>
        </is>
      </c>
      <c r="E181" t="inlineStr">
        <is>
          <t>DEGERFORS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12159-2026</t>
        </is>
      </c>
      <c r="B182" s="1" t="n">
        <v>46086</v>
      </c>
      <c r="C182" s="1" t="n">
        <v>46202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12160-2026</t>
        </is>
      </c>
      <c r="B183" s="1" t="n">
        <v>46086</v>
      </c>
      <c r="C183" s="1" t="n">
        <v>46202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12936-2026</t>
        </is>
      </c>
      <c r="B184" s="1" t="n">
        <v>46092</v>
      </c>
      <c r="C184" s="1" t="n">
        <v>46202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13293-2026</t>
        </is>
      </c>
      <c r="B185" s="1" t="n">
        <v>46094</v>
      </c>
      <c r="C185" s="1" t="n">
        <v>46202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13040-2026</t>
        </is>
      </c>
      <c r="B186" s="1" t="n">
        <v>46093</v>
      </c>
      <c r="C186" s="1" t="n">
        <v>46202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13039-2026</t>
        </is>
      </c>
      <c r="B187" s="1" t="n">
        <v>46093</v>
      </c>
      <c r="C187" s="1" t="n">
        <v>46202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22868-2026</t>
        </is>
      </c>
      <c r="B188" s="1" t="n">
        <v>46160</v>
      </c>
      <c r="C188" s="1" t="n">
        <v>46202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22870-2026</t>
        </is>
      </c>
      <c r="B189" s="1" t="n">
        <v>46160</v>
      </c>
      <c r="C189" s="1" t="n">
        <v>46202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22871-2026</t>
        </is>
      </c>
      <c r="B190" s="1" t="n">
        <v>46160</v>
      </c>
      <c r="C190" s="1" t="n">
        <v>46202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23230-2026</t>
        </is>
      </c>
      <c r="B191" s="1" t="n">
        <v>46162</v>
      </c>
      <c r="C191" s="1" t="n">
        <v>46202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23229-2026</t>
        </is>
      </c>
      <c r="B192" s="1" t="n">
        <v>46162</v>
      </c>
      <c r="C192" s="1" t="n">
        <v>46202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23854-2026</t>
        </is>
      </c>
      <c r="B193" s="1" t="n">
        <v>46167</v>
      </c>
      <c r="C193" s="1" t="n">
        <v>46202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24689-2026</t>
        </is>
      </c>
      <c r="B194" s="1" t="n">
        <v>46171</v>
      </c>
      <c r="C194" s="1" t="n">
        <v>46202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18913-2026</t>
        </is>
      </c>
      <c r="B195" s="1" t="n">
        <v>46129</v>
      </c>
      <c r="C195" s="1" t="n">
        <v>46202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24462-2026</t>
        </is>
      </c>
      <c r="B196" s="1" t="n">
        <v>46170</v>
      </c>
      <c r="C196" s="1" t="n">
        <v>46202</v>
      </c>
      <c r="D196" t="inlineStr">
        <is>
          <t>ÖREBRO LÄN</t>
        </is>
      </c>
      <c r="E196" t="inlineStr">
        <is>
          <t>DEGERFORS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24460-2026</t>
        </is>
      </c>
      <c r="B197" s="1" t="n">
        <v>46170</v>
      </c>
      <c r="C197" s="1" t="n">
        <v>46202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18506-2026</t>
        </is>
      </c>
      <c r="B198" s="1" t="n">
        <v>46127</v>
      </c>
      <c r="C198" s="1" t="n">
        <v>46202</v>
      </c>
      <c r="D198" t="inlineStr">
        <is>
          <t>ÖREBRO LÄN</t>
        </is>
      </c>
      <c r="E198" t="inlineStr">
        <is>
          <t>DEGERFORS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19227-2026</t>
        </is>
      </c>
      <c r="B199" s="1" t="n">
        <v>46132</v>
      </c>
      <c r="C199" s="1" t="n">
        <v>46202</v>
      </c>
      <c r="D199" t="inlineStr">
        <is>
          <t>ÖREBRO LÄN</t>
        </is>
      </c>
      <c r="E199" t="inlineStr">
        <is>
          <t>DEGERFORS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54082-2024</t>
        </is>
      </c>
      <c r="B200" s="1" t="n">
        <v>45616</v>
      </c>
      <c r="C200" s="1" t="n">
        <v>46202</v>
      </c>
      <c r="D200" t="inlineStr">
        <is>
          <t>ÖREBRO LÄN</t>
        </is>
      </c>
      <c r="E200" t="inlineStr">
        <is>
          <t>DEGERFORS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43752-2025</t>
        </is>
      </c>
      <c r="B201" s="1" t="n">
        <v>45912</v>
      </c>
      <c r="C201" s="1" t="n">
        <v>46202</v>
      </c>
      <c r="D201" t="inlineStr">
        <is>
          <t>ÖREBRO LÄN</t>
        </is>
      </c>
      <c r="E201" t="inlineStr">
        <is>
          <t>DEGERFORS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20567-2026</t>
        </is>
      </c>
      <c r="B202" s="1" t="n">
        <v>46140</v>
      </c>
      <c r="C202" s="1" t="n">
        <v>46202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20568-2026</t>
        </is>
      </c>
      <c r="B203" s="1" t="n">
        <v>46140</v>
      </c>
      <c r="C203" s="1" t="n">
        <v>46202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20478-2026</t>
        </is>
      </c>
      <c r="B204" s="1" t="n">
        <v>46140</v>
      </c>
      <c r="C204" s="1" t="n">
        <v>46202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20476-2026</t>
        </is>
      </c>
      <c r="B205" s="1" t="n">
        <v>46140</v>
      </c>
      <c r="C205" s="1" t="n">
        <v>46202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26857-2026</t>
        </is>
      </c>
      <c r="B206" s="1" t="n">
        <v>46185</v>
      </c>
      <c r="C206" s="1" t="n">
        <v>46202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26946-2026</t>
        </is>
      </c>
      <c r="B207" s="1" t="n">
        <v>46185</v>
      </c>
      <c r="C207" s="1" t="n">
        <v>46202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26947-2026</t>
        </is>
      </c>
      <c r="B208" s="1" t="n">
        <v>46185</v>
      </c>
      <c r="C208" s="1" t="n">
        <v>46202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27411-2026</t>
        </is>
      </c>
      <c r="B209" s="1" t="n">
        <v>46189</v>
      </c>
      <c r="C209" s="1" t="n">
        <v>46202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21440-2026</t>
        </is>
      </c>
      <c r="B210" s="1" t="n">
        <v>46148</v>
      </c>
      <c r="C210" s="1" t="n">
        <v>46202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27671-2026</t>
        </is>
      </c>
      <c r="B211" s="1" t="n">
        <v>46190</v>
      </c>
      <c r="C211" s="1" t="n">
        <v>46202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27745-2026</t>
        </is>
      </c>
      <c r="B212" s="1" t="n">
        <v>46191</v>
      </c>
      <c r="C212" s="1" t="n">
        <v>46202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27746-2026</t>
        </is>
      </c>
      <c r="B213" s="1" t="n">
        <v>46191</v>
      </c>
      <c r="C213" s="1" t="n">
        <v>46202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21402-2026</t>
        </is>
      </c>
      <c r="B214" s="1" t="n">
        <v>46148</v>
      </c>
      <c r="C214" s="1" t="n">
        <v>46202</v>
      </c>
      <c r="D214" t="inlineStr">
        <is>
          <t>ÖREBRO LÄN</t>
        </is>
      </c>
      <c r="E214" t="inlineStr">
        <is>
          <t>DEGERFORS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21660-2026</t>
        </is>
      </c>
      <c r="B215" s="1" t="n">
        <v>46149</v>
      </c>
      <c r="C215" s="1" t="n">
        <v>46202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21663-2026</t>
        </is>
      </c>
      <c r="B216" s="1" t="n">
        <v>46149</v>
      </c>
      <c r="C216" s="1" t="n">
        <v>46202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21442-2026</t>
        </is>
      </c>
      <c r="B217" s="1" t="n">
        <v>46148</v>
      </c>
      <c r="C217" s="1" t="n">
        <v>46202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21401-2026</t>
        </is>
      </c>
      <c r="B218" s="1" t="n">
        <v>46148</v>
      </c>
      <c r="C218" s="1" t="n">
        <v>46202</v>
      </c>
      <c r="D218" t="inlineStr">
        <is>
          <t>ÖREBRO LÄN</t>
        </is>
      </c>
      <c r="E218" t="inlineStr">
        <is>
          <t>DEGERFORS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27668-2026</t>
        </is>
      </c>
      <c r="B219" s="1" t="n">
        <v>46190</v>
      </c>
      <c r="C219" s="1" t="n">
        <v>46202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21662-2026</t>
        </is>
      </c>
      <c r="B220" s="1" t="n">
        <v>46149</v>
      </c>
      <c r="C220" s="1" t="n">
        <v>46202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27663-2026</t>
        </is>
      </c>
      <c r="B221" s="1" t="n">
        <v>46190</v>
      </c>
      <c r="C221" s="1" t="n">
        <v>46202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14680-2025</t>
        </is>
      </c>
      <c r="B222" s="1" t="n">
        <v>45742</v>
      </c>
      <c r="C222" s="1" t="n">
        <v>46202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44841-2023</t>
        </is>
      </c>
      <c r="B223" s="1" t="n">
        <v>45190</v>
      </c>
      <c r="C223" s="1" t="n">
        <v>46202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46222-2024</t>
        </is>
      </c>
      <c r="B224" s="1" t="n">
        <v>45581</v>
      </c>
      <c r="C224" s="1" t="n">
        <v>46202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46219-2024</t>
        </is>
      </c>
      <c r="B225" s="1" t="n">
        <v>45581</v>
      </c>
      <c r="C225" s="1" t="n">
        <v>46202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26153-2025</t>
        </is>
      </c>
      <c r="B226" s="1" t="n">
        <v>45805</v>
      </c>
      <c r="C226" s="1" t="n">
        <v>46202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28789-2026</t>
        </is>
      </c>
      <c r="B227" s="1" t="n">
        <v>46195</v>
      </c>
      <c r="C227" s="1" t="n">
        <v>46202</v>
      </c>
      <c r="D227" t="inlineStr">
        <is>
          <t>ÖREBRO LÄN</t>
        </is>
      </c>
      <c r="E227" t="inlineStr">
        <is>
          <t>DEGERFORS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28708-2026</t>
        </is>
      </c>
      <c r="B228" s="1" t="n">
        <v>46198</v>
      </c>
      <c r="C228" s="1" t="n">
        <v>46202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28930-2026</t>
        </is>
      </c>
      <c r="B229" s="1" t="n">
        <v>46199</v>
      </c>
      <c r="C229" s="1" t="n">
        <v>46202</v>
      </c>
      <c r="D229" t="inlineStr">
        <is>
          <t>ÖREBRO LÄN</t>
        </is>
      </c>
      <c r="E229" t="inlineStr">
        <is>
          <t>DEGERFORS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28695-2026</t>
        </is>
      </c>
      <c r="B230" s="1" t="n">
        <v>46198</v>
      </c>
      <c r="C230" s="1" t="n">
        <v>46202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28696-2026</t>
        </is>
      </c>
      <c r="B231" s="1" t="n">
        <v>46198</v>
      </c>
      <c r="C231" s="1" t="n">
        <v>46202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2026-06-29T00:56:58Z</dcterms:created>
  <dcterms:modified xmlns:dcterms="http://purl.org/dc/terms/" xmlns:xsi="http://www.w3.org/2001/XMLSchema-instance" xsi:type="dcterms:W3CDTF">2026-06-29T00:56:58Z</dcterms:modified>
</cp:coreProperties>
</file>