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45844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45844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45844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45844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45844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45844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50106-2023</t>
        </is>
      </c>
      <c r="B8" s="1" t="n">
        <v>45215</v>
      </c>
      <c r="C8" s="1" t="n">
        <v>45844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Dropptaggsvamp
Grönpyrola
Tjäder</t>
        </is>
      </c>
      <c r="S8">
        <f>HYPERLINK("https://klasma.github.io/Logging_1862/artfynd/A 50106-2023 artfynd.xlsx", "A 50106-2023")</f>
        <v/>
      </c>
      <c r="T8">
        <f>HYPERLINK("https://klasma.github.io/Logging_1862/kartor/A 50106-2023 karta.png", "A 50106-2023")</f>
        <v/>
      </c>
      <c r="V8">
        <f>HYPERLINK("https://klasma.github.io/Logging_1862/klagomål/A 50106-2023 FSC-klagomål.docx", "A 50106-2023")</f>
        <v/>
      </c>
      <c r="W8">
        <f>HYPERLINK("https://klasma.github.io/Logging_1862/klagomålsmail/A 50106-2023 FSC-klagomål mail.docx", "A 50106-2023")</f>
        <v/>
      </c>
      <c r="X8">
        <f>HYPERLINK("https://klasma.github.io/Logging_1862/tillsyn/A 50106-2023 tillsynsbegäran.docx", "A 50106-2023")</f>
        <v/>
      </c>
      <c r="Y8">
        <f>HYPERLINK("https://klasma.github.io/Logging_1862/tillsynsmail/A 50106-2023 tillsynsbegäran mail.docx", "A 50106-2023")</f>
        <v/>
      </c>
      <c r="Z8">
        <f>HYPERLINK("https://klasma.github.io/Logging_1862/fåglar/A 50106-2023 prioriterade fågelarter.docx", "A 50106-2023")</f>
        <v/>
      </c>
    </row>
    <row r="9" ht="15" customHeight="1">
      <c r="A9" t="inlineStr">
        <is>
          <t>A 48112-2023</t>
        </is>
      </c>
      <c r="B9" s="1" t="n">
        <v>45205</v>
      </c>
      <c r="C9" s="1" t="n">
        <v>45844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HYPERLINK("https://klasma.github.io/Logging_1862/artfynd/A 48112-2023 artfynd.xlsx", "A 48112-2023")</f>
        <v/>
      </c>
      <c r="T9">
        <f>HYPERLINK("https://klasma.github.io/Logging_1862/kartor/A 48112-2023 karta.png", "A 48112-2023")</f>
        <v/>
      </c>
      <c r="U9">
        <f>HYPERLINK("https://klasma.github.io/Logging_1862/knärot/A 48112-2023 karta knärot.png", "A 48112-2023")</f>
        <v/>
      </c>
      <c r="V9">
        <f>HYPERLINK("https://klasma.github.io/Logging_1862/klagomål/A 48112-2023 FSC-klagomål.docx", "A 48112-2023")</f>
        <v/>
      </c>
      <c r="W9">
        <f>HYPERLINK("https://klasma.github.io/Logging_1862/klagomålsmail/A 48112-2023 FSC-klagomål mail.docx", "A 48112-2023")</f>
        <v/>
      </c>
      <c r="X9">
        <f>HYPERLINK("https://klasma.github.io/Logging_1862/tillsyn/A 48112-2023 tillsynsbegäran.docx", "A 48112-2023")</f>
        <v/>
      </c>
      <c r="Y9">
        <f>HYPERLINK("https://klasma.github.io/Logging_1862/tillsynsmail/A 48112-2023 tillsynsbegäran mail.docx", "A 48112-2023")</f>
        <v/>
      </c>
    </row>
    <row r="10" ht="15" customHeight="1">
      <c r="A10" t="inlineStr">
        <is>
          <t>A 8063-2024</t>
        </is>
      </c>
      <c r="B10" s="1" t="n">
        <v>45351</v>
      </c>
      <c r="C10" s="1" t="n">
        <v>45844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Skogsklocka
Svinrot</t>
        </is>
      </c>
      <c r="S10">
        <f>HYPERLINK("https://klasma.github.io/Logging_1862/artfynd/A 8063-2024 artfynd.xlsx", "A 8063-2024")</f>
        <v/>
      </c>
      <c r="T10">
        <f>HYPERLINK("https://klasma.github.io/Logging_1862/kartor/A 8063-2024 karta.png", "A 8063-2024")</f>
        <v/>
      </c>
      <c r="V10">
        <f>HYPERLINK("https://klasma.github.io/Logging_1862/klagomål/A 8063-2024 FSC-klagomål.docx", "A 8063-2024")</f>
        <v/>
      </c>
      <c r="W10">
        <f>HYPERLINK("https://klasma.github.io/Logging_1862/klagomålsmail/A 8063-2024 FSC-klagomål mail.docx", "A 8063-2024")</f>
        <v/>
      </c>
      <c r="X10">
        <f>HYPERLINK("https://klasma.github.io/Logging_1862/tillsyn/A 8063-2024 tillsynsbegäran.docx", "A 8063-2024")</f>
        <v/>
      </c>
      <c r="Y10">
        <f>HYPERLINK("https://klasma.github.io/Logging_1862/tillsynsmail/A 8063-2024 tillsynsbegäran mail.docx", "A 8063-2024")</f>
        <v/>
      </c>
    </row>
    <row r="11" ht="15" customHeight="1">
      <c r="A11" t="inlineStr">
        <is>
          <t>A 54134-2021</t>
        </is>
      </c>
      <c r="B11" s="1" t="n">
        <v>44470</v>
      </c>
      <c r="C11" s="1" t="n">
        <v>45844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HYPERLINK("https://klasma.github.io/Logging_1862/artfynd/A 54134-2021 artfynd.xlsx", "A 54134-2021")</f>
        <v/>
      </c>
      <c r="T11">
        <f>HYPERLINK("https://klasma.github.io/Logging_1862/kartor/A 54134-2021 karta.png", "A 54134-2021")</f>
        <v/>
      </c>
      <c r="V11">
        <f>HYPERLINK("https://klasma.github.io/Logging_1862/klagomål/A 54134-2021 FSC-klagomål.docx", "A 54134-2021")</f>
        <v/>
      </c>
      <c r="W11">
        <f>HYPERLINK("https://klasma.github.io/Logging_1862/klagomålsmail/A 54134-2021 FSC-klagomål mail.docx", "A 54134-2021")</f>
        <v/>
      </c>
      <c r="X11">
        <f>HYPERLINK("https://klasma.github.io/Logging_1862/tillsyn/A 54134-2021 tillsynsbegäran.docx", "A 54134-2021")</f>
        <v/>
      </c>
      <c r="Y11">
        <f>HYPERLINK("https://klasma.github.io/Logging_1862/tillsynsmail/A 54134-2021 tillsynsbegäran mail.docx", "A 54134-2021")</f>
        <v/>
      </c>
    </row>
    <row r="12" ht="15" customHeight="1">
      <c r="A12" t="inlineStr">
        <is>
          <t>A 58132-2021</t>
        </is>
      </c>
      <c r="B12" s="1" t="n">
        <v>44487</v>
      </c>
      <c r="C12" s="1" t="n">
        <v>45844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Hårklomossa</t>
        </is>
      </c>
      <c r="S12">
        <f>HYPERLINK("https://klasma.github.io/Logging_1862/artfynd/A 58132-2021 artfynd.xlsx", "A 58132-2021")</f>
        <v/>
      </c>
      <c r="T12">
        <f>HYPERLINK("https://klasma.github.io/Logging_1862/kartor/A 58132-2021 karta.png", "A 58132-2021")</f>
        <v/>
      </c>
      <c r="V12">
        <f>HYPERLINK("https://klasma.github.io/Logging_1862/klagomål/A 58132-2021 FSC-klagomål.docx", "A 58132-2021")</f>
        <v/>
      </c>
      <c r="W12">
        <f>HYPERLINK("https://klasma.github.io/Logging_1862/klagomålsmail/A 58132-2021 FSC-klagomål mail.docx", "A 58132-2021")</f>
        <v/>
      </c>
      <c r="X12">
        <f>HYPERLINK("https://klasma.github.io/Logging_1862/tillsyn/A 58132-2021 tillsynsbegäran.docx", "A 58132-2021")</f>
        <v/>
      </c>
      <c r="Y12">
        <f>HYPERLINK("https://klasma.github.io/Logging_1862/tillsynsmail/A 58132-2021 tillsynsbegäran mail.docx", "A 58132-2021")</f>
        <v/>
      </c>
    </row>
    <row r="13" ht="15" customHeight="1">
      <c r="A13" t="inlineStr">
        <is>
          <t>A 47569-2022</t>
        </is>
      </c>
      <c r="B13" s="1" t="n">
        <v>44853</v>
      </c>
      <c r="C13" s="1" t="n">
        <v>45844</v>
      </c>
      <c r="D13" t="inlineStr">
        <is>
          <t>ÖREBRO LÄN</t>
        </is>
      </c>
      <c r="E13" t="inlineStr">
        <is>
          <t>DEGERFORS</t>
        </is>
      </c>
      <c r="G13" t="n">
        <v>2.5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HYPERLINK("https://klasma.github.io/Logging_1862/artfynd/A 47569-2022 artfynd.xlsx", "A 47569-2022")</f>
        <v/>
      </c>
      <c r="T13">
        <f>HYPERLINK("https://klasma.github.io/Logging_1862/kartor/A 47569-2022 karta.png", "A 47569-2022")</f>
        <v/>
      </c>
      <c r="V13">
        <f>HYPERLINK("https://klasma.github.io/Logging_1862/klagomål/A 47569-2022 FSC-klagomål.docx", "A 47569-2022")</f>
        <v/>
      </c>
      <c r="W13">
        <f>HYPERLINK("https://klasma.github.io/Logging_1862/klagomålsmail/A 47569-2022 FSC-klagomål mail.docx", "A 47569-2022")</f>
        <v/>
      </c>
      <c r="X13">
        <f>HYPERLINK("https://klasma.github.io/Logging_1862/tillsyn/A 47569-2022 tillsynsbegäran.docx", "A 47569-2022")</f>
        <v/>
      </c>
      <c r="Y13">
        <f>HYPERLINK("https://klasma.github.io/Logging_1862/tillsynsmail/A 47569-2022 tillsynsbegäran mail.docx", "A 47569-2022")</f>
        <v/>
      </c>
    </row>
    <row r="14" ht="15" customHeight="1">
      <c r="A14" t="inlineStr">
        <is>
          <t>A 7384-2023</t>
        </is>
      </c>
      <c r="B14" s="1" t="n">
        <v>44966</v>
      </c>
      <c r="C14" s="1" t="n">
        <v>45844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HYPERLINK("https://klasma.github.io/Logging_1862/artfynd/A 7384-2023 artfynd.xlsx", "A 7384-2023")</f>
        <v/>
      </c>
      <c r="T14">
        <f>HYPERLINK("https://klasma.github.io/Logging_1862/kartor/A 7384-2023 karta.png", "A 7384-2023")</f>
        <v/>
      </c>
      <c r="V14">
        <f>HYPERLINK("https://klasma.github.io/Logging_1862/klagomål/A 7384-2023 FSC-klagomål.docx", "A 7384-2023")</f>
        <v/>
      </c>
      <c r="W14">
        <f>HYPERLINK("https://klasma.github.io/Logging_1862/klagomålsmail/A 7384-2023 FSC-klagomål mail.docx", "A 7384-2023")</f>
        <v/>
      </c>
      <c r="X14">
        <f>HYPERLINK("https://klasma.github.io/Logging_1862/tillsyn/A 7384-2023 tillsynsbegäran.docx", "A 7384-2023")</f>
        <v/>
      </c>
      <c r="Y14">
        <f>HYPERLINK("https://klasma.github.io/Logging_1862/tillsynsmail/A 7384-2023 tillsynsbegäran mail.docx", "A 7384-2023")</f>
        <v/>
      </c>
    </row>
    <row r="15" ht="15" customHeight="1">
      <c r="A15" t="inlineStr">
        <is>
          <t>A 27088-2023</t>
        </is>
      </c>
      <c r="B15" s="1" t="n">
        <v>45096</v>
      </c>
      <c r="C15" s="1" t="n">
        <v>45844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Stubbspretmossa</t>
        </is>
      </c>
      <c r="S15">
        <f>HYPERLINK("https://klasma.github.io/Logging_1862/artfynd/A 27088-2023 artfynd.xlsx", "A 27088-2023")</f>
        <v/>
      </c>
      <c r="T15">
        <f>HYPERLINK("https://klasma.github.io/Logging_1862/kartor/A 27088-2023 karta.png", "A 27088-2023")</f>
        <v/>
      </c>
      <c r="V15">
        <f>HYPERLINK("https://klasma.github.io/Logging_1862/klagomål/A 27088-2023 FSC-klagomål.docx", "A 27088-2023")</f>
        <v/>
      </c>
      <c r="W15">
        <f>HYPERLINK("https://klasma.github.io/Logging_1862/klagomålsmail/A 27088-2023 FSC-klagomål mail.docx", "A 27088-2023")</f>
        <v/>
      </c>
      <c r="X15">
        <f>HYPERLINK("https://klasma.github.io/Logging_1862/tillsyn/A 27088-2023 tillsynsbegäran.docx", "A 27088-2023")</f>
        <v/>
      </c>
      <c r="Y15">
        <f>HYPERLINK("https://klasma.github.io/Logging_1862/tillsynsmail/A 27088-2023 tillsynsbegäran mail.docx", "A 27088-2023")</f>
        <v/>
      </c>
    </row>
    <row r="16" ht="15" customHeight="1">
      <c r="A16" t="inlineStr">
        <is>
          <t>A 27093-2023</t>
        </is>
      </c>
      <c r="B16" s="1" t="n">
        <v>45096</v>
      </c>
      <c r="C16" s="1" t="n">
        <v>45844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27093-2023 artfynd.xlsx", "A 27093-2023")</f>
        <v/>
      </c>
      <c r="T16">
        <f>HYPERLINK("https://klasma.github.io/Logging_1862/kartor/A 27093-2023 karta.png", "A 27093-2023")</f>
        <v/>
      </c>
      <c r="V16">
        <f>HYPERLINK("https://klasma.github.io/Logging_1862/klagomål/A 27093-2023 FSC-klagomål.docx", "A 27093-2023")</f>
        <v/>
      </c>
      <c r="W16">
        <f>HYPERLINK("https://klasma.github.io/Logging_1862/klagomålsmail/A 27093-2023 FSC-klagomål mail.docx", "A 27093-2023")</f>
        <v/>
      </c>
      <c r="X16">
        <f>HYPERLINK("https://klasma.github.io/Logging_1862/tillsyn/A 27093-2023 tillsynsbegäran.docx", "A 27093-2023")</f>
        <v/>
      </c>
      <c r="Y16">
        <f>HYPERLINK("https://klasma.github.io/Logging_1862/tillsynsmail/A 27093-2023 tillsynsbegäran mail.docx", "A 27093-2023")</f>
        <v/>
      </c>
      <c r="Z16">
        <f>HYPERLINK("https://klasma.github.io/Logging_1862/fåglar/A 27093-2023 prioriterade fågelarter.docx", "A 27093-2023")</f>
        <v/>
      </c>
    </row>
    <row r="17" ht="15" customHeight="1">
      <c r="A17" t="inlineStr">
        <is>
          <t>A 41520-2023</t>
        </is>
      </c>
      <c r="B17" s="1" t="n">
        <v>45175</v>
      </c>
      <c r="C17" s="1" t="n">
        <v>45844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41520-2023 artfynd.xlsx", "A 41520-2023")</f>
        <v/>
      </c>
      <c r="T17">
        <f>HYPERLINK("https://klasma.github.io/Logging_1862/kartor/A 41520-2023 karta.png", "A 41520-2023")</f>
        <v/>
      </c>
      <c r="V17">
        <f>HYPERLINK("https://klasma.github.io/Logging_1862/klagomål/A 41520-2023 FSC-klagomål.docx", "A 41520-2023")</f>
        <v/>
      </c>
      <c r="W17">
        <f>HYPERLINK("https://klasma.github.io/Logging_1862/klagomålsmail/A 41520-2023 FSC-klagomål mail.docx", "A 41520-2023")</f>
        <v/>
      </c>
      <c r="X17">
        <f>HYPERLINK("https://klasma.github.io/Logging_1862/tillsyn/A 41520-2023 tillsynsbegäran.docx", "A 41520-2023")</f>
        <v/>
      </c>
      <c r="Y17">
        <f>HYPERLINK("https://klasma.github.io/Logging_1862/tillsynsmail/A 41520-2023 tillsynsbegäran mail.docx", "A 41520-2023")</f>
        <v/>
      </c>
      <c r="Z17">
        <f>HYPERLINK("https://klasma.github.io/Logging_1862/fåglar/A 41520-2023 prioriterade fågelarter.docx", "A 41520-2023")</f>
        <v/>
      </c>
    </row>
    <row r="18" ht="15" customHeight="1">
      <c r="A18" t="inlineStr">
        <is>
          <t>A 44858-2023</t>
        </is>
      </c>
      <c r="B18" s="1" t="n">
        <v>45190</v>
      </c>
      <c r="C18" s="1" t="n">
        <v>45844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14.6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HYPERLINK("https://klasma.github.io/Logging_1862/artfynd/A 44858-2023 artfynd.xlsx", "A 44858-2023")</f>
        <v/>
      </c>
      <c r="T18">
        <f>HYPERLINK("https://klasma.github.io/Logging_1862/kartor/A 44858-2023 karta.png", "A 44858-2023")</f>
        <v/>
      </c>
      <c r="V18">
        <f>HYPERLINK("https://klasma.github.io/Logging_1862/klagomål/A 44858-2023 FSC-klagomål.docx", "A 44858-2023")</f>
        <v/>
      </c>
      <c r="W18">
        <f>HYPERLINK("https://klasma.github.io/Logging_1862/klagomålsmail/A 44858-2023 FSC-klagomål mail.docx", "A 44858-2023")</f>
        <v/>
      </c>
      <c r="X18">
        <f>HYPERLINK("https://klasma.github.io/Logging_1862/tillsyn/A 44858-2023 tillsynsbegäran.docx", "A 44858-2023")</f>
        <v/>
      </c>
      <c r="Y18">
        <f>HYPERLINK("https://klasma.github.io/Logging_1862/tillsynsmail/A 44858-2023 tillsynsbegäran mail.docx", "A 44858-2023")</f>
        <v/>
      </c>
      <c r="Z18">
        <f>HYPERLINK("https://klasma.github.io/Logging_1862/fåglar/A 44858-2023 prioriterade fågelarter.docx", "A 44858-2023")</f>
        <v/>
      </c>
    </row>
    <row r="19" ht="15" customHeight="1">
      <c r="A19" t="inlineStr">
        <is>
          <t>A 44862-2023</t>
        </is>
      </c>
      <c r="B19" s="1" t="n">
        <v>45190</v>
      </c>
      <c r="C19" s="1" t="n">
        <v>45844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HYPERLINK("https://klasma.github.io/Logging_1862/artfynd/A 44862-2023 artfynd.xlsx", "A 44862-2023")</f>
        <v/>
      </c>
      <c r="T19">
        <f>HYPERLINK("https://klasma.github.io/Logging_1862/kartor/A 44862-2023 karta.png", "A 44862-2023")</f>
        <v/>
      </c>
      <c r="V19">
        <f>HYPERLINK("https://klasma.github.io/Logging_1862/klagomål/A 44862-2023 FSC-klagomål.docx", "A 44862-2023")</f>
        <v/>
      </c>
      <c r="W19">
        <f>HYPERLINK("https://klasma.github.io/Logging_1862/klagomålsmail/A 44862-2023 FSC-klagomål mail.docx", "A 44862-2023")</f>
        <v/>
      </c>
      <c r="X19">
        <f>HYPERLINK("https://klasma.github.io/Logging_1862/tillsyn/A 44862-2023 tillsynsbegäran.docx", "A 44862-2023")</f>
        <v/>
      </c>
      <c r="Y19">
        <f>HYPERLINK("https://klasma.github.io/Logging_1862/tillsynsmail/A 44862-2023 tillsynsbegäran mail.docx", "A 44862-2023")</f>
        <v/>
      </c>
    </row>
    <row r="20" ht="15" customHeight="1">
      <c r="A20" t="inlineStr">
        <is>
          <t>A 48284-2023</t>
        </is>
      </c>
      <c r="B20" s="1" t="n">
        <v>45205</v>
      </c>
      <c r="C20" s="1" t="n">
        <v>45844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6.7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48284-2023 artfynd.xlsx", "A 48284-2023")</f>
        <v/>
      </c>
      <c r="T20">
        <f>HYPERLINK("https://klasma.github.io/Logging_1862/kartor/A 48284-2023 karta.png", "A 48284-2023")</f>
        <v/>
      </c>
      <c r="V20">
        <f>HYPERLINK("https://klasma.github.io/Logging_1862/klagomål/A 48284-2023 FSC-klagomål.docx", "A 48284-2023")</f>
        <v/>
      </c>
      <c r="W20">
        <f>HYPERLINK("https://klasma.github.io/Logging_1862/klagomålsmail/A 48284-2023 FSC-klagomål mail.docx", "A 48284-2023")</f>
        <v/>
      </c>
      <c r="X20">
        <f>HYPERLINK("https://klasma.github.io/Logging_1862/tillsyn/A 48284-2023 tillsynsbegäran.docx", "A 48284-2023")</f>
        <v/>
      </c>
      <c r="Y20">
        <f>HYPERLINK("https://klasma.github.io/Logging_1862/tillsynsmail/A 48284-2023 tillsynsbegäran mail.docx", "A 48284-2023")</f>
        <v/>
      </c>
      <c r="Z20">
        <f>HYPERLINK("https://klasma.github.io/Logging_1862/fåglar/A 48284-2023 prioriterade fågelarter.docx", "A 48284-2023")</f>
        <v/>
      </c>
    </row>
    <row r="21" ht="15" customHeight="1">
      <c r="A21" t="inlineStr">
        <is>
          <t>A 51630-2023</t>
        </is>
      </c>
      <c r="B21" s="1" t="n">
        <v>45222</v>
      </c>
      <c r="C21" s="1" t="n">
        <v>45844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Sångsvan</t>
        </is>
      </c>
      <c r="S21">
        <f>HYPERLINK("https://klasma.github.io/Logging_1862/artfynd/A 51630-2023 artfynd.xlsx", "A 51630-2023")</f>
        <v/>
      </c>
      <c r="T21">
        <f>HYPERLINK("https://klasma.github.io/Logging_1862/kartor/A 51630-2023 karta.png", "A 51630-2023")</f>
        <v/>
      </c>
      <c r="V21">
        <f>HYPERLINK("https://klasma.github.io/Logging_1862/klagomål/A 51630-2023 FSC-klagomål.docx", "A 51630-2023")</f>
        <v/>
      </c>
      <c r="W21">
        <f>HYPERLINK("https://klasma.github.io/Logging_1862/klagomålsmail/A 51630-2023 FSC-klagomål mail.docx", "A 51630-2023")</f>
        <v/>
      </c>
      <c r="X21">
        <f>HYPERLINK("https://klasma.github.io/Logging_1862/tillsyn/A 51630-2023 tillsynsbegäran.docx", "A 51630-2023")</f>
        <v/>
      </c>
      <c r="Y21">
        <f>HYPERLINK("https://klasma.github.io/Logging_1862/tillsynsmail/A 51630-2023 tillsynsbegäran mail.docx", "A 51630-2023")</f>
        <v/>
      </c>
      <c r="Z21">
        <f>HYPERLINK("https://klasma.github.io/Logging_1862/fåglar/A 51630-2023 prioriterade fågelarter.docx", "A 51630-2023")</f>
        <v/>
      </c>
    </row>
    <row r="22" ht="15" customHeight="1">
      <c r="A22" t="inlineStr">
        <is>
          <t>A 53895-2023</t>
        </is>
      </c>
      <c r="B22" s="1" t="n">
        <v>45224</v>
      </c>
      <c r="C22" s="1" t="n">
        <v>45844</v>
      </c>
      <c r="D22" t="inlineStr">
        <is>
          <t>ÖREBRO LÄN</t>
        </is>
      </c>
      <c r="E22" t="inlineStr">
        <is>
          <t>DEGERFORS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HYPERLINK("https://klasma.github.io/Logging_1862/artfynd/A 53895-2023 artfynd.xlsx", "A 53895-2023")</f>
        <v/>
      </c>
      <c r="T22">
        <f>HYPERLINK("https://klasma.github.io/Logging_1862/kartor/A 53895-2023 karta.png", "A 53895-2023")</f>
        <v/>
      </c>
      <c r="V22">
        <f>HYPERLINK("https://klasma.github.io/Logging_1862/klagomål/A 53895-2023 FSC-klagomål.docx", "A 53895-2023")</f>
        <v/>
      </c>
      <c r="W22">
        <f>HYPERLINK("https://klasma.github.io/Logging_1862/klagomålsmail/A 53895-2023 FSC-klagomål mail.docx", "A 53895-2023")</f>
        <v/>
      </c>
      <c r="X22">
        <f>HYPERLINK("https://klasma.github.io/Logging_1862/tillsyn/A 53895-2023 tillsynsbegäran.docx", "A 53895-2023")</f>
        <v/>
      </c>
      <c r="Y22">
        <f>HYPERLINK("https://klasma.github.io/Logging_1862/tillsynsmail/A 53895-2023 tillsynsbegäran mail.docx", "A 53895-2023")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45844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21951-2024</t>
        </is>
      </c>
      <c r="B24" s="1" t="n">
        <v>45443</v>
      </c>
      <c r="C24" s="1" t="n">
        <v>45844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Strandlummer</t>
        </is>
      </c>
      <c r="S24">
        <f>HYPERLINK("https://klasma.github.io/Logging_1862/artfynd/A 21951-2024 artfynd.xlsx", "A 21951-2024")</f>
        <v/>
      </c>
      <c r="T24">
        <f>HYPERLINK("https://klasma.github.io/Logging_1862/kartor/A 21951-2024 karta.png", "A 21951-2024")</f>
        <v/>
      </c>
      <c r="V24">
        <f>HYPERLINK("https://klasma.github.io/Logging_1862/klagomål/A 21951-2024 FSC-klagomål.docx", "A 21951-2024")</f>
        <v/>
      </c>
      <c r="W24">
        <f>HYPERLINK("https://klasma.github.io/Logging_1862/klagomålsmail/A 21951-2024 FSC-klagomål mail.docx", "A 21951-2024")</f>
        <v/>
      </c>
      <c r="X24">
        <f>HYPERLINK("https://klasma.github.io/Logging_1862/tillsyn/A 21951-2024 tillsynsbegäran.docx", "A 21951-2024")</f>
        <v/>
      </c>
      <c r="Y24">
        <f>HYPERLINK("https://klasma.github.io/Logging_1862/tillsynsmail/A 21951-2024 tillsynsbegäran mail.docx", "A 21951-2024")</f>
        <v/>
      </c>
    </row>
    <row r="25" ht="15" customHeight="1">
      <c r="A25" t="inlineStr">
        <is>
          <t>A 47917-2024</t>
        </is>
      </c>
      <c r="B25" s="1" t="n">
        <v>45589</v>
      </c>
      <c r="C25" s="1" t="n">
        <v>45844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47917-2024 artfynd.xlsx", "A 47917-2024")</f>
        <v/>
      </c>
      <c r="T25">
        <f>HYPERLINK("https://klasma.github.io/Logging_1862/kartor/A 47917-2024 karta.png", "A 47917-2024")</f>
        <v/>
      </c>
      <c r="V25">
        <f>HYPERLINK("https://klasma.github.io/Logging_1862/klagomål/A 47917-2024 FSC-klagomål.docx", "A 47917-2024")</f>
        <v/>
      </c>
      <c r="W25">
        <f>HYPERLINK("https://klasma.github.io/Logging_1862/klagomålsmail/A 47917-2024 FSC-klagomål mail.docx", "A 47917-2024")</f>
        <v/>
      </c>
      <c r="X25">
        <f>HYPERLINK("https://klasma.github.io/Logging_1862/tillsyn/A 47917-2024 tillsynsbegäran.docx", "A 47917-2024")</f>
        <v/>
      </c>
      <c r="Y25">
        <f>HYPERLINK("https://klasma.github.io/Logging_1862/tillsynsmail/A 47917-2024 tillsynsbegäran mail.docx", "A 47917-2024")</f>
        <v/>
      </c>
    </row>
    <row r="26" ht="15" customHeight="1">
      <c r="A26" t="inlineStr">
        <is>
          <t>A 47915-2024</t>
        </is>
      </c>
      <c r="B26" s="1" t="n">
        <v>45589</v>
      </c>
      <c r="C26" s="1" t="n">
        <v>45844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HYPERLINK("https://klasma.github.io/Logging_1862/artfynd/A 47915-2024 artfynd.xlsx", "A 47915-2024")</f>
        <v/>
      </c>
      <c r="T26">
        <f>HYPERLINK("https://klasma.github.io/Logging_1862/kartor/A 47915-2024 karta.png", "A 47915-2024")</f>
        <v/>
      </c>
      <c r="V26">
        <f>HYPERLINK("https://klasma.github.io/Logging_1862/klagomål/A 47915-2024 FSC-klagomål.docx", "A 47915-2024")</f>
        <v/>
      </c>
      <c r="W26">
        <f>HYPERLINK("https://klasma.github.io/Logging_1862/klagomålsmail/A 47915-2024 FSC-klagomål mail.docx", "A 47915-2024")</f>
        <v/>
      </c>
      <c r="X26">
        <f>HYPERLINK("https://klasma.github.io/Logging_1862/tillsyn/A 47915-2024 tillsynsbegäran.docx", "A 47915-2024")</f>
        <v/>
      </c>
      <c r="Y26">
        <f>HYPERLINK("https://klasma.github.io/Logging_1862/tillsynsmail/A 47915-2024 tillsynsbegäran mail.docx", "A 47915-2024")</f>
        <v/>
      </c>
    </row>
    <row r="27" ht="15" customHeight="1">
      <c r="A27" t="inlineStr">
        <is>
          <t>A 17842-2019</t>
        </is>
      </c>
      <c r="B27" s="1" t="n">
        <v>43556</v>
      </c>
      <c r="C27" s="1" t="n">
        <v>45844</v>
      </c>
      <c r="D27" t="inlineStr">
        <is>
          <t>ÖREBRO LÄN</t>
        </is>
      </c>
      <c r="E27" t="inlineStr">
        <is>
          <t>DEGERFORS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20506-2019</t>
        </is>
      </c>
      <c r="B28" s="1" t="n">
        <v>43572</v>
      </c>
      <c r="C28" s="1" t="n">
        <v>45844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20514-2019</t>
        </is>
      </c>
      <c r="B29" s="1" t="n">
        <v>43572</v>
      </c>
      <c r="C29" s="1" t="n">
        <v>45844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25224-2019</t>
        </is>
      </c>
      <c r="B30" s="1" t="n">
        <v>43601</v>
      </c>
      <c r="C30" s="1" t="n">
        <v>45844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25071-2019</t>
        </is>
      </c>
      <c r="B31" s="1" t="n">
        <v>43601</v>
      </c>
      <c r="C31" s="1" t="n">
        <v>45844</v>
      </c>
      <c r="D31" t="inlineStr">
        <is>
          <t>ÖREBRO LÄN</t>
        </is>
      </c>
      <c r="E31" t="inlineStr">
        <is>
          <t>DEGERFORS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26293-2019</t>
        </is>
      </c>
      <c r="B32" s="1" t="n">
        <v>43611</v>
      </c>
      <c r="C32" s="1" t="n">
        <v>45844</v>
      </c>
      <c r="D32" t="inlineStr">
        <is>
          <t>ÖREBRO LÄN</t>
        </is>
      </c>
      <c r="E32" t="inlineStr">
        <is>
          <t>DEGERFORS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28069-2019</t>
        </is>
      </c>
      <c r="B33" s="1" t="n">
        <v>43613</v>
      </c>
      <c r="C33" s="1" t="n">
        <v>45844</v>
      </c>
      <c r="D33" t="inlineStr">
        <is>
          <t>ÖREBRO LÄN</t>
        </is>
      </c>
      <c r="E33" t="inlineStr">
        <is>
          <t>DEGERFORS</t>
        </is>
      </c>
      <c r="G33" t="n">
        <v>6.1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28636-2019</t>
        </is>
      </c>
      <c r="B34" s="1" t="n">
        <v>43614</v>
      </c>
      <c r="C34" s="1" t="n">
        <v>45844</v>
      </c>
      <c r="D34" t="inlineStr">
        <is>
          <t>ÖREBRO LÄN</t>
        </is>
      </c>
      <c r="E34" t="inlineStr">
        <is>
          <t>DEGERFORS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29240-2019</t>
        </is>
      </c>
      <c r="B35" s="1" t="n">
        <v>43623</v>
      </c>
      <c r="C35" s="1" t="n">
        <v>45844</v>
      </c>
      <c r="D35" t="inlineStr">
        <is>
          <t>ÖREBRO LÄN</t>
        </is>
      </c>
      <c r="E35" t="inlineStr">
        <is>
          <t>DEGERFORS</t>
        </is>
      </c>
      <c r="G35" t="n">
        <v>23.2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29242-2019</t>
        </is>
      </c>
      <c r="B36" s="1" t="n">
        <v>43623</v>
      </c>
      <c r="C36" s="1" t="n">
        <v>45844</v>
      </c>
      <c r="D36" t="inlineStr">
        <is>
          <t>ÖREBRO LÄN</t>
        </is>
      </c>
      <c r="E36" t="inlineStr">
        <is>
          <t>DEGERFORS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29239-2019</t>
        </is>
      </c>
      <c r="B37" s="1" t="n">
        <v>43623</v>
      </c>
      <c r="C37" s="1" t="n">
        <v>45844</v>
      </c>
      <c r="D37" t="inlineStr">
        <is>
          <t>ÖREBRO LÄN</t>
        </is>
      </c>
      <c r="E37" t="inlineStr">
        <is>
          <t>DEGERFORS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34508-2019</t>
        </is>
      </c>
      <c r="B38" s="1" t="n">
        <v>43647</v>
      </c>
      <c r="C38" s="1" t="n">
        <v>45844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35426-2019</t>
        </is>
      </c>
      <c r="B39" s="1" t="n">
        <v>43654</v>
      </c>
      <c r="C39" s="1" t="n">
        <v>45844</v>
      </c>
      <c r="D39" t="inlineStr">
        <is>
          <t>ÖREBRO LÄN</t>
        </is>
      </c>
      <c r="E39" t="inlineStr">
        <is>
          <t>DEGERFORS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36913-2019</t>
        </is>
      </c>
      <c r="B40" s="1" t="n">
        <v>43675</v>
      </c>
      <c r="C40" s="1" t="n">
        <v>45844</v>
      </c>
      <c r="D40" t="inlineStr">
        <is>
          <t>ÖREBRO LÄN</t>
        </is>
      </c>
      <c r="E40" t="inlineStr">
        <is>
          <t>DEGERFORS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43762-2019</t>
        </is>
      </c>
      <c r="B41" s="1" t="n">
        <v>43706</v>
      </c>
      <c r="C41" s="1" t="n">
        <v>45844</v>
      </c>
      <c r="D41" t="inlineStr">
        <is>
          <t>ÖREBRO LÄN</t>
        </is>
      </c>
      <c r="E41" t="inlineStr">
        <is>
          <t>DEGERFORS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45669-2019</t>
        </is>
      </c>
      <c r="B42" s="1" t="n">
        <v>43717</v>
      </c>
      <c r="C42" s="1" t="n">
        <v>45844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45689-2019</t>
        </is>
      </c>
      <c r="B43" s="1" t="n">
        <v>43717</v>
      </c>
      <c r="C43" s="1" t="n">
        <v>45844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45688-2019</t>
        </is>
      </c>
      <c r="B44" s="1" t="n">
        <v>43717</v>
      </c>
      <c r="C44" s="1" t="n">
        <v>45844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45718-2019</t>
        </is>
      </c>
      <c r="B45" s="1" t="n">
        <v>43717</v>
      </c>
      <c r="C45" s="1" t="n">
        <v>45844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45706-2019</t>
        </is>
      </c>
      <c r="B46" s="1" t="n">
        <v>43717</v>
      </c>
      <c r="C46" s="1" t="n">
        <v>45844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52400-2019</t>
        </is>
      </c>
      <c r="B47" s="1" t="n">
        <v>43745</v>
      </c>
      <c r="C47" s="1" t="n">
        <v>45844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52360-2019</t>
        </is>
      </c>
      <c r="B48" s="1" t="n">
        <v>43745</v>
      </c>
      <c r="C48" s="1" t="n">
        <v>45844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52357-2019</t>
        </is>
      </c>
      <c r="B49" s="1" t="n">
        <v>43745</v>
      </c>
      <c r="C49" s="1" t="n">
        <v>45844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52372-2019</t>
        </is>
      </c>
      <c r="B50" s="1" t="n">
        <v>43745</v>
      </c>
      <c r="C50" s="1" t="n">
        <v>45844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55179-2019</t>
        </is>
      </c>
      <c r="B51" s="1" t="n">
        <v>43756</v>
      </c>
      <c r="C51" s="1" t="n">
        <v>45844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55879-2019</t>
        </is>
      </c>
      <c r="B52" s="1" t="n">
        <v>43759</v>
      </c>
      <c r="C52" s="1" t="n">
        <v>45844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57741-2019</t>
        </is>
      </c>
      <c r="B53" s="1" t="n">
        <v>43763</v>
      </c>
      <c r="C53" s="1" t="n">
        <v>45844</v>
      </c>
      <c r="D53" t="inlineStr">
        <is>
          <t>ÖREBRO LÄN</t>
        </is>
      </c>
      <c r="E53" t="inlineStr">
        <is>
          <t>DEGERFORS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57737-2019</t>
        </is>
      </c>
      <c r="B54" s="1" t="n">
        <v>43763</v>
      </c>
      <c r="C54" s="1" t="n">
        <v>45844</v>
      </c>
      <c r="D54" t="inlineStr">
        <is>
          <t>ÖREBRO LÄN</t>
        </is>
      </c>
      <c r="E54" t="inlineStr">
        <is>
          <t>DEGERFORS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59713-2019</t>
        </is>
      </c>
      <c r="B55" s="1" t="n">
        <v>43776</v>
      </c>
      <c r="C55" s="1" t="n">
        <v>45844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59673-2019</t>
        </is>
      </c>
      <c r="B56" s="1" t="n">
        <v>43776</v>
      </c>
      <c r="C56" s="1" t="n">
        <v>45844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60002-2019</t>
        </is>
      </c>
      <c r="B57" s="1" t="n">
        <v>43777</v>
      </c>
      <c r="C57" s="1" t="n">
        <v>45844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59993-2019</t>
        </is>
      </c>
      <c r="B58" s="1" t="n">
        <v>43777</v>
      </c>
      <c r="C58" s="1" t="n">
        <v>45844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60005-2019</t>
        </is>
      </c>
      <c r="B59" s="1" t="n">
        <v>43777</v>
      </c>
      <c r="C59" s="1" t="n">
        <v>45844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60004-2019</t>
        </is>
      </c>
      <c r="B60" s="1" t="n">
        <v>43777</v>
      </c>
      <c r="C60" s="1" t="n">
        <v>45844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59986-2019</t>
        </is>
      </c>
      <c r="B61" s="1" t="n">
        <v>43777</v>
      </c>
      <c r="C61" s="1" t="n">
        <v>45844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62821-2019</t>
        </is>
      </c>
      <c r="B62" s="1" t="n">
        <v>43783</v>
      </c>
      <c r="C62" s="1" t="n">
        <v>45844</v>
      </c>
      <c r="D62" t="inlineStr">
        <is>
          <t>ÖREBRO LÄN</t>
        </is>
      </c>
      <c r="E62" t="inlineStr">
        <is>
          <t>DEGERFORS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61579-2019</t>
        </is>
      </c>
      <c r="B63" s="1" t="n">
        <v>43784</v>
      </c>
      <c r="C63" s="1" t="n">
        <v>45844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63600-2019</t>
        </is>
      </c>
      <c r="B64" s="1" t="n">
        <v>43789</v>
      </c>
      <c r="C64" s="1" t="n">
        <v>45844</v>
      </c>
      <c r="D64" t="inlineStr">
        <is>
          <t>ÖREBRO LÄN</t>
        </is>
      </c>
      <c r="E64" t="inlineStr">
        <is>
          <t>DEGERFORS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64828-2019</t>
        </is>
      </c>
      <c r="B65" s="1" t="n">
        <v>43801</v>
      </c>
      <c r="C65" s="1" t="n">
        <v>45844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66547-2019</t>
        </is>
      </c>
      <c r="B66" s="1" t="n">
        <v>43809</v>
      </c>
      <c r="C66" s="1" t="n">
        <v>45844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66546-2019</t>
        </is>
      </c>
      <c r="B67" s="1" t="n">
        <v>43809</v>
      </c>
      <c r="C67" s="1" t="n">
        <v>45844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332-2020</t>
        </is>
      </c>
      <c r="B68" s="1" t="n">
        <v>43816</v>
      </c>
      <c r="C68" s="1" t="n">
        <v>45844</v>
      </c>
      <c r="D68" t="inlineStr">
        <is>
          <t>ÖREBRO LÄN</t>
        </is>
      </c>
      <c r="E68" t="inlineStr">
        <is>
          <t>DEGERFORS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68270-2019</t>
        </is>
      </c>
      <c r="B69" s="1" t="n">
        <v>43817</v>
      </c>
      <c r="C69" s="1" t="n">
        <v>45844</v>
      </c>
      <c r="D69" t="inlineStr">
        <is>
          <t>ÖREBRO LÄN</t>
        </is>
      </c>
      <c r="E69" t="inlineStr">
        <is>
          <t>DEGERFORS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3680-2020</t>
        </is>
      </c>
      <c r="B70" s="1" t="n">
        <v>43845</v>
      </c>
      <c r="C70" s="1" t="n">
        <v>45844</v>
      </c>
      <c r="D70" t="inlineStr">
        <is>
          <t>ÖREBRO LÄN</t>
        </is>
      </c>
      <c r="E70" t="inlineStr">
        <is>
          <t>DEGERFORS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2188-2020</t>
        </is>
      </c>
      <c r="B71" s="1" t="n">
        <v>43846</v>
      </c>
      <c r="C71" s="1" t="n">
        <v>45844</v>
      </c>
      <c r="D71" t="inlineStr">
        <is>
          <t>ÖREBRO LÄN</t>
        </is>
      </c>
      <c r="E71" t="inlineStr">
        <is>
          <t>DEGERFORS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5477-2020</t>
        </is>
      </c>
      <c r="B72" s="1" t="n">
        <v>43858</v>
      </c>
      <c r="C72" s="1" t="n">
        <v>45844</v>
      </c>
      <c r="D72" t="inlineStr">
        <is>
          <t>ÖREBRO LÄN</t>
        </is>
      </c>
      <c r="E72" t="inlineStr">
        <is>
          <t>DEGERFORS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7369-2020</t>
        </is>
      </c>
      <c r="B73" s="1" t="n">
        <v>43871</v>
      </c>
      <c r="C73" s="1" t="n">
        <v>45844</v>
      </c>
      <c r="D73" t="inlineStr">
        <is>
          <t>ÖREBRO LÄN</t>
        </is>
      </c>
      <c r="E73" t="inlineStr">
        <is>
          <t>DEGERFORS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8157-2020</t>
        </is>
      </c>
      <c r="B74" s="1" t="n">
        <v>43873</v>
      </c>
      <c r="C74" s="1" t="n">
        <v>45844</v>
      </c>
      <c r="D74" t="inlineStr">
        <is>
          <t>ÖREBRO LÄN</t>
        </is>
      </c>
      <c r="E74" t="inlineStr">
        <is>
          <t>DEGERFORS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12471-2020</t>
        </is>
      </c>
      <c r="B75" s="1" t="n">
        <v>43896</v>
      </c>
      <c r="C75" s="1" t="n">
        <v>45844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16990-2020</t>
        </is>
      </c>
      <c r="B76" s="1" t="n">
        <v>43913</v>
      </c>
      <c r="C76" s="1" t="n">
        <v>45844</v>
      </c>
      <c r="D76" t="inlineStr">
        <is>
          <t>ÖREBRO LÄN</t>
        </is>
      </c>
      <c r="E76" t="inlineStr">
        <is>
          <t>DEGERFORS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15609-2020</t>
        </is>
      </c>
      <c r="B77" s="1" t="n">
        <v>43914</v>
      </c>
      <c r="C77" s="1" t="n">
        <v>45844</v>
      </c>
      <c r="D77" t="inlineStr">
        <is>
          <t>ÖREBRO LÄN</t>
        </is>
      </c>
      <c r="E77" t="inlineStr">
        <is>
          <t>DEGERFORS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15923-2020</t>
        </is>
      </c>
      <c r="B78" s="1" t="n">
        <v>43916</v>
      </c>
      <c r="C78" s="1" t="n">
        <v>45844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15921-2020</t>
        </is>
      </c>
      <c r="B79" s="1" t="n">
        <v>43916</v>
      </c>
      <c r="C79" s="1" t="n">
        <v>45844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15922-2020</t>
        </is>
      </c>
      <c r="B80" s="1" t="n">
        <v>43916</v>
      </c>
      <c r="C80" s="1" t="n">
        <v>45844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15924-2020</t>
        </is>
      </c>
      <c r="B81" s="1" t="n">
        <v>43916</v>
      </c>
      <c r="C81" s="1" t="n">
        <v>45844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15926-2020</t>
        </is>
      </c>
      <c r="B82" s="1" t="n">
        <v>43916</v>
      </c>
      <c r="C82" s="1" t="n">
        <v>45844</v>
      </c>
      <c r="D82" t="inlineStr">
        <is>
          <t>ÖREBRO LÄN</t>
        </is>
      </c>
      <c r="E82" t="inlineStr">
        <is>
          <t>DEGERFORS</t>
        </is>
      </c>
      <c r="F82" t="inlineStr">
        <is>
          <t>Kommuner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17449-2020</t>
        </is>
      </c>
      <c r="B83" s="1" t="n">
        <v>43923</v>
      </c>
      <c r="C83" s="1" t="n">
        <v>45844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17575-2020</t>
        </is>
      </c>
      <c r="B84" s="1" t="n">
        <v>43923</v>
      </c>
      <c r="C84" s="1" t="n">
        <v>45844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17466-2020</t>
        </is>
      </c>
      <c r="B85" s="1" t="n">
        <v>43923</v>
      </c>
      <c r="C85" s="1" t="n">
        <v>45844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17579-2020</t>
        </is>
      </c>
      <c r="B86" s="1" t="n">
        <v>43923</v>
      </c>
      <c r="C86" s="1" t="n">
        <v>45844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19815-2020</t>
        </is>
      </c>
      <c r="B87" s="1" t="n">
        <v>43942</v>
      </c>
      <c r="C87" s="1" t="n">
        <v>45844</v>
      </c>
      <c r="D87" t="inlineStr">
        <is>
          <t>ÖREBRO LÄN</t>
        </is>
      </c>
      <c r="E87" t="inlineStr">
        <is>
          <t>DEGERFORS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20350-2020</t>
        </is>
      </c>
      <c r="B88" s="1" t="n">
        <v>43945</v>
      </c>
      <c r="C88" s="1" t="n">
        <v>45844</v>
      </c>
      <c r="D88" t="inlineStr">
        <is>
          <t>ÖREBRO LÄN</t>
        </is>
      </c>
      <c r="E88" t="inlineStr">
        <is>
          <t>DEGERFORS</t>
        </is>
      </c>
      <c r="G88" t="n">
        <v>58.8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21855-2020</t>
        </is>
      </c>
      <c r="B89" s="1" t="n">
        <v>43945</v>
      </c>
      <c r="C89" s="1" t="n">
        <v>45844</v>
      </c>
      <c r="D89" t="inlineStr">
        <is>
          <t>ÖREBRO LÄN</t>
        </is>
      </c>
      <c r="E89" t="inlineStr">
        <is>
          <t>DEGERFORS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20595-2020</t>
        </is>
      </c>
      <c r="B90" s="1" t="n">
        <v>43948</v>
      </c>
      <c r="C90" s="1" t="n">
        <v>45844</v>
      </c>
      <c r="D90" t="inlineStr">
        <is>
          <t>ÖREBRO LÄN</t>
        </is>
      </c>
      <c r="E90" t="inlineStr">
        <is>
          <t>DEGERFORS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21850-2020</t>
        </is>
      </c>
      <c r="B91" s="1" t="n">
        <v>43958</v>
      </c>
      <c r="C91" s="1" t="n">
        <v>45844</v>
      </c>
      <c r="D91" t="inlineStr">
        <is>
          <t>ÖREBRO LÄN</t>
        </is>
      </c>
      <c r="E91" t="inlineStr">
        <is>
          <t>DEGERFORS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25043-2020</t>
        </is>
      </c>
      <c r="B92" s="1" t="n">
        <v>43979</v>
      </c>
      <c r="C92" s="1" t="n">
        <v>45844</v>
      </c>
      <c r="D92" t="inlineStr">
        <is>
          <t>ÖREBRO LÄN</t>
        </is>
      </c>
      <c r="E92" t="inlineStr">
        <is>
          <t>DEGERFORS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31435-2020</t>
        </is>
      </c>
      <c r="B93" s="1" t="n">
        <v>44013</v>
      </c>
      <c r="C93" s="1" t="n">
        <v>45844</v>
      </c>
      <c r="D93" t="inlineStr">
        <is>
          <t>ÖREBRO LÄN</t>
        </is>
      </c>
      <c r="E93" t="inlineStr">
        <is>
          <t>DEGERFORS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31440-2020</t>
        </is>
      </c>
      <c r="B94" s="1" t="n">
        <v>44013</v>
      </c>
      <c r="C94" s="1" t="n">
        <v>45844</v>
      </c>
      <c r="D94" t="inlineStr">
        <is>
          <t>ÖREBRO LÄN</t>
        </is>
      </c>
      <c r="E94" t="inlineStr">
        <is>
          <t>DEGERFORS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31450-2020</t>
        </is>
      </c>
      <c r="B95" s="1" t="n">
        <v>44013</v>
      </c>
      <c r="C95" s="1" t="n">
        <v>45844</v>
      </c>
      <c r="D95" t="inlineStr">
        <is>
          <t>ÖREBRO LÄN</t>
        </is>
      </c>
      <c r="E95" t="inlineStr">
        <is>
          <t>DEGERFORS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31446-2020</t>
        </is>
      </c>
      <c r="B96" s="1" t="n">
        <v>44013</v>
      </c>
      <c r="C96" s="1" t="n">
        <v>45844</v>
      </c>
      <c r="D96" t="inlineStr">
        <is>
          <t>ÖREBRO LÄN</t>
        </is>
      </c>
      <c r="E96" t="inlineStr">
        <is>
          <t>DEGERFORS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32899-2020</t>
        </is>
      </c>
      <c r="B97" s="1" t="n">
        <v>44020</v>
      </c>
      <c r="C97" s="1" t="n">
        <v>45844</v>
      </c>
      <c r="D97" t="inlineStr">
        <is>
          <t>ÖREBRO LÄN</t>
        </is>
      </c>
      <c r="E97" t="inlineStr">
        <is>
          <t>DEGERFORS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40383-2020</t>
        </is>
      </c>
      <c r="B98" s="1" t="n">
        <v>44068</v>
      </c>
      <c r="C98" s="1" t="n">
        <v>45844</v>
      </c>
      <c r="D98" t="inlineStr">
        <is>
          <t>ÖREBRO LÄN</t>
        </is>
      </c>
      <c r="E98" t="inlineStr">
        <is>
          <t>DEGERFORS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41056-2020</t>
        </is>
      </c>
      <c r="B99" s="1" t="n">
        <v>44069</v>
      </c>
      <c r="C99" s="1" t="n">
        <v>45844</v>
      </c>
      <c r="D99" t="inlineStr">
        <is>
          <t>ÖREBRO LÄN</t>
        </is>
      </c>
      <c r="E99" t="inlineStr">
        <is>
          <t>DEGERFORS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40810-2020</t>
        </is>
      </c>
      <c r="B100" s="1" t="n">
        <v>44070</v>
      </c>
      <c r="C100" s="1" t="n">
        <v>45844</v>
      </c>
      <c r="D100" t="inlineStr">
        <is>
          <t>ÖREBRO LÄN</t>
        </is>
      </c>
      <c r="E100" t="inlineStr">
        <is>
          <t>DEGERFORS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48197-2020</t>
        </is>
      </c>
      <c r="B101" s="1" t="n">
        <v>44102</v>
      </c>
      <c r="C101" s="1" t="n">
        <v>45844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50358-2020</t>
        </is>
      </c>
      <c r="B102" s="1" t="n">
        <v>44110</v>
      </c>
      <c r="C102" s="1" t="n">
        <v>45844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51130-2020</t>
        </is>
      </c>
      <c r="B103" s="1" t="n">
        <v>44112</v>
      </c>
      <c r="C103" s="1" t="n">
        <v>45844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66667-2020</t>
        </is>
      </c>
      <c r="B104" s="1" t="n">
        <v>44179</v>
      </c>
      <c r="C104" s="1" t="n">
        <v>45844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5735-2021</t>
        </is>
      </c>
      <c r="B105" s="1" t="n">
        <v>44230</v>
      </c>
      <c r="C105" s="1" t="n">
        <v>45844</v>
      </c>
      <c r="D105" t="inlineStr">
        <is>
          <t>ÖREBRO LÄN</t>
        </is>
      </c>
      <c r="E105" t="inlineStr">
        <is>
          <t>DEGERFORS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19070-2021</t>
        </is>
      </c>
      <c r="B106" s="1" t="n">
        <v>44308</v>
      </c>
      <c r="C106" s="1" t="n">
        <v>45844</v>
      </c>
      <c r="D106" t="inlineStr">
        <is>
          <t>ÖREBRO LÄN</t>
        </is>
      </c>
      <c r="E106" t="inlineStr">
        <is>
          <t>DEGERFORS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19084-2021</t>
        </is>
      </c>
      <c r="B107" s="1" t="n">
        <v>44308</v>
      </c>
      <c r="C107" s="1" t="n">
        <v>45844</v>
      </c>
      <c r="D107" t="inlineStr">
        <is>
          <t>ÖREBRO LÄN</t>
        </is>
      </c>
      <c r="E107" t="inlineStr">
        <is>
          <t>DEGERFORS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32582-2021</t>
        </is>
      </c>
      <c r="B108" s="1" t="n">
        <v>44375</v>
      </c>
      <c r="C108" s="1" t="n">
        <v>45844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32590-2021</t>
        </is>
      </c>
      <c r="B109" s="1" t="n">
        <v>44375</v>
      </c>
      <c r="C109" s="1" t="n">
        <v>45844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32729-2021</t>
        </is>
      </c>
      <c r="B110" s="1" t="n">
        <v>44375</v>
      </c>
      <c r="C110" s="1" t="n">
        <v>45844</v>
      </c>
      <c r="D110" t="inlineStr">
        <is>
          <t>ÖREBRO LÄN</t>
        </is>
      </c>
      <c r="E110" t="inlineStr">
        <is>
          <t>DEGERFORS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34690-2021</t>
        </is>
      </c>
      <c r="B111" s="1" t="n">
        <v>44382</v>
      </c>
      <c r="C111" s="1" t="n">
        <v>45844</v>
      </c>
      <c r="D111" t="inlineStr">
        <is>
          <t>ÖREBRO LÄN</t>
        </is>
      </c>
      <c r="E111" t="inlineStr">
        <is>
          <t>DEGERFORS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34695-2021</t>
        </is>
      </c>
      <c r="B112" s="1" t="n">
        <v>44382</v>
      </c>
      <c r="C112" s="1" t="n">
        <v>45844</v>
      </c>
      <c r="D112" t="inlineStr">
        <is>
          <t>ÖREBRO LÄN</t>
        </is>
      </c>
      <c r="E112" t="inlineStr">
        <is>
          <t>DEGERFORS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36963-2021</t>
        </is>
      </c>
      <c r="B113" s="1" t="n">
        <v>44393</v>
      </c>
      <c r="C113" s="1" t="n">
        <v>45844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37122-2021</t>
        </is>
      </c>
      <c r="B114" s="1" t="n">
        <v>44396</v>
      </c>
      <c r="C114" s="1" t="n">
        <v>45844</v>
      </c>
      <c r="D114" t="inlineStr">
        <is>
          <t>ÖREBRO LÄN</t>
        </is>
      </c>
      <c r="E114" t="inlineStr">
        <is>
          <t>DEGERFORS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37302-2021</t>
        </is>
      </c>
      <c r="B115" s="1" t="n">
        <v>44397</v>
      </c>
      <c r="C115" s="1" t="n">
        <v>45844</v>
      </c>
      <c r="D115" t="inlineStr">
        <is>
          <t>ÖREBRO LÄN</t>
        </is>
      </c>
      <c r="E115" t="inlineStr">
        <is>
          <t>DEGERFORS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38421-2021</t>
        </is>
      </c>
      <c r="B116" s="1" t="n">
        <v>44407</v>
      </c>
      <c r="C116" s="1" t="n">
        <v>45844</v>
      </c>
      <c r="D116" t="inlineStr">
        <is>
          <t>ÖREBRO LÄN</t>
        </is>
      </c>
      <c r="E116" t="inlineStr">
        <is>
          <t>DEGERFORS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42122-2021</t>
        </is>
      </c>
      <c r="B117" s="1" t="n">
        <v>44426</v>
      </c>
      <c r="C117" s="1" t="n">
        <v>45844</v>
      </c>
      <c r="D117" t="inlineStr">
        <is>
          <t>ÖREBRO LÄN</t>
        </is>
      </c>
      <c r="E117" t="inlineStr">
        <is>
          <t>DEGERFORS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43393-2021</t>
        </is>
      </c>
      <c r="B118" s="1" t="n">
        <v>44432</v>
      </c>
      <c r="C118" s="1" t="n">
        <v>45844</v>
      </c>
      <c r="D118" t="inlineStr">
        <is>
          <t>ÖREBRO LÄN</t>
        </is>
      </c>
      <c r="E118" t="inlineStr">
        <is>
          <t>DEGERFORS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44735-2021</t>
        </is>
      </c>
      <c r="B119" s="1" t="n">
        <v>44438</v>
      </c>
      <c r="C119" s="1" t="n">
        <v>45844</v>
      </c>
      <c r="D119" t="inlineStr">
        <is>
          <t>ÖREBRO LÄN</t>
        </is>
      </c>
      <c r="E119" t="inlineStr">
        <is>
          <t>DEGERFORS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52126-2021</t>
        </is>
      </c>
      <c r="B120" s="1" t="n">
        <v>44463</v>
      </c>
      <c r="C120" s="1" t="n">
        <v>45844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52131-2021</t>
        </is>
      </c>
      <c r="B121" s="1" t="n">
        <v>44463</v>
      </c>
      <c r="C121" s="1" t="n">
        <v>45844</v>
      </c>
      <c r="D121" t="inlineStr">
        <is>
          <t>ÖREBRO LÄN</t>
        </is>
      </c>
      <c r="E121" t="inlineStr">
        <is>
          <t>DEGERFORS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52457-2021</t>
        </is>
      </c>
      <c r="B122" s="1" t="n">
        <v>44466</v>
      </c>
      <c r="C122" s="1" t="n">
        <v>45844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54137-2021</t>
        </is>
      </c>
      <c r="B123" s="1" t="n">
        <v>44470</v>
      </c>
      <c r="C123" s="1" t="n">
        <v>45844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54130-2021</t>
        </is>
      </c>
      <c r="B124" s="1" t="n">
        <v>44470</v>
      </c>
      <c r="C124" s="1" t="n">
        <v>45844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54139-2021</t>
        </is>
      </c>
      <c r="B125" s="1" t="n">
        <v>44470</v>
      </c>
      <c r="C125" s="1" t="n">
        <v>45844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60889-2021</t>
        </is>
      </c>
      <c r="B126" s="1" t="n">
        <v>44497</v>
      </c>
      <c r="C126" s="1" t="n">
        <v>45844</v>
      </c>
      <c r="D126" t="inlineStr">
        <is>
          <t>ÖREBRO LÄN</t>
        </is>
      </c>
      <c r="E126" t="inlineStr">
        <is>
          <t>DEGERFORS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61750-2021</t>
        </is>
      </c>
      <c r="B127" s="1" t="n">
        <v>44501</v>
      </c>
      <c r="C127" s="1" t="n">
        <v>45844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63010-2021</t>
        </is>
      </c>
      <c r="B128" s="1" t="n">
        <v>44505</v>
      </c>
      <c r="C128" s="1" t="n">
        <v>45844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63906-2021</t>
        </is>
      </c>
      <c r="B129" s="1" t="n">
        <v>44509</v>
      </c>
      <c r="C129" s="1" t="n">
        <v>45844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63904-2021</t>
        </is>
      </c>
      <c r="B130" s="1" t="n">
        <v>44509</v>
      </c>
      <c r="C130" s="1" t="n">
        <v>45844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63905-2021</t>
        </is>
      </c>
      <c r="B131" s="1" t="n">
        <v>44509</v>
      </c>
      <c r="C131" s="1" t="n">
        <v>45844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65456-2021</t>
        </is>
      </c>
      <c r="B132" s="1" t="n">
        <v>44515</v>
      </c>
      <c r="C132" s="1" t="n">
        <v>45844</v>
      </c>
      <c r="D132" t="inlineStr">
        <is>
          <t>ÖREBRO LÄN</t>
        </is>
      </c>
      <c r="E132" t="inlineStr">
        <is>
          <t>DEGERFORS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67499-2021</t>
        </is>
      </c>
      <c r="B133" s="1" t="n">
        <v>44524</v>
      </c>
      <c r="C133" s="1" t="n">
        <v>45844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67998-2021</t>
        </is>
      </c>
      <c r="B134" s="1" t="n">
        <v>44525</v>
      </c>
      <c r="C134" s="1" t="n">
        <v>45844</v>
      </c>
      <c r="D134" t="inlineStr">
        <is>
          <t>ÖREBRO LÄN</t>
        </is>
      </c>
      <c r="E134" t="inlineStr">
        <is>
          <t>DEGERFORS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68578-2021</t>
        </is>
      </c>
      <c r="B135" s="1" t="n">
        <v>44529</v>
      </c>
      <c r="C135" s="1" t="n">
        <v>45844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68576-2021</t>
        </is>
      </c>
      <c r="B136" s="1" t="n">
        <v>44529</v>
      </c>
      <c r="C136" s="1" t="n">
        <v>45844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68581-2021</t>
        </is>
      </c>
      <c r="B137" s="1" t="n">
        <v>44529</v>
      </c>
      <c r="C137" s="1" t="n">
        <v>45844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68582-2021</t>
        </is>
      </c>
      <c r="B138" s="1" t="n">
        <v>44529</v>
      </c>
      <c r="C138" s="1" t="n">
        <v>45844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73321-2021</t>
        </is>
      </c>
      <c r="B139" s="1" t="n">
        <v>44550</v>
      </c>
      <c r="C139" s="1" t="n">
        <v>45844</v>
      </c>
      <c r="D139" t="inlineStr">
        <is>
          <t>ÖREBRO LÄN</t>
        </is>
      </c>
      <c r="E139" t="inlineStr">
        <is>
          <t>DEGERFORS</t>
        </is>
      </c>
      <c r="G139" t="n">
        <v>17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73693-2021</t>
        </is>
      </c>
      <c r="B140" s="1" t="n">
        <v>44552</v>
      </c>
      <c r="C140" s="1" t="n">
        <v>45844</v>
      </c>
      <c r="D140" t="inlineStr">
        <is>
          <t>ÖREBRO LÄN</t>
        </is>
      </c>
      <c r="E140" t="inlineStr">
        <is>
          <t>DEGERFORS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2357-2022</t>
        </is>
      </c>
      <c r="B141" s="1" t="n">
        <v>44578</v>
      </c>
      <c r="C141" s="1" t="n">
        <v>45844</v>
      </c>
      <c r="D141" t="inlineStr">
        <is>
          <t>ÖREBRO LÄN</t>
        </is>
      </c>
      <c r="E141" t="inlineStr">
        <is>
          <t>DEGERFORS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2565-2022</t>
        </is>
      </c>
      <c r="B142" s="1" t="n">
        <v>44579</v>
      </c>
      <c r="C142" s="1" t="n">
        <v>45844</v>
      </c>
      <c r="D142" t="inlineStr">
        <is>
          <t>ÖREBRO LÄN</t>
        </is>
      </c>
      <c r="E142" t="inlineStr">
        <is>
          <t>DEGERFORS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3177-2022</t>
        </is>
      </c>
      <c r="B143" s="1" t="n">
        <v>44582</v>
      </c>
      <c r="C143" s="1" t="n">
        <v>45844</v>
      </c>
      <c r="D143" t="inlineStr">
        <is>
          <t>ÖREBRO LÄN</t>
        </is>
      </c>
      <c r="E143" t="inlineStr">
        <is>
          <t>DEGERFORS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5319-2022</t>
        </is>
      </c>
      <c r="B144" s="1" t="n">
        <v>44594</v>
      </c>
      <c r="C144" s="1" t="n">
        <v>45844</v>
      </c>
      <c r="D144" t="inlineStr">
        <is>
          <t>ÖREBRO LÄN</t>
        </is>
      </c>
      <c r="E144" t="inlineStr">
        <is>
          <t>DEGERFORS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7510-2022</t>
        </is>
      </c>
      <c r="B145" s="1" t="n">
        <v>44607</v>
      </c>
      <c r="C145" s="1" t="n">
        <v>45844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8184-2022</t>
        </is>
      </c>
      <c r="B146" s="1" t="n">
        <v>44609</v>
      </c>
      <c r="C146" s="1" t="n">
        <v>45844</v>
      </c>
      <c r="D146" t="inlineStr">
        <is>
          <t>ÖREBRO LÄN</t>
        </is>
      </c>
      <c r="E146" t="inlineStr">
        <is>
          <t>DEGERFORS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8186-2022</t>
        </is>
      </c>
      <c r="B147" s="1" t="n">
        <v>44609</v>
      </c>
      <c r="C147" s="1" t="n">
        <v>45844</v>
      </c>
      <c r="D147" t="inlineStr">
        <is>
          <t>ÖREBRO LÄN</t>
        </is>
      </c>
      <c r="E147" t="inlineStr">
        <is>
          <t>DEGERFORS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12977-2022</t>
        </is>
      </c>
      <c r="B148" s="1" t="n">
        <v>44643</v>
      </c>
      <c r="C148" s="1" t="n">
        <v>45844</v>
      </c>
      <c r="D148" t="inlineStr">
        <is>
          <t>ÖREBRO LÄN</t>
        </is>
      </c>
      <c r="E148" t="inlineStr">
        <is>
          <t>DEGERFORS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14121-2022</t>
        </is>
      </c>
      <c r="B149" s="1" t="n">
        <v>44651</v>
      </c>
      <c r="C149" s="1" t="n">
        <v>45844</v>
      </c>
      <c r="D149" t="inlineStr">
        <is>
          <t>ÖREBRO LÄN</t>
        </is>
      </c>
      <c r="E149" t="inlineStr">
        <is>
          <t>DEGERFORS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16451-2022</t>
        </is>
      </c>
      <c r="B150" s="1" t="n">
        <v>44671</v>
      </c>
      <c r="C150" s="1" t="n">
        <v>45844</v>
      </c>
      <c r="D150" t="inlineStr">
        <is>
          <t>ÖREBRO LÄN</t>
        </is>
      </c>
      <c r="E150" t="inlineStr">
        <is>
          <t>DEGERFORS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19371-2022</t>
        </is>
      </c>
      <c r="B151" s="1" t="n">
        <v>44692</v>
      </c>
      <c r="C151" s="1" t="n">
        <v>45844</v>
      </c>
      <c r="D151" t="inlineStr">
        <is>
          <t>ÖREBRO LÄN</t>
        </is>
      </c>
      <c r="E151" t="inlineStr">
        <is>
          <t>DEGERFORS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21529-2022</t>
        </is>
      </c>
      <c r="B152" s="1" t="n">
        <v>44706</v>
      </c>
      <c r="C152" s="1" t="n">
        <v>45844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21512-2022</t>
        </is>
      </c>
      <c r="B153" s="1" t="n">
        <v>44706</v>
      </c>
      <c r="C153" s="1" t="n">
        <v>45844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23064-2022</t>
        </is>
      </c>
      <c r="B154" s="1" t="n">
        <v>44719</v>
      </c>
      <c r="C154" s="1" t="n">
        <v>45844</v>
      </c>
      <c r="D154" t="inlineStr">
        <is>
          <t>ÖREBRO LÄN</t>
        </is>
      </c>
      <c r="E154" t="inlineStr">
        <is>
          <t>DEGERFORS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23066-2022</t>
        </is>
      </c>
      <c r="B155" s="1" t="n">
        <v>44719</v>
      </c>
      <c r="C155" s="1" t="n">
        <v>45844</v>
      </c>
      <c r="D155" t="inlineStr">
        <is>
          <t>ÖREBRO LÄN</t>
        </is>
      </c>
      <c r="E155" t="inlineStr">
        <is>
          <t>DEGERFORS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23058-2022</t>
        </is>
      </c>
      <c r="B156" s="1" t="n">
        <v>44719</v>
      </c>
      <c r="C156" s="1" t="n">
        <v>45844</v>
      </c>
      <c r="D156" t="inlineStr">
        <is>
          <t>ÖREBRO LÄN</t>
        </is>
      </c>
      <c r="E156" t="inlineStr">
        <is>
          <t>DEGERFORS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29605-2022</t>
        </is>
      </c>
      <c r="B157" s="1" t="n">
        <v>44754</v>
      </c>
      <c r="C157" s="1" t="n">
        <v>45844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29607-2022</t>
        </is>
      </c>
      <c r="B158" s="1" t="n">
        <v>44754</v>
      </c>
      <c r="C158" s="1" t="n">
        <v>45844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32211-2022</t>
        </is>
      </c>
      <c r="B159" s="1" t="n">
        <v>44781</v>
      </c>
      <c r="C159" s="1" t="n">
        <v>45844</v>
      </c>
      <c r="D159" t="inlineStr">
        <is>
          <t>ÖREBRO LÄN</t>
        </is>
      </c>
      <c r="E159" t="inlineStr">
        <is>
          <t>DEGERFORS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34884-2022</t>
        </is>
      </c>
      <c r="B160" s="1" t="n">
        <v>44796</v>
      </c>
      <c r="C160" s="1" t="n">
        <v>45844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35107-2022</t>
        </is>
      </c>
      <c r="B161" s="1" t="n">
        <v>44797</v>
      </c>
      <c r="C161" s="1" t="n">
        <v>45844</v>
      </c>
      <c r="D161" t="inlineStr">
        <is>
          <t>ÖREBRO LÄN</t>
        </is>
      </c>
      <c r="E161" t="inlineStr">
        <is>
          <t>DEGERFORS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36784-2022</t>
        </is>
      </c>
      <c r="B162" s="1" t="n">
        <v>44805</v>
      </c>
      <c r="C162" s="1" t="n">
        <v>45844</v>
      </c>
      <c r="D162" t="inlineStr">
        <is>
          <t>ÖREBRO LÄN</t>
        </is>
      </c>
      <c r="E162" t="inlineStr">
        <is>
          <t>DEGERFORS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36798-2022</t>
        </is>
      </c>
      <c r="B163" s="1" t="n">
        <v>44805</v>
      </c>
      <c r="C163" s="1" t="n">
        <v>45844</v>
      </c>
      <c r="D163" t="inlineStr">
        <is>
          <t>ÖREBRO LÄN</t>
        </is>
      </c>
      <c r="E163" t="inlineStr">
        <is>
          <t>DEGERFORS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38738-2022</t>
        </is>
      </c>
      <c r="B164" s="1" t="n">
        <v>44816</v>
      </c>
      <c r="C164" s="1" t="n">
        <v>45844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38746-2022</t>
        </is>
      </c>
      <c r="B165" s="1" t="n">
        <v>44816</v>
      </c>
      <c r="C165" s="1" t="n">
        <v>45844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38743-2022</t>
        </is>
      </c>
      <c r="B166" s="1" t="n">
        <v>44816</v>
      </c>
      <c r="C166" s="1" t="n">
        <v>45844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38748-2022</t>
        </is>
      </c>
      <c r="B167" s="1" t="n">
        <v>44816</v>
      </c>
      <c r="C167" s="1" t="n">
        <v>45844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38747-2022</t>
        </is>
      </c>
      <c r="B168" s="1" t="n">
        <v>44816</v>
      </c>
      <c r="C168" s="1" t="n">
        <v>45844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44457-2022</t>
        </is>
      </c>
      <c r="B169" s="1" t="n">
        <v>44839</v>
      </c>
      <c r="C169" s="1" t="n">
        <v>45844</v>
      </c>
      <c r="D169" t="inlineStr">
        <is>
          <t>ÖREBRO LÄN</t>
        </is>
      </c>
      <c r="E169" t="inlineStr">
        <is>
          <t>DEGERFORS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45166-2022</t>
        </is>
      </c>
      <c r="B170" s="1" t="n">
        <v>44844</v>
      </c>
      <c r="C170" s="1" t="n">
        <v>45844</v>
      </c>
      <c r="D170" t="inlineStr">
        <is>
          <t>ÖREBRO LÄN</t>
        </is>
      </c>
      <c r="E170" t="inlineStr">
        <is>
          <t>DEGERFORS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45292-2022</t>
        </is>
      </c>
      <c r="B171" s="1" t="n">
        <v>44844</v>
      </c>
      <c r="C171" s="1" t="n">
        <v>45844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45291-2022</t>
        </is>
      </c>
      <c r="B172" s="1" t="n">
        <v>44844</v>
      </c>
      <c r="C172" s="1" t="n">
        <v>45844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45298-2022</t>
        </is>
      </c>
      <c r="B173" s="1" t="n">
        <v>44844</v>
      </c>
      <c r="C173" s="1" t="n">
        <v>45844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45296-2022</t>
        </is>
      </c>
      <c r="B174" s="1" t="n">
        <v>44844</v>
      </c>
      <c r="C174" s="1" t="n">
        <v>45844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48216-2022</t>
        </is>
      </c>
      <c r="B175" s="1" t="n">
        <v>44858</v>
      </c>
      <c r="C175" s="1" t="n">
        <v>45844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49282-2022</t>
        </is>
      </c>
      <c r="B176" s="1" t="n">
        <v>44861</v>
      </c>
      <c r="C176" s="1" t="n">
        <v>45844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50600-2022</t>
        </is>
      </c>
      <c r="B177" s="1" t="n">
        <v>44861</v>
      </c>
      <c r="C177" s="1" t="n">
        <v>45844</v>
      </c>
      <c r="D177" t="inlineStr">
        <is>
          <t>ÖREBRO LÄN</t>
        </is>
      </c>
      <c r="E177" t="inlineStr">
        <is>
          <t>DEGERFORS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50599-2022</t>
        </is>
      </c>
      <c r="B178" s="1" t="n">
        <v>44861</v>
      </c>
      <c r="C178" s="1" t="n">
        <v>45844</v>
      </c>
      <c r="D178" t="inlineStr">
        <is>
          <t>ÖREBRO LÄN</t>
        </is>
      </c>
      <c r="E178" t="inlineStr">
        <is>
          <t>DEGERFORS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50416-2022</t>
        </is>
      </c>
      <c r="B179" s="1" t="n">
        <v>44866</v>
      </c>
      <c r="C179" s="1" t="n">
        <v>45844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51468-2022</t>
        </is>
      </c>
      <c r="B180" s="1" t="n">
        <v>44869</v>
      </c>
      <c r="C180" s="1" t="n">
        <v>45844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55443-2022</t>
        </is>
      </c>
      <c r="B181" s="1" t="n">
        <v>44887</v>
      </c>
      <c r="C181" s="1" t="n">
        <v>45844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55446-2022</t>
        </is>
      </c>
      <c r="B182" s="1" t="n">
        <v>44887</v>
      </c>
      <c r="C182" s="1" t="n">
        <v>45844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59158-2022</t>
        </is>
      </c>
      <c r="B183" s="1" t="n">
        <v>44904</v>
      </c>
      <c r="C183" s="1" t="n">
        <v>45844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59390-2022</t>
        </is>
      </c>
      <c r="B184" s="1" t="n">
        <v>44906</v>
      </c>
      <c r="C184" s="1" t="n">
        <v>45844</v>
      </c>
      <c r="D184" t="inlineStr">
        <is>
          <t>ÖREBRO LÄN</t>
        </is>
      </c>
      <c r="E184" t="inlineStr">
        <is>
          <t>DEGERFORS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2997-2023</t>
        </is>
      </c>
      <c r="B185" s="1" t="n">
        <v>44945</v>
      </c>
      <c r="C185" s="1" t="n">
        <v>45844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7909-2023</t>
        </is>
      </c>
      <c r="B186" s="1" t="n">
        <v>44973</v>
      </c>
      <c r="C186" s="1" t="n">
        <v>45844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8993-2023</t>
        </is>
      </c>
      <c r="B187" s="1" t="n">
        <v>44979</v>
      </c>
      <c r="C187" s="1" t="n">
        <v>45844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8992-2023</t>
        </is>
      </c>
      <c r="B188" s="1" t="n">
        <v>44979</v>
      </c>
      <c r="C188" s="1" t="n">
        <v>45844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8994-2023</t>
        </is>
      </c>
      <c r="B189" s="1" t="n">
        <v>44979</v>
      </c>
      <c r="C189" s="1" t="n">
        <v>45844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9501-2023</t>
        </is>
      </c>
      <c r="B190" s="1" t="n">
        <v>44981</v>
      </c>
      <c r="C190" s="1" t="n">
        <v>45844</v>
      </c>
      <c r="D190" t="inlineStr">
        <is>
          <t>ÖREBRO LÄN</t>
        </is>
      </c>
      <c r="E190" t="inlineStr">
        <is>
          <t>DEGERFORS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10321-2023</t>
        </is>
      </c>
      <c r="B191" s="1" t="n">
        <v>44987</v>
      </c>
      <c r="C191" s="1" t="n">
        <v>45844</v>
      </c>
      <c r="D191" t="inlineStr">
        <is>
          <t>ÖREBRO LÄN</t>
        </is>
      </c>
      <c r="E191" t="inlineStr">
        <is>
          <t>DEGERFORS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11085-2023</t>
        </is>
      </c>
      <c r="B192" s="1" t="n">
        <v>44986</v>
      </c>
      <c r="C192" s="1" t="n">
        <v>45844</v>
      </c>
      <c r="D192" t="inlineStr">
        <is>
          <t>ÖREBRO LÄN</t>
        </is>
      </c>
      <c r="E192" t="inlineStr">
        <is>
          <t>DEGERFORS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10320-2023</t>
        </is>
      </c>
      <c r="B193" s="1" t="n">
        <v>44986</v>
      </c>
      <c r="C193" s="1" t="n">
        <v>45844</v>
      </c>
      <c r="D193" t="inlineStr">
        <is>
          <t>ÖREBRO LÄN</t>
        </is>
      </c>
      <c r="E193" t="inlineStr">
        <is>
          <t>DEGERFORS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11084-2023</t>
        </is>
      </c>
      <c r="B194" s="1" t="n">
        <v>44986</v>
      </c>
      <c r="C194" s="1" t="n">
        <v>45844</v>
      </c>
      <c r="D194" t="inlineStr">
        <is>
          <t>ÖREBRO LÄN</t>
        </is>
      </c>
      <c r="E194" t="inlineStr">
        <is>
          <t>DEGERFORS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10322-2023</t>
        </is>
      </c>
      <c r="B195" s="1" t="n">
        <v>44986</v>
      </c>
      <c r="C195" s="1" t="n">
        <v>45844</v>
      </c>
      <c r="D195" t="inlineStr">
        <is>
          <t>ÖREBRO LÄN</t>
        </is>
      </c>
      <c r="E195" t="inlineStr">
        <is>
          <t>DEGERFORS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10765-2023</t>
        </is>
      </c>
      <c r="B196" s="1" t="n">
        <v>44988</v>
      </c>
      <c r="C196" s="1" t="n">
        <v>45844</v>
      </c>
      <c r="D196" t="inlineStr">
        <is>
          <t>ÖREBRO LÄN</t>
        </is>
      </c>
      <c r="E196" t="inlineStr">
        <is>
          <t>DEGERFORS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10781-2023</t>
        </is>
      </c>
      <c r="B197" s="1" t="n">
        <v>44988</v>
      </c>
      <c r="C197" s="1" t="n">
        <v>45844</v>
      </c>
      <c r="D197" t="inlineStr">
        <is>
          <t>ÖREBRO LÄN</t>
        </is>
      </c>
      <c r="E197" t="inlineStr">
        <is>
          <t>DEGERFORS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10797-2023</t>
        </is>
      </c>
      <c r="B198" s="1" t="n">
        <v>44989</v>
      </c>
      <c r="C198" s="1" t="n">
        <v>45844</v>
      </c>
      <c r="D198" t="inlineStr">
        <is>
          <t>ÖREBRO LÄN</t>
        </is>
      </c>
      <c r="E198" t="inlineStr">
        <is>
          <t>DEGERFORS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10796-2023</t>
        </is>
      </c>
      <c r="B199" s="1" t="n">
        <v>44989</v>
      </c>
      <c r="C199" s="1" t="n">
        <v>45844</v>
      </c>
      <c r="D199" t="inlineStr">
        <is>
          <t>ÖREBRO LÄN</t>
        </is>
      </c>
      <c r="E199" t="inlineStr">
        <is>
          <t>DEGERFORS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12143-2023</t>
        </is>
      </c>
      <c r="B200" s="1" t="n">
        <v>44995</v>
      </c>
      <c r="C200" s="1" t="n">
        <v>45844</v>
      </c>
      <c r="D200" t="inlineStr">
        <is>
          <t>ÖREBRO LÄN</t>
        </is>
      </c>
      <c r="E200" t="inlineStr">
        <is>
          <t>DEGERFORS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12859-2023</t>
        </is>
      </c>
      <c r="B201" s="1" t="n">
        <v>45001</v>
      </c>
      <c r="C201" s="1" t="n">
        <v>45844</v>
      </c>
      <c r="D201" t="inlineStr">
        <is>
          <t>ÖREBRO LÄN</t>
        </is>
      </c>
      <c r="E201" t="inlineStr">
        <is>
          <t>DEGERFORS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14725-2023</t>
        </is>
      </c>
      <c r="B202" s="1" t="n">
        <v>45014</v>
      </c>
      <c r="C202" s="1" t="n">
        <v>45844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14723-2023</t>
        </is>
      </c>
      <c r="B203" s="1" t="n">
        <v>45014</v>
      </c>
      <c r="C203" s="1" t="n">
        <v>45844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16257-2023</t>
        </is>
      </c>
      <c r="B204" s="1" t="n">
        <v>45028</v>
      </c>
      <c r="C204" s="1" t="n">
        <v>45844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19305-2023</t>
        </is>
      </c>
      <c r="B205" s="1" t="n">
        <v>45049</v>
      </c>
      <c r="C205" s="1" t="n">
        <v>45844</v>
      </c>
      <c r="D205" t="inlineStr">
        <is>
          <t>ÖREBRO LÄN</t>
        </is>
      </c>
      <c r="E205" t="inlineStr">
        <is>
          <t>DEGERFORS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20383-2023</t>
        </is>
      </c>
      <c r="B206" s="1" t="n">
        <v>45056</v>
      </c>
      <c r="C206" s="1" t="n">
        <v>45844</v>
      </c>
      <c r="D206" t="inlineStr">
        <is>
          <t>ÖREBRO LÄN</t>
        </is>
      </c>
      <c r="E206" t="inlineStr">
        <is>
          <t>DEGERFORS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20578-2023</t>
        </is>
      </c>
      <c r="B207" s="1" t="n">
        <v>45057</v>
      </c>
      <c r="C207" s="1" t="n">
        <v>45844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20577-2023</t>
        </is>
      </c>
      <c r="B208" s="1" t="n">
        <v>45057</v>
      </c>
      <c r="C208" s="1" t="n">
        <v>45844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20576-2023</t>
        </is>
      </c>
      <c r="B209" s="1" t="n">
        <v>45057</v>
      </c>
      <c r="C209" s="1" t="n">
        <v>45844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20575-2023</t>
        </is>
      </c>
      <c r="B210" s="1" t="n">
        <v>45057</v>
      </c>
      <c r="C210" s="1" t="n">
        <v>45844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22201-2023</t>
        </is>
      </c>
      <c r="B211" s="1" t="n">
        <v>45069</v>
      </c>
      <c r="C211" s="1" t="n">
        <v>45844</v>
      </c>
      <c r="D211" t="inlineStr">
        <is>
          <t>ÖREBRO LÄN</t>
        </is>
      </c>
      <c r="E211" t="inlineStr">
        <is>
          <t>DEGERFORS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22653-2023</t>
        </is>
      </c>
      <c r="B212" s="1" t="n">
        <v>45071</v>
      </c>
      <c r="C212" s="1" t="n">
        <v>45844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22652-2023</t>
        </is>
      </c>
      <c r="B213" s="1" t="n">
        <v>45071</v>
      </c>
      <c r="C213" s="1" t="n">
        <v>45844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23082-2023</t>
        </is>
      </c>
      <c r="B214" s="1" t="n">
        <v>45075</v>
      </c>
      <c r="C214" s="1" t="n">
        <v>45844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23076-2023</t>
        </is>
      </c>
      <c r="B215" s="1" t="n">
        <v>45075</v>
      </c>
      <c r="C215" s="1" t="n">
        <v>45844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23081-2023</t>
        </is>
      </c>
      <c r="B216" s="1" t="n">
        <v>45075</v>
      </c>
      <c r="C216" s="1" t="n">
        <v>45844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29108-2023</t>
        </is>
      </c>
      <c r="B217" s="1" t="n">
        <v>45105</v>
      </c>
      <c r="C217" s="1" t="n">
        <v>45844</v>
      </c>
      <c r="D217" t="inlineStr">
        <is>
          <t>ÖREBRO LÄN</t>
        </is>
      </c>
      <c r="E217" t="inlineStr">
        <is>
          <t>DEGERFORS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29482-2023</t>
        </is>
      </c>
      <c r="B218" s="1" t="n">
        <v>45106</v>
      </c>
      <c r="C218" s="1" t="n">
        <v>45844</v>
      </c>
      <c r="D218" t="inlineStr">
        <is>
          <t>ÖREBRO LÄN</t>
        </is>
      </c>
      <c r="E218" t="inlineStr">
        <is>
          <t>DEGERFORS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33293-2023</t>
        </is>
      </c>
      <c r="B219" s="1" t="n">
        <v>45116</v>
      </c>
      <c r="C219" s="1" t="n">
        <v>45844</v>
      </c>
      <c r="D219" t="inlineStr">
        <is>
          <t>ÖREBRO LÄN</t>
        </is>
      </c>
      <c r="E219" t="inlineStr">
        <is>
          <t>DEGERFORS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33297-2023</t>
        </is>
      </c>
      <c r="B220" s="1" t="n">
        <v>45116</v>
      </c>
      <c r="C220" s="1" t="n">
        <v>45844</v>
      </c>
      <c r="D220" t="inlineStr">
        <is>
          <t>ÖREBRO LÄN</t>
        </is>
      </c>
      <c r="E220" t="inlineStr">
        <is>
          <t>DEGERFORS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32154-2023</t>
        </is>
      </c>
      <c r="B221" s="1" t="n">
        <v>45119</v>
      </c>
      <c r="C221" s="1" t="n">
        <v>45844</v>
      </c>
      <c r="D221" t="inlineStr">
        <is>
          <t>ÖREBRO LÄN</t>
        </is>
      </c>
      <c r="E221" t="inlineStr">
        <is>
          <t>DEGERFORS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32885-2023</t>
        </is>
      </c>
      <c r="B222" s="1" t="n">
        <v>45124</v>
      </c>
      <c r="C222" s="1" t="n">
        <v>45844</v>
      </c>
      <c r="D222" t="inlineStr">
        <is>
          <t>ÖREBRO LÄN</t>
        </is>
      </c>
      <c r="E222" t="inlineStr">
        <is>
          <t>DEGERFORS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34301-2023</t>
        </is>
      </c>
      <c r="B223" s="1" t="n">
        <v>45138</v>
      </c>
      <c r="C223" s="1" t="n">
        <v>45844</v>
      </c>
      <c r="D223" t="inlineStr">
        <is>
          <t>ÖREBRO LÄN</t>
        </is>
      </c>
      <c r="E223" t="inlineStr">
        <is>
          <t>DEGERFORS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35907-2023</t>
        </is>
      </c>
      <c r="B224" s="1" t="n">
        <v>45148</v>
      </c>
      <c r="C224" s="1" t="n">
        <v>45844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37895-2023</t>
        </is>
      </c>
      <c r="B225" s="1" t="n">
        <v>45160</v>
      </c>
      <c r="C225" s="1" t="n">
        <v>45844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37896-2023</t>
        </is>
      </c>
      <c r="B226" s="1" t="n">
        <v>45160</v>
      </c>
      <c r="C226" s="1" t="n">
        <v>45844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38233-2023</t>
        </is>
      </c>
      <c r="B227" s="1" t="n">
        <v>45160</v>
      </c>
      <c r="C227" s="1" t="n">
        <v>45844</v>
      </c>
      <c r="D227" t="inlineStr">
        <is>
          <t>ÖREBRO LÄN</t>
        </is>
      </c>
      <c r="E227" t="inlineStr">
        <is>
          <t>DEGERFORS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38891-2023</t>
        </is>
      </c>
      <c r="B228" s="1" t="n">
        <v>45163</v>
      </c>
      <c r="C228" s="1" t="n">
        <v>45844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38903-2023</t>
        </is>
      </c>
      <c r="B229" s="1" t="n">
        <v>45163</v>
      </c>
      <c r="C229" s="1" t="n">
        <v>45844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38917-2023</t>
        </is>
      </c>
      <c r="B230" s="1" t="n">
        <v>45163</v>
      </c>
      <c r="C230" s="1" t="n">
        <v>45844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38887-2023</t>
        </is>
      </c>
      <c r="B231" s="1" t="n">
        <v>45163</v>
      </c>
      <c r="C231" s="1" t="n">
        <v>45844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38896-2023</t>
        </is>
      </c>
      <c r="B232" s="1" t="n">
        <v>45163</v>
      </c>
      <c r="C232" s="1" t="n">
        <v>45844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38904-2023</t>
        </is>
      </c>
      <c r="B233" s="1" t="n">
        <v>45163</v>
      </c>
      <c r="C233" s="1" t="n">
        <v>45844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38901-2023</t>
        </is>
      </c>
      <c r="B234" s="1" t="n">
        <v>45163</v>
      </c>
      <c r="C234" s="1" t="n">
        <v>45844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38914-2023</t>
        </is>
      </c>
      <c r="B235" s="1" t="n">
        <v>45163</v>
      </c>
      <c r="C235" s="1" t="n">
        <v>45844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38910-2023</t>
        </is>
      </c>
      <c r="B236" s="1" t="n">
        <v>45163</v>
      </c>
      <c r="C236" s="1" t="n">
        <v>45844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38915-2023</t>
        </is>
      </c>
      <c r="B237" s="1" t="n">
        <v>45163</v>
      </c>
      <c r="C237" s="1" t="n">
        <v>45844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38907-2023</t>
        </is>
      </c>
      <c r="B238" s="1" t="n">
        <v>45163</v>
      </c>
      <c r="C238" s="1" t="n">
        <v>45844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38912-2023</t>
        </is>
      </c>
      <c r="B239" s="1" t="n">
        <v>45163</v>
      </c>
      <c r="C239" s="1" t="n">
        <v>45844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38921-2023</t>
        </is>
      </c>
      <c r="B240" s="1" t="n">
        <v>45163</v>
      </c>
      <c r="C240" s="1" t="n">
        <v>45844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39593-2023</t>
        </is>
      </c>
      <c r="B241" s="1" t="n">
        <v>45163</v>
      </c>
      <c r="C241" s="1" t="n">
        <v>45844</v>
      </c>
      <c r="D241" t="inlineStr">
        <is>
          <t>ÖREBRO LÄN</t>
        </is>
      </c>
      <c r="E241" t="inlineStr">
        <is>
          <t>DEGERFORS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39600-2023</t>
        </is>
      </c>
      <c r="B242" s="1" t="n">
        <v>45163</v>
      </c>
      <c r="C242" s="1" t="n">
        <v>45844</v>
      </c>
      <c r="D242" t="inlineStr">
        <is>
          <t>ÖREBRO LÄN</t>
        </is>
      </c>
      <c r="E242" t="inlineStr">
        <is>
          <t>DEGERFORS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40596-2023</t>
        </is>
      </c>
      <c r="B243" s="1" t="n">
        <v>45170</v>
      </c>
      <c r="C243" s="1" t="n">
        <v>45844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41286-2023</t>
        </is>
      </c>
      <c r="B244" s="1" t="n">
        <v>45174</v>
      </c>
      <c r="C244" s="1" t="n">
        <v>45844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41518-2023</t>
        </is>
      </c>
      <c r="B245" s="1" t="n">
        <v>45175</v>
      </c>
      <c r="C245" s="1" t="n">
        <v>45844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43587-2023</t>
        </is>
      </c>
      <c r="B246" s="1" t="n">
        <v>45181</v>
      </c>
      <c r="C246" s="1" t="n">
        <v>45844</v>
      </c>
      <c r="D246" t="inlineStr">
        <is>
          <t>ÖREBRO LÄN</t>
        </is>
      </c>
      <c r="E246" t="inlineStr">
        <is>
          <t>DEGERFORS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43331-2023</t>
        </is>
      </c>
      <c r="B247" s="1" t="n">
        <v>45183</v>
      </c>
      <c r="C247" s="1" t="n">
        <v>45844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43330-2023</t>
        </is>
      </c>
      <c r="B248" s="1" t="n">
        <v>45183</v>
      </c>
      <c r="C248" s="1" t="n">
        <v>45844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44807-2023</t>
        </is>
      </c>
      <c r="B249" s="1" t="n">
        <v>45190</v>
      </c>
      <c r="C249" s="1" t="n">
        <v>45844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44841-2023</t>
        </is>
      </c>
      <c r="B250" s="1" t="n">
        <v>45190</v>
      </c>
      <c r="C250" s="1" t="n">
        <v>45844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44806-2023</t>
        </is>
      </c>
      <c r="B251" s="1" t="n">
        <v>45190</v>
      </c>
      <c r="C251" s="1" t="n">
        <v>45844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44840-2023</t>
        </is>
      </c>
      <c r="B252" s="1" t="n">
        <v>45190</v>
      </c>
      <c r="C252" s="1" t="n">
        <v>45844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45365-2023</t>
        </is>
      </c>
      <c r="B253" s="1" t="n">
        <v>45192</v>
      </c>
      <c r="C253" s="1" t="n">
        <v>45844</v>
      </c>
      <c r="D253" t="inlineStr">
        <is>
          <t>ÖREBRO LÄN</t>
        </is>
      </c>
      <c r="E253" t="inlineStr">
        <is>
          <t>DEGERFORS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45861-2023</t>
        </is>
      </c>
      <c r="B254" s="1" t="n">
        <v>45195</v>
      </c>
      <c r="C254" s="1" t="n">
        <v>45844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48118-2023</t>
        </is>
      </c>
      <c r="B255" s="1" t="n">
        <v>45205</v>
      </c>
      <c r="C255" s="1" t="n">
        <v>45844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48232-2023</t>
        </is>
      </c>
      <c r="B256" s="1" t="n">
        <v>45205</v>
      </c>
      <c r="C256" s="1" t="n">
        <v>45844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48240-2023</t>
        </is>
      </c>
      <c r="B257" s="1" t="n">
        <v>45205</v>
      </c>
      <c r="C257" s="1" t="n">
        <v>45844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48234-2023</t>
        </is>
      </c>
      <c r="B258" s="1" t="n">
        <v>45205</v>
      </c>
      <c r="C258" s="1" t="n">
        <v>45844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48285-2023</t>
        </is>
      </c>
      <c r="B259" s="1" t="n">
        <v>45205</v>
      </c>
      <c r="C259" s="1" t="n">
        <v>45844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48238-2023</t>
        </is>
      </c>
      <c r="B260" s="1" t="n">
        <v>45205</v>
      </c>
      <c r="C260" s="1" t="n">
        <v>45844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48278-2023</t>
        </is>
      </c>
      <c r="B261" s="1" t="n">
        <v>45205</v>
      </c>
      <c r="C261" s="1" t="n">
        <v>45844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48286-2023</t>
        </is>
      </c>
      <c r="B262" s="1" t="n">
        <v>45205</v>
      </c>
      <c r="C262" s="1" t="n">
        <v>45844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50102-2023</t>
        </is>
      </c>
      <c r="B263" s="1" t="n">
        <v>45215</v>
      </c>
      <c r="C263" s="1" t="n">
        <v>45844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52566-2023</t>
        </is>
      </c>
      <c r="B264" s="1" t="n">
        <v>45219</v>
      </c>
      <c r="C264" s="1" t="n">
        <v>45844</v>
      </c>
      <c r="D264" t="inlineStr">
        <is>
          <t>ÖREBRO LÄN</t>
        </is>
      </c>
      <c r="E264" t="inlineStr">
        <is>
          <t>DEGERFORS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51635-2023</t>
        </is>
      </c>
      <c r="B265" s="1" t="n">
        <v>45222</v>
      </c>
      <c r="C265" s="1" t="n">
        <v>45844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51632-2023</t>
        </is>
      </c>
      <c r="B266" s="1" t="n">
        <v>45222</v>
      </c>
      <c r="C266" s="1" t="n">
        <v>45844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51636-2023</t>
        </is>
      </c>
      <c r="B267" s="1" t="n">
        <v>45222</v>
      </c>
      <c r="C267" s="1" t="n">
        <v>45844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51652-2023</t>
        </is>
      </c>
      <c r="B268" s="1" t="n">
        <v>45222</v>
      </c>
      <c r="C268" s="1" t="n">
        <v>45844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51634-2023</t>
        </is>
      </c>
      <c r="B269" s="1" t="n">
        <v>45222</v>
      </c>
      <c r="C269" s="1" t="n">
        <v>45844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51653-2023</t>
        </is>
      </c>
      <c r="B270" s="1" t="n">
        <v>45222</v>
      </c>
      <c r="C270" s="1" t="n">
        <v>45844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51992-2023</t>
        </is>
      </c>
      <c r="B271" s="1" t="n">
        <v>45223</v>
      </c>
      <c r="C271" s="1" t="n">
        <v>45844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51996-2023</t>
        </is>
      </c>
      <c r="B272" s="1" t="n">
        <v>45223</v>
      </c>
      <c r="C272" s="1" t="n">
        <v>45844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51991-2023</t>
        </is>
      </c>
      <c r="B273" s="1" t="n">
        <v>45223</v>
      </c>
      <c r="C273" s="1" t="n">
        <v>45844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51995-2023</t>
        </is>
      </c>
      <c r="B274" s="1" t="n">
        <v>45223</v>
      </c>
      <c r="C274" s="1" t="n">
        <v>45844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54517-2023</t>
        </is>
      </c>
      <c r="B275" s="1" t="n">
        <v>45233</v>
      </c>
      <c r="C275" s="1" t="n">
        <v>45844</v>
      </c>
      <c r="D275" t="inlineStr">
        <is>
          <t>ÖREBRO LÄN</t>
        </is>
      </c>
      <c r="E275" t="inlineStr">
        <is>
          <t>DEGERFORS</t>
        </is>
      </c>
      <c r="G275" t="n">
        <v>14.6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54515-2023</t>
        </is>
      </c>
      <c r="B276" s="1" t="n">
        <v>45233</v>
      </c>
      <c r="C276" s="1" t="n">
        <v>45844</v>
      </c>
      <c r="D276" t="inlineStr">
        <is>
          <t>ÖREBRO LÄN</t>
        </is>
      </c>
      <c r="E276" t="inlineStr">
        <is>
          <t>DEGERFORS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56566-2023</t>
        </is>
      </c>
      <c r="B277" s="1" t="n">
        <v>45238</v>
      </c>
      <c r="C277" s="1" t="n">
        <v>45844</v>
      </c>
      <c r="D277" t="inlineStr">
        <is>
          <t>ÖREBRO LÄN</t>
        </is>
      </c>
      <c r="E277" t="inlineStr">
        <is>
          <t>DEGERFORS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55595-2023</t>
        </is>
      </c>
      <c r="B278" s="1" t="n">
        <v>45238</v>
      </c>
      <c r="C278" s="1" t="n">
        <v>45844</v>
      </c>
      <c r="D278" t="inlineStr">
        <is>
          <t>ÖREBRO LÄN</t>
        </is>
      </c>
      <c r="E278" t="inlineStr">
        <is>
          <t>DEGERFORS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59131-2023</t>
        </is>
      </c>
      <c r="B279" s="1" t="n">
        <v>45253</v>
      </c>
      <c r="C279" s="1" t="n">
        <v>45844</v>
      </c>
      <c r="D279" t="inlineStr">
        <is>
          <t>ÖREBRO LÄN</t>
        </is>
      </c>
      <c r="E279" t="inlineStr">
        <is>
          <t>DEGERFORS</t>
        </is>
      </c>
      <c r="F279" t="inlineStr">
        <is>
          <t>Kommuner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60135-2023</t>
        </is>
      </c>
      <c r="B280" s="1" t="n">
        <v>45258</v>
      </c>
      <c r="C280" s="1" t="n">
        <v>45844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60137-2023</t>
        </is>
      </c>
      <c r="B281" s="1" t="n">
        <v>45258</v>
      </c>
      <c r="C281" s="1" t="n">
        <v>45844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60145-2023</t>
        </is>
      </c>
      <c r="B282" s="1" t="n">
        <v>45258</v>
      </c>
      <c r="C282" s="1" t="n">
        <v>45844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60146-2023</t>
        </is>
      </c>
      <c r="B283" s="1" t="n">
        <v>45258</v>
      </c>
      <c r="C283" s="1" t="n">
        <v>45844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60907-2023</t>
        </is>
      </c>
      <c r="B284" s="1" t="n">
        <v>45261</v>
      </c>
      <c r="C284" s="1" t="n">
        <v>45844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62211-2023</t>
        </is>
      </c>
      <c r="B285" s="1" t="n">
        <v>45267</v>
      </c>
      <c r="C285" s="1" t="n">
        <v>45844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62982-2023</t>
        </is>
      </c>
      <c r="B286" s="1" t="n">
        <v>45272</v>
      </c>
      <c r="C286" s="1" t="n">
        <v>45844</v>
      </c>
      <c r="D286" t="inlineStr">
        <is>
          <t>ÖREBRO LÄN</t>
        </is>
      </c>
      <c r="E286" t="inlineStr">
        <is>
          <t>DEGERFORS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62972-2023</t>
        </is>
      </c>
      <c r="B287" s="1" t="n">
        <v>45272</v>
      </c>
      <c r="C287" s="1" t="n">
        <v>45844</v>
      </c>
      <c r="D287" t="inlineStr">
        <is>
          <t>ÖREBRO LÄN</t>
        </is>
      </c>
      <c r="E287" t="inlineStr">
        <is>
          <t>DEGERFORS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63914-2023</t>
        </is>
      </c>
      <c r="B288" s="1" t="n">
        <v>45278</v>
      </c>
      <c r="C288" s="1" t="n">
        <v>45844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63912-2023</t>
        </is>
      </c>
      <c r="B289" s="1" t="n">
        <v>45278</v>
      </c>
      <c r="C289" s="1" t="n">
        <v>45844</v>
      </c>
      <c r="D289" t="inlineStr">
        <is>
          <t>ÖREBRO LÄN</t>
        </is>
      </c>
      <c r="E289" t="inlineStr">
        <is>
          <t>DEGERFORS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64076-2023</t>
        </is>
      </c>
      <c r="B290" s="1" t="n">
        <v>45279</v>
      </c>
      <c r="C290" s="1" t="n">
        <v>45844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65110-2023</t>
        </is>
      </c>
      <c r="B291" s="1" t="n">
        <v>45287</v>
      </c>
      <c r="C291" s="1" t="n">
        <v>45844</v>
      </c>
      <c r="D291" t="inlineStr">
        <is>
          <t>ÖREBRO LÄN</t>
        </is>
      </c>
      <c r="E291" t="inlineStr">
        <is>
          <t>DEGERFORS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1302-2024</t>
        </is>
      </c>
      <c r="B292" s="1" t="n">
        <v>45303</v>
      </c>
      <c r="C292" s="1" t="n">
        <v>45844</v>
      </c>
      <c r="D292" t="inlineStr">
        <is>
          <t>ÖREBRO LÄN</t>
        </is>
      </c>
      <c r="E292" t="inlineStr">
        <is>
          <t>DEGERFORS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2873-2024</t>
        </is>
      </c>
      <c r="B293" s="1" t="n">
        <v>45315</v>
      </c>
      <c r="C293" s="1" t="n">
        <v>45844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4280-2024</t>
        </is>
      </c>
      <c r="B294" s="1" t="n">
        <v>45324</v>
      </c>
      <c r="C294" s="1" t="n">
        <v>45844</v>
      </c>
      <c r="D294" t="inlineStr">
        <is>
          <t>ÖREBRO LÄN</t>
        </is>
      </c>
      <c r="E294" t="inlineStr">
        <is>
          <t>DEGERFORS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5276-2024</t>
        </is>
      </c>
      <c r="B295" s="1" t="n">
        <v>45330</v>
      </c>
      <c r="C295" s="1" t="n">
        <v>45844</v>
      </c>
      <c r="D295" t="inlineStr">
        <is>
          <t>ÖREBRO LÄN</t>
        </is>
      </c>
      <c r="E295" t="inlineStr">
        <is>
          <t>DEGERFORS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5219-2024</t>
        </is>
      </c>
      <c r="B296" s="1" t="n">
        <v>45330</v>
      </c>
      <c r="C296" s="1" t="n">
        <v>45844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5218-2024</t>
        </is>
      </c>
      <c r="B297" s="1" t="n">
        <v>45330</v>
      </c>
      <c r="C297" s="1" t="n">
        <v>45844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5277-2024</t>
        </is>
      </c>
      <c r="B298" s="1" t="n">
        <v>45330</v>
      </c>
      <c r="C298" s="1" t="n">
        <v>45844</v>
      </c>
      <c r="D298" t="inlineStr">
        <is>
          <t>ÖREBRO LÄN</t>
        </is>
      </c>
      <c r="E298" t="inlineStr">
        <is>
          <t>DEGERFORS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6195-2024</t>
        </is>
      </c>
      <c r="B299" s="1" t="n">
        <v>45337</v>
      </c>
      <c r="C299" s="1" t="n">
        <v>45844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6240-2024</t>
        </is>
      </c>
      <c r="B300" s="1" t="n">
        <v>45337</v>
      </c>
      <c r="C300" s="1" t="n">
        <v>45844</v>
      </c>
      <c r="D300" t="inlineStr">
        <is>
          <t>ÖREBRO LÄN</t>
        </is>
      </c>
      <c r="E300" t="inlineStr">
        <is>
          <t>DEGERFORS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6387-2024</t>
        </is>
      </c>
      <c r="B301" s="1" t="n">
        <v>45338</v>
      </c>
      <c r="C301" s="1" t="n">
        <v>45844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6394-2024</t>
        </is>
      </c>
      <c r="B302" s="1" t="n">
        <v>45338</v>
      </c>
      <c r="C302" s="1" t="n">
        <v>45844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8072-2024</t>
        </is>
      </c>
      <c r="B303" s="1" t="n">
        <v>45351</v>
      </c>
      <c r="C303" s="1" t="n">
        <v>45844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8104-2024</t>
        </is>
      </c>
      <c r="B304" s="1" t="n">
        <v>45351</v>
      </c>
      <c r="C304" s="1" t="n">
        <v>45844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8062-2024</t>
        </is>
      </c>
      <c r="B305" s="1" t="n">
        <v>45351</v>
      </c>
      <c r="C305" s="1" t="n">
        <v>45844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8059-2024</t>
        </is>
      </c>
      <c r="B306" s="1" t="n">
        <v>45351</v>
      </c>
      <c r="C306" s="1" t="n">
        <v>45844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45844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45844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45844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45844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45844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45844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45844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45844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45844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45844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45844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45844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45844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45844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45844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45844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45844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45844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45844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45844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45844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45844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45844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45844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45844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45844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45844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45844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45844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45844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45844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45844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45844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45844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45844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45844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45844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45844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45844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45844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45844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45844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45844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45844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45844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45844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45844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45844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45844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45844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45844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45844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45844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45844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45844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45844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45844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45844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45844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45844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45844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45844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45844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45844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45844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45844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45844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45844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45844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45844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45844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45844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45844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45844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45844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45844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45844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45844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45844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45844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45844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45844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45844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45844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45844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45844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45844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45844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45844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45844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45844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45844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45844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45844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45844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45844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45844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45844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45844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45844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45844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45844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45844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45844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45844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45844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45844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45844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45844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45844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45844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45844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45844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45844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45844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45844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45844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45844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45844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45844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45844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45844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45844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45844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45844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45844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45844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45844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45844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45844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45844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45844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45844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45844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45844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45844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45844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45844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45844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45844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45844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45844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45844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45844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45844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45844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45844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45844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45844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45844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45844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45844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45844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45844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45844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45844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45844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45844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45844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45844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45844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45844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45844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45844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45844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45844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45844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45844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45844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45844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45844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45844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45844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45844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45844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45844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45844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45844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45844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45844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45844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45844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45844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45844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45844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45844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45844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45844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45844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45844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45844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45844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45844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45844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45844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45844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45844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45844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45844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45844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45844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23682-2025</t>
        </is>
      </c>
      <c r="B508" s="1" t="n">
        <v>45793</v>
      </c>
      <c r="C508" s="1" t="n">
        <v>45844</v>
      </c>
      <c r="D508" t="inlineStr">
        <is>
          <t>ÖREBRO LÄN</t>
        </is>
      </c>
      <c r="E508" t="inlineStr">
        <is>
          <t>DEGERFORS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23683-2025</t>
        </is>
      </c>
      <c r="B509" s="1" t="n">
        <v>45793</v>
      </c>
      <c r="C509" s="1" t="n">
        <v>45844</v>
      </c>
      <c r="D509" t="inlineStr">
        <is>
          <t>ÖREBRO LÄN</t>
        </is>
      </c>
      <c r="E509" t="inlineStr">
        <is>
          <t>DEGERFORS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24707-2025</t>
        </is>
      </c>
      <c r="B510" s="1" t="n">
        <v>45798</v>
      </c>
      <c r="C510" s="1" t="n">
        <v>45844</v>
      </c>
      <c r="D510" t="inlineStr">
        <is>
          <t>ÖREBRO LÄN</t>
        </is>
      </c>
      <c r="E510" t="inlineStr">
        <is>
          <t>DEGERFORS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25923-2025</t>
        </is>
      </c>
      <c r="B511" s="1" t="n">
        <v>45804</v>
      </c>
      <c r="C511" s="1" t="n">
        <v>45844</v>
      </c>
      <c r="D511" t="inlineStr">
        <is>
          <t>ÖREBRO LÄN</t>
        </is>
      </c>
      <c r="E511" t="inlineStr">
        <is>
          <t>DEGERFORS</t>
        </is>
      </c>
      <c r="F511" t="inlineStr">
        <is>
          <t>Kommuner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25744-2025</t>
        </is>
      </c>
      <c r="B512" s="1" t="n">
        <v>45804</v>
      </c>
      <c r="C512" s="1" t="n">
        <v>45844</v>
      </c>
      <c r="D512" t="inlineStr">
        <is>
          <t>ÖREBRO LÄN</t>
        </is>
      </c>
      <c r="E512" t="inlineStr">
        <is>
          <t>DEGERFORS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26170-2025</t>
        </is>
      </c>
      <c r="B513" s="1" t="n">
        <v>45805</v>
      </c>
      <c r="C513" s="1" t="n">
        <v>45844</v>
      </c>
      <c r="D513" t="inlineStr">
        <is>
          <t>ÖREBRO LÄN</t>
        </is>
      </c>
      <c r="E513" t="inlineStr">
        <is>
          <t>DEGERFORS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26153-2025</t>
        </is>
      </c>
      <c r="B514" s="1" t="n">
        <v>45805</v>
      </c>
      <c r="C514" s="1" t="n">
        <v>45844</v>
      </c>
      <c r="D514" t="inlineStr">
        <is>
          <t>ÖREBRO LÄN</t>
        </is>
      </c>
      <c r="E514" t="inlineStr">
        <is>
          <t>DEGERFORS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26147-2025</t>
        </is>
      </c>
      <c r="B515" s="1" t="n">
        <v>45805</v>
      </c>
      <c r="C515" s="1" t="n">
        <v>45844</v>
      </c>
      <c r="D515" t="inlineStr">
        <is>
          <t>ÖREBRO LÄN</t>
        </is>
      </c>
      <c r="E515" t="inlineStr">
        <is>
          <t>DEGERFORS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26301-2025</t>
        </is>
      </c>
      <c r="B516" s="1" t="n">
        <v>45805</v>
      </c>
      <c r="C516" s="1" t="n">
        <v>45844</v>
      </c>
      <c r="D516" t="inlineStr">
        <is>
          <t>ÖREBRO LÄN</t>
        </is>
      </c>
      <c r="E516" t="inlineStr">
        <is>
          <t>DEGERFORS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26783-2025</t>
        </is>
      </c>
      <c r="B517" s="1" t="n">
        <v>45810</v>
      </c>
      <c r="C517" s="1" t="n">
        <v>45844</v>
      </c>
      <c r="D517" t="inlineStr">
        <is>
          <t>ÖREBRO LÄN</t>
        </is>
      </c>
      <c r="E517" t="inlineStr">
        <is>
          <t>DEGERFORS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26820-2025</t>
        </is>
      </c>
      <c r="B518" s="1" t="n">
        <v>45810</v>
      </c>
      <c r="C518" s="1" t="n">
        <v>45844</v>
      </c>
      <c r="D518" t="inlineStr">
        <is>
          <t>ÖREBRO LÄN</t>
        </is>
      </c>
      <c r="E518" t="inlineStr">
        <is>
          <t>DEGERFORS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28369-2025</t>
        </is>
      </c>
      <c r="B519" s="1" t="n">
        <v>45819</v>
      </c>
      <c r="C519" s="1" t="n">
        <v>45844</v>
      </c>
      <c r="D519" t="inlineStr">
        <is>
          <t>ÖREBRO LÄN</t>
        </is>
      </c>
      <c r="E519" t="inlineStr">
        <is>
          <t>DEGERFORS</t>
        </is>
      </c>
      <c r="F519" t="inlineStr">
        <is>
          <t>Sveaskog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28368-2025</t>
        </is>
      </c>
      <c r="B520" s="1" t="n">
        <v>45819</v>
      </c>
      <c r="C520" s="1" t="n">
        <v>45844</v>
      </c>
      <c r="D520" t="inlineStr">
        <is>
          <t>ÖREBRO LÄN</t>
        </is>
      </c>
      <c r="E520" t="inlineStr">
        <is>
          <t>DEGERFORS</t>
        </is>
      </c>
      <c r="F520" t="inlineStr">
        <is>
          <t>Sveaskog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28370-2025</t>
        </is>
      </c>
      <c r="B521" s="1" t="n">
        <v>45819</v>
      </c>
      <c r="C521" s="1" t="n">
        <v>45844</v>
      </c>
      <c r="D521" t="inlineStr">
        <is>
          <t>ÖREBRO LÄN</t>
        </is>
      </c>
      <c r="E521" t="inlineStr">
        <is>
          <t>DEGERFORS</t>
        </is>
      </c>
      <c r="F521" t="inlineStr">
        <is>
          <t>Sveaskog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28367-2025</t>
        </is>
      </c>
      <c r="B522" s="1" t="n">
        <v>45819</v>
      </c>
      <c r="C522" s="1" t="n">
        <v>45844</v>
      </c>
      <c r="D522" t="inlineStr">
        <is>
          <t>ÖREBRO LÄN</t>
        </is>
      </c>
      <c r="E522" t="inlineStr">
        <is>
          <t>DEGERFORS</t>
        </is>
      </c>
      <c r="F522" t="inlineStr">
        <is>
          <t>Sveaskog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31603-2025</t>
        </is>
      </c>
      <c r="B523" s="1" t="n">
        <v>45833</v>
      </c>
      <c r="C523" s="1" t="n">
        <v>45844</v>
      </c>
      <c r="D523" t="inlineStr">
        <is>
          <t>ÖREBRO LÄN</t>
        </is>
      </c>
      <c r="E523" t="inlineStr">
        <is>
          <t>DEGERFORS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32300-2025</t>
        </is>
      </c>
      <c r="B524" s="1" t="n">
        <v>45835</v>
      </c>
      <c r="C524" s="1" t="n">
        <v>45844</v>
      </c>
      <c r="D524" t="inlineStr">
        <is>
          <t>ÖREBRO LÄN</t>
        </is>
      </c>
      <c r="E524" t="inlineStr">
        <is>
          <t>DEGERFORS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32717-2025</t>
        </is>
      </c>
      <c r="B525" s="1" t="n">
        <v>45839</v>
      </c>
      <c r="C525" s="1" t="n">
        <v>45844</v>
      </c>
      <c r="D525" t="inlineStr">
        <is>
          <t>ÖREBRO LÄN</t>
        </is>
      </c>
      <c r="E525" t="inlineStr">
        <is>
          <t>DEGERFORS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33404-2025</t>
        </is>
      </c>
      <c r="B526" s="1" t="n">
        <v>45841</v>
      </c>
      <c r="C526" s="1" t="n">
        <v>45844</v>
      </c>
      <c r="D526" t="inlineStr">
        <is>
          <t>ÖREBRO LÄN</t>
        </is>
      </c>
      <c r="E526" t="inlineStr">
        <is>
          <t>DEGERFORS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2025-07-06T19:23:32Z</dcterms:created>
  <dcterms:modified xmlns:dcterms="http://purl.org/dc/terms/" xmlns:xsi="http://www.w3.org/2001/XMLSchema-instance" xsi:type="dcterms:W3CDTF">2025-07-06T19:23:32Z</dcterms:modified>
</cp:coreProperties>
</file>