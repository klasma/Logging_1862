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46311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46311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46311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46311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46311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46311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46311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46311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46311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46311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5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8</v>
      </c>
      <c r="T11" t="n">
        <v>22</v>
      </c>
      <c r="U11" t="n">
        <v>21</v>
      </c>
      <c r="V11" s="2" t="inlineStr">
        <is>
          <t>Jungfrulin
Motaggsvamp
Nordfladdermus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46311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46311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46311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46311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46311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36081-2025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45866</v>
      </c>
      <c r="E17" s="1" t="n">
        <v>46311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1.5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Jungfrulin
Skogsklocka
Svinrot
Springkorn</t>
        </is>
      </c>
      <c r="W17">
        <f>HYPERLINK("https://klasma.github.io/Logging_1862/artfynd/A 36081-2025 artfynd.xlsx", "A 36081-2025")</f>
        <v/>
      </c>
      <c r="X17">
        <f>HYPERLINK("https://klasma.github.io/Logging_1862/kartor/A 36081-2025 karta.png", "A 36081-2025")</f>
        <v/>
      </c>
      <c r="Y17">
        <f>HYPERLINK("https://klasma.github.io/Logging_1862/kartor_geotiff/A 36081-2025 georefererad karta.tif", "A 36081-2025")</f>
        <v/>
      </c>
      <c r="AA17">
        <f>HYPERLINK("https://klasma.github.io/Logging_1862/klagomål/A 36081-2025 FSC-klagomål.docx", "A 36081-2025")</f>
        <v/>
      </c>
      <c r="AB17">
        <f>HYPERLINK("https://klasma.github.io/Logging_1862/klagomålsmail/A 36081-2025 FSC-klagomål mail.docx", "A 36081-2025")</f>
        <v/>
      </c>
      <c r="AC17">
        <f>HYPERLINK("https://klasma.github.io/Logging_1862/tillsyn/A 36081-2025 tillsynsbegäran.docx", "A 36081-2025")</f>
        <v/>
      </c>
      <c r="AD17">
        <f>HYPERLINK("https://klasma.github.io/Logging_1862/tillsynsmail/A 36081-2025 tillsynsbegäran mail.docx", "A 36081-2025")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46311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Jungfrulin
Skogsklocka
Svinrot
Springkorn</t>
        </is>
      </c>
      <c r="W18">
        <f>HYPERLINK("https://klasma.github.io/Logging_1862/artfynd/A 8063-2024 artfynd.xlsx", "A 8063-2024")</f>
        <v/>
      </c>
      <c r="X18">
        <f>HYPERLINK("https://klasma.github.io/Logging_1862/kartor/A 8063-2024 karta.png", "A 8063-2024")</f>
        <v/>
      </c>
      <c r="Y18">
        <f>HYPERLINK("https://klasma.github.io/Logging_1862/kartor_geotiff/A 8063-2024 georefererad karta.tif", "A 8063-2024")</f>
        <v/>
      </c>
      <c r="AA18">
        <f>HYPERLINK("https://klasma.github.io/Logging_1862/klagomål/A 8063-2024 FSC-klagomål.docx", "A 8063-2024")</f>
        <v/>
      </c>
      <c r="AB18">
        <f>HYPERLINK("https://klasma.github.io/Logging_1862/klagomålsmail/A 8063-2024 FSC-klagomål mail.docx", "A 8063-2024")</f>
        <v/>
      </c>
      <c r="AC18">
        <f>HYPERLINK("https://klasma.github.io/Logging_1862/tillsyn/A 8063-2024 tillsynsbegäran.docx", "A 8063-2024")</f>
        <v/>
      </c>
      <c r="AD18">
        <f>HYPERLINK("https://klasma.github.io/Logging_1862/tillsynsmail/A 8063-2024 tillsynsbegäran mail.docx", "A 8063-2024")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46311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46311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46311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46311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3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7</v>
      </c>
      <c r="U22" t="n">
        <v>7</v>
      </c>
      <c r="V22" s="2" t="inlineStr">
        <is>
          <t>Nordfladdermus
Svinrot
Tretåig hackspett
Fläcknycklar</t>
        </is>
      </c>
      <c r="W22">
        <f>HYPERLINK("https://klasma.github.io/Logging_1862/artfynd/A 12720-2024 artfynd.xlsx", "A 12720-2024")</f>
        <v/>
      </c>
      <c r="X22">
        <f>HYPERLINK("https://klasma.github.io/Logging_1862/kartor/A 12720-2024 karta.png", "A 12720-2024")</f>
        <v/>
      </c>
      <c r="Y22">
        <f>HYPERLINK("https://klasma.github.io/Logging_1862/kartor_geotiff/A 12720-2024 georefererad karta.tif", "A 12720-2024")</f>
        <v/>
      </c>
      <c r="AA22">
        <f>HYPERLINK("https://klasma.github.io/Logging_1862/klagomål/A 12720-2024 FSC-klagomål.docx", "A 12720-2024")</f>
        <v/>
      </c>
      <c r="AB22">
        <f>HYPERLINK("https://klasma.github.io/Logging_1862/klagomålsmail/A 12720-2024 FSC-klagomål mail.docx", "A 12720-2024")</f>
        <v/>
      </c>
      <c r="AC22">
        <f>HYPERLINK("https://klasma.github.io/Logging_1862/tillsyn/A 12720-2024 tillsynsbegäran.docx", "A 12720-2024")</f>
        <v/>
      </c>
      <c r="AD22">
        <f>HYPERLINK("https://klasma.github.io/Logging_1862/tillsynsmail/A 12720-2024 tillsynsbegäran mail.docx", "A 12720-2024")</f>
        <v/>
      </c>
      <c r="AE22">
        <f>HYPERLINK("https://klasma.github.io/Logging_1862/fåglar/A 12720-2024 prioriterade fågelarter.docx", "A 12720-2024")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46311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27671-2026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46190</v>
      </c>
      <c r="E24" s="1" t="n">
        <v>46311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Spillkråka
Tjäder
Fläcknycklar</t>
        </is>
      </c>
      <c r="W24">
        <f>HYPERLINK("https://klasma.github.io/Logging_1862/artfynd/A 27671-2026 artfynd.xlsx", "A 27671-2026")</f>
        <v/>
      </c>
      <c r="X24">
        <f>HYPERLINK("https://klasma.github.io/Logging_1862/kartor/A 27671-2026 karta.png", "A 27671-2026")</f>
        <v/>
      </c>
      <c r="Y24">
        <f>HYPERLINK("https://klasma.github.io/Logging_1862/kartor_geotiff/A 27671-2026 georefererad karta.tif", "A 27671-2026")</f>
        <v/>
      </c>
      <c r="AA24">
        <f>HYPERLINK("https://klasma.github.io/Logging_1862/klagomål/A 27671-2026 FSC-klagomål.docx", "A 27671-2026")</f>
        <v/>
      </c>
      <c r="AB24">
        <f>HYPERLINK("https://klasma.github.io/Logging_1862/klagomålsmail/A 27671-2026 FSC-klagomål mail.docx", "A 27671-2026")</f>
        <v/>
      </c>
      <c r="AC24">
        <f>HYPERLINK("https://klasma.github.io/Logging_1862/tillsyn/A 27671-2026 tillsynsbegäran.docx", "A 27671-2026")</f>
        <v/>
      </c>
      <c r="AD24">
        <f>HYPERLINK("https://klasma.github.io/Logging_1862/tillsynsmail/A 27671-2026 tillsynsbegäran mail.docx", "A 27671-2026")</f>
        <v/>
      </c>
      <c r="AE24">
        <f>HYPERLINK("https://klasma.github.io/Logging_1862/fåglar/A 27671-2026 prioriterade fågelarter.docx", "A 27671-2026")</f>
        <v/>
      </c>
    </row>
    <row r="25" ht="15" customHeight="1">
      <c r="A25" t="inlineStr">
        <is>
          <t>A 47782-2025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46311</v>
      </c>
      <c r="F25" t="inlineStr">
        <is>
          <t>ÖREBRO LÄN</t>
        </is>
      </c>
      <c r="G25" t="inlineStr">
        <is>
          <t>DEGERFORS</t>
        </is>
      </c>
      <c r="I25" t="n">
        <v>13.4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11</v>
      </c>
      <c r="U25" t="n">
        <v>11</v>
      </c>
      <c r="V25" s="2" t="inlineStr">
        <is>
          <t>Talltita
Tretåig hackspett
Spillkråka</t>
        </is>
      </c>
      <c r="W25">
        <f>HYPERLINK("https://klasma.github.io/Logging_1862/artfynd/A 47782-2025 artfynd.xlsx", "A 47782-2025")</f>
        <v/>
      </c>
      <c r="X25">
        <f>HYPERLINK("https://klasma.github.io/Logging_1862/kartor/A 47782-2025 karta.png", "A 47782-2025")</f>
        <v/>
      </c>
      <c r="Y25">
        <f>HYPERLINK("https://klasma.github.io/Logging_1862/kartor_geotiff/A 47782-2025 georefererad karta.tif", "A 47782-2025")</f>
        <v/>
      </c>
      <c r="AA25">
        <f>HYPERLINK("https://klasma.github.io/Logging_1862/klagomål/A 47782-2025 FSC-klagomål.docx", "A 47782-2025")</f>
        <v/>
      </c>
      <c r="AB25">
        <f>HYPERLINK("https://klasma.github.io/Logging_1862/klagomålsmail/A 47782-2025 FSC-klagomål mail.docx", "A 47782-2025")</f>
        <v/>
      </c>
      <c r="AC25">
        <f>HYPERLINK("https://klasma.github.io/Logging_1862/tillsyn/A 47782-2025 tillsynsbegäran.docx", "A 47782-2025")</f>
        <v/>
      </c>
      <c r="AD25">
        <f>HYPERLINK("https://klasma.github.io/Logging_1862/tillsynsmail/A 47782-2025 tillsynsbegäran mail.docx", "A 47782-2025")</f>
        <v/>
      </c>
      <c r="AE25">
        <f>HYPERLINK("https://klasma.github.io/Logging_1862/fåglar/A 47782-2025 prioriterade fågelarter.docx", "A 47782-2025")</f>
        <v/>
      </c>
    </row>
    <row r="26" ht="15" customHeight="1">
      <c r="A26" t="inlineStr">
        <is>
          <t>A 38914-2023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46311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5.4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Tjäder</t>
        </is>
      </c>
      <c r="W26">
        <f>HYPERLINK("https://klasma.github.io/Logging_1862/artfynd/A 38914-2023 artfynd.xlsx", "A 38914-2023")</f>
        <v/>
      </c>
      <c r="X26">
        <f>HYPERLINK("https://klasma.github.io/Logging_1862/kartor/A 38914-2023 karta.png", "A 38914-2023")</f>
        <v/>
      </c>
      <c r="Y26">
        <f>HYPERLINK("https://klasma.github.io/Logging_1862/kartor_geotiff/A 38914-2023 georefererad karta.tif", "A 38914-2023")</f>
        <v/>
      </c>
      <c r="AA26">
        <f>HYPERLINK("https://klasma.github.io/Logging_1862/klagomål/A 38914-2023 FSC-klagomål.docx", "A 38914-2023")</f>
        <v/>
      </c>
      <c r="AB26">
        <f>HYPERLINK("https://klasma.github.io/Logging_1862/klagomålsmail/A 38914-2023 FSC-klagomål mail.docx", "A 38914-2023")</f>
        <v/>
      </c>
      <c r="AC26">
        <f>HYPERLINK("https://klasma.github.io/Logging_1862/tillsyn/A 38914-2023 tillsynsbegäran.docx", "A 38914-2023")</f>
        <v/>
      </c>
      <c r="AD26">
        <f>HYPERLINK("https://klasma.github.io/Logging_1862/tillsynsmail/A 38914-2023 tillsynsbegäran mail.docx", "A 38914-2023")</f>
        <v/>
      </c>
      <c r="AE26">
        <f>HYPERLINK("https://klasma.github.io/Logging_1862/fåglar/A 38914-2023 prioriterade fågelarter.docx", "A 38914-2023")</f>
        <v/>
      </c>
    </row>
    <row r="27" ht="15" customHeight="1">
      <c r="A27" t="inlineStr">
        <is>
          <t>A 28976-2026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46311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2.3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Orange taggsvamp
Talltita</t>
        </is>
      </c>
      <c r="W27">
        <f>HYPERLINK("https://klasma.github.io/Logging_1862/artfynd/A 28976-2026 artfynd.xlsx", "A 28976-2026")</f>
        <v/>
      </c>
      <c r="X27">
        <f>HYPERLINK("https://klasma.github.io/Logging_1862/kartor/A 28976-2026 karta.png", "A 28976-2026")</f>
        <v/>
      </c>
      <c r="Y27">
        <f>HYPERLINK("https://klasma.github.io/Logging_1862/kartor_geotiff/A 28976-2026 georefererad karta.tif", "A 28976-2026")</f>
        <v/>
      </c>
      <c r="AA27">
        <f>HYPERLINK("https://klasma.github.io/Logging_1862/klagomål/A 28976-2026 FSC-klagomål.docx", "A 28976-2026")</f>
        <v/>
      </c>
      <c r="AB27">
        <f>HYPERLINK("https://klasma.github.io/Logging_1862/klagomålsmail/A 28976-2026 FSC-klagomål mail.docx", "A 28976-2026")</f>
        <v/>
      </c>
      <c r="AC27">
        <f>HYPERLINK("https://klasma.github.io/Logging_1862/tillsyn/A 28976-2026 tillsynsbegäran.docx", "A 28976-2026")</f>
        <v/>
      </c>
      <c r="AD27">
        <f>HYPERLINK("https://klasma.github.io/Logging_1862/tillsynsmail/A 28976-2026 tillsynsbegäran mail.docx", "A 28976-2026")</f>
        <v/>
      </c>
      <c r="AE27">
        <f>HYPERLINK("https://klasma.github.io/Logging_1862/fåglar/A 28976-2026 prioriterade fågelarter.docx", "A 28976-2026")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46311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46311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46311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46311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46311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58132-2021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44487</v>
      </c>
      <c r="E33" s="1" t="n">
        <v>46311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1.2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6</v>
      </c>
      <c r="U33" t="n">
        <v>0</v>
      </c>
      <c r="V33" s="2" t="inlineStr">
        <is>
          <t>Hårklomossa</t>
        </is>
      </c>
      <c r="W33">
        <f>HYPERLINK("https://klasma.github.io/Logging_1862/artfynd/A 58132-2021 artfynd.xlsx", "A 58132-2021")</f>
        <v/>
      </c>
      <c r="X33">
        <f>HYPERLINK("https://klasma.github.io/Logging_1862/kartor/A 58132-2021 karta.png", "A 58132-2021")</f>
        <v/>
      </c>
      <c r="Y33">
        <f>HYPERLINK("https://klasma.github.io/Logging_1862/kartor_geotiff/A 58132-2021 georefererad karta.tif", "A 58132-2021")</f>
        <v/>
      </c>
      <c r="AA33">
        <f>HYPERLINK("https://klasma.github.io/Logging_1862/klagomål/A 58132-2021 FSC-klagomål.docx", "A 58132-2021")</f>
        <v/>
      </c>
      <c r="AB33">
        <f>HYPERLINK("https://klasma.github.io/Logging_1862/klagomålsmail/A 58132-2021 FSC-klagomål mail.docx", "A 58132-2021")</f>
        <v/>
      </c>
      <c r="AC33">
        <f>HYPERLINK("https://klasma.github.io/Logging_1862/tillsyn/A 58132-2021 tillsynsbegäran.docx", "A 58132-2021")</f>
        <v/>
      </c>
      <c r="AD33">
        <f>HYPERLINK("https://klasma.github.io/Logging_1862/tillsynsmail/A 58132-2021 tillsynsbegäran mail.docx", "A 58132-2021")</f>
        <v/>
      </c>
    </row>
    <row r="34" ht="15" customHeight="1">
      <c r="A34" t="inlineStr">
        <is>
          <t>A 27093-2023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46311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HYPERLINK("https://klasma.github.io/Logging_1862/artfynd/A 27093-2023 artfynd.xlsx", "A 27093-2023")</f>
        <v/>
      </c>
      <c r="X34">
        <f>HYPERLINK("https://klasma.github.io/Logging_1862/kartor/A 27093-2023 karta.png", "A 27093-2023")</f>
        <v/>
      </c>
      <c r="Y34">
        <f>HYPERLINK("https://klasma.github.io/Logging_1862/kartor_geotiff/A 27093-2023 georefererad karta.tif", "A 27093-2023")</f>
        <v/>
      </c>
      <c r="AA34">
        <f>HYPERLINK("https://klasma.github.io/Logging_1862/klagomål/A 27093-2023 FSC-klagomål.docx", "A 27093-2023")</f>
        <v/>
      </c>
      <c r="AB34">
        <f>HYPERLINK("https://klasma.github.io/Logging_1862/klagomålsmail/A 27093-2023 FSC-klagomål mail.docx", "A 27093-2023")</f>
        <v/>
      </c>
      <c r="AC34">
        <f>HYPERLINK("https://klasma.github.io/Logging_1862/tillsyn/A 27093-2023 tillsynsbegäran.docx", "A 27093-2023")</f>
        <v/>
      </c>
      <c r="AD34">
        <f>HYPERLINK("https://klasma.github.io/Logging_1862/tillsynsmail/A 27093-2023 tillsynsbegäran mail.docx", "A 27093-2023")</f>
        <v/>
      </c>
      <c r="AE34">
        <f>HYPERLINK("https://klasma.github.io/Logging_1862/fåglar/A 27093-2023 prioriterade fågelarter.docx", "A 27093-2023")</f>
        <v/>
      </c>
    </row>
    <row r="35" ht="15" customHeight="1">
      <c r="A35" t="inlineStr">
        <is>
          <t>A 47941-2024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45589</v>
      </c>
      <c r="E35" s="1" t="n">
        <v>46311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HYPERLINK("https://klasma.github.io/Logging_1862/artfynd/A 47941-2024 artfynd.xlsx", "A 47941-2024")</f>
        <v/>
      </c>
      <c r="X35">
        <f>HYPERLINK("https://klasma.github.io/Logging_1862/kartor/A 47941-2024 karta.png", "A 47941-2024")</f>
        <v/>
      </c>
      <c r="Y35">
        <f>HYPERLINK("https://klasma.github.io/Logging_1862/kartor_geotiff/A 47941-2024 georefererad karta.tif", "A 47941-2024")</f>
        <v/>
      </c>
      <c r="AA35">
        <f>HYPERLINK("https://klasma.github.io/Logging_1862/klagomål/A 47941-2024 FSC-klagomål.docx", "A 47941-2024")</f>
        <v/>
      </c>
      <c r="AB35">
        <f>HYPERLINK("https://klasma.github.io/Logging_1862/klagomålsmail/A 47941-2024 FSC-klagomål mail.docx", "A 47941-2024")</f>
        <v/>
      </c>
      <c r="AC35">
        <f>HYPERLINK("https://klasma.github.io/Logging_1862/tillsyn/A 47941-2024 tillsynsbegäran.docx", "A 47941-2024")</f>
        <v/>
      </c>
      <c r="AD35">
        <f>HYPERLINK("https://klasma.github.io/Logging_1862/tillsynsmail/A 47941-2024 tillsynsbegäran mail.docx", "A 47941-2024")</f>
        <v/>
      </c>
    </row>
    <row r="36" ht="15" customHeight="1">
      <c r="A36" t="inlineStr">
        <is>
          <t>A 14177-2026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46311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HYPERLINK("https://klasma.github.io/Logging_1862/artfynd/A 14177-2026 artfynd.xlsx", "A 14177-2026")</f>
        <v/>
      </c>
      <c r="X36">
        <f>HYPERLINK("https://klasma.github.io/Logging_1862/kartor/A 14177-2026 karta.png", "A 14177-2026")</f>
        <v/>
      </c>
      <c r="Y36">
        <f>HYPERLINK("https://klasma.github.io/Logging_1862/kartor_geotiff/A 14177-2026 georefererad karta.tif", "A 14177-2026")</f>
        <v/>
      </c>
      <c r="AA36">
        <f>HYPERLINK("https://klasma.github.io/Logging_1862/klagomål/A 14177-2026 FSC-klagomål.docx", "A 14177-2026")</f>
        <v/>
      </c>
      <c r="AB36">
        <f>HYPERLINK("https://klasma.github.io/Logging_1862/klagomålsmail/A 14177-2026 FSC-klagomål mail.docx", "A 14177-2026")</f>
        <v/>
      </c>
      <c r="AC36">
        <f>HYPERLINK("https://klasma.github.io/Logging_1862/tillsyn/A 14177-2026 tillsynsbegäran.docx", "A 14177-2026")</f>
        <v/>
      </c>
      <c r="AD36">
        <f>HYPERLINK("https://klasma.github.io/Logging_1862/tillsynsmail/A 14177-2026 tillsynsbegäran mail.docx", "A 14177-2026")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46311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33297-2023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45116</v>
      </c>
      <c r="E38" s="1" t="n">
        <v>46311</v>
      </c>
      <c r="F38" t="inlineStr">
        <is>
          <t>ÖREBRO LÄN</t>
        </is>
      </c>
      <c r="G38" t="inlineStr">
        <is>
          <t>DEGERFORS</t>
        </is>
      </c>
      <c r="I38" t="n">
        <v>7.2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HYPERLINK("https://klasma.github.io/Logging_1862/artfynd/A 33297-2023 artfynd.xlsx", "A 33297-2023")</f>
        <v/>
      </c>
      <c r="X38">
        <f>HYPERLINK("https://klasma.github.io/Logging_1862/kartor/A 33297-2023 karta.png", "A 33297-2023")</f>
        <v/>
      </c>
      <c r="Y38">
        <f>HYPERLINK("https://klasma.github.io/Logging_1862/kartor_geotiff/A 33297-2023 georefererad karta.tif", "A 33297-2023")</f>
        <v/>
      </c>
      <c r="AA38">
        <f>HYPERLINK("https://klasma.github.io/Logging_1862/klagomål/A 33297-2023 FSC-klagomål.docx", "A 33297-2023")</f>
        <v/>
      </c>
      <c r="AB38">
        <f>HYPERLINK("https://klasma.github.io/Logging_1862/klagomålsmail/A 33297-2023 FSC-klagomål mail.docx", "A 33297-2023")</f>
        <v/>
      </c>
      <c r="AC38">
        <f>HYPERLINK("https://klasma.github.io/Logging_1862/tillsyn/A 33297-2023 tillsynsbegäran.docx", "A 33297-2023")</f>
        <v/>
      </c>
      <c r="AD38">
        <f>HYPERLINK("https://klasma.github.io/Logging_1862/tillsynsmail/A 33297-2023 tillsynsbegäran mail.docx", "A 33297-2023")</f>
        <v/>
      </c>
    </row>
    <row r="39" ht="15" customHeight="1">
      <c r="A39" t="inlineStr">
        <is>
          <t>A 38904-2023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46311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38904-2023 artfynd.xlsx", "A 38904-2023")</f>
        <v/>
      </c>
      <c r="X39">
        <f>HYPERLINK("https://klasma.github.io/Logging_1862/kartor/A 38904-2023 karta.png", "A 38904-2023")</f>
        <v/>
      </c>
      <c r="Y39">
        <f>HYPERLINK("https://klasma.github.io/Logging_1862/kartor_geotiff/A 38904-2023 georefererad karta.tif", "A 38904-2023")</f>
        <v/>
      </c>
      <c r="AA39">
        <f>HYPERLINK("https://klasma.github.io/Logging_1862/klagomål/A 38904-2023 FSC-klagomål.docx", "A 38904-2023")</f>
        <v/>
      </c>
      <c r="AB39">
        <f>HYPERLINK("https://klasma.github.io/Logging_1862/klagomålsmail/A 38904-2023 FSC-klagomål mail.docx", "A 38904-2023")</f>
        <v/>
      </c>
      <c r="AC39">
        <f>HYPERLINK("https://klasma.github.io/Logging_1862/tillsyn/A 38904-2023 tillsynsbegäran.docx", "A 38904-2023")</f>
        <v/>
      </c>
      <c r="AD39">
        <f>HYPERLINK("https://klasma.github.io/Logging_1862/tillsynsmail/A 38904-2023 tillsynsbegäran mail.docx", "A 38904-2023")</f>
        <v/>
      </c>
      <c r="AE39">
        <f>HYPERLINK("https://klasma.github.io/Logging_1862/fåglar/A 38904-2023 prioriterade fågelarter.docx", "A 38904-2023")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46311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14121-2022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44651</v>
      </c>
      <c r="E41" s="1" t="n">
        <v>46311</v>
      </c>
      <c r="F41" t="inlineStr">
        <is>
          <t>ÖREBRO LÄN</t>
        </is>
      </c>
      <c r="G41" t="inlineStr">
        <is>
          <t>DEGERFORS</t>
        </is>
      </c>
      <c r="I41" t="n">
        <v>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Hårklomossa</t>
        </is>
      </c>
      <c r="W41">
        <f>HYPERLINK("https://klasma.github.io/Logging_1862/artfynd/A 14121-2022 artfynd.xlsx", "A 14121-2022")</f>
        <v/>
      </c>
      <c r="X41">
        <f>HYPERLINK("https://klasma.github.io/Logging_1862/kartor/A 14121-2022 karta.png", "A 14121-2022")</f>
        <v/>
      </c>
      <c r="Y41">
        <f>HYPERLINK("https://klasma.github.io/Logging_1862/kartor_geotiff/A 14121-2022 georefererad karta.tif", "A 14121-2022")</f>
        <v/>
      </c>
      <c r="AA41">
        <f>HYPERLINK("https://klasma.github.io/Logging_1862/klagomål/A 14121-2022 FSC-klagomål.docx", "A 14121-2022")</f>
        <v/>
      </c>
      <c r="AB41">
        <f>HYPERLINK("https://klasma.github.io/Logging_1862/klagomålsmail/A 14121-2022 FSC-klagomål mail.docx", "A 14121-2022")</f>
        <v/>
      </c>
      <c r="AC41">
        <f>HYPERLINK("https://klasma.github.io/Logging_1862/tillsyn/A 14121-2022 tillsynsbegäran.docx", "A 14121-2022")</f>
        <v/>
      </c>
      <c r="AD41">
        <f>HYPERLINK("https://klasma.github.io/Logging_1862/tillsynsmail/A 14121-2022 tillsynsbegäran mail.docx", "A 14121-2022")</f>
        <v/>
      </c>
    </row>
    <row r="42" ht="15" customHeight="1">
      <c r="A42" t="inlineStr">
        <is>
          <t>A 27071-2026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46186</v>
      </c>
      <c r="E42" s="1" t="n">
        <v>46311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Vedticka</t>
        </is>
      </c>
      <c r="W42">
        <f>HYPERLINK("https://klasma.github.io/Logging_1862/artfynd/A 27071-2026 artfynd.xlsx", "A 27071-2026")</f>
        <v/>
      </c>
      <c r="X42">
        <f>HYPERLINK("https://klasma.github.io/Logging_1862/kartor/A 27071-2026 karta.png", "A 27071-2026")</f>
        <v/>
      </c>
      <c r="Y42">
        <f>HYPERLINK("https://klasma.github.io/Logging_1862/kartor_geotiff/A 27071-2026 georefererad karta.tif", "A 27071-2026")</f>
        <v/>
      </c>
      <c r="AA42">
        <f>HYPERLINK("https://klasma.github.io/Logging_1862/klagomål/A 27071-2026 FSC-klagomål.docx", "A 27071-2026")</f>
        <v/>
      </c>
      <c r="AB42">
        <f>HYPERLINK("https://klasma.github.io/Logging_1862/klagomålsmail/A 27071-2026 FSC-klagomål mail.docx", "A 27071-2026")</f>
        <v/>
      </c>
      <c r="AC42">
        <f>HYPERLINK("https://klasma.github.io/Logging_1862/tillsyn/A 27071-2026 tillsynsbegäran.docx", "A 27071-2026")</f>
        <v/>
      </c>
      <c r="AD42">
        <f>HYPERLINK("https://klasma.github.io/Logging_1862/tillsynsmail/A 27071-2026 tillsynsbegäran mail.docx", "A 27071-2026")</f>
        <v/>
      </c>
    </row>
    <row r="43" ht="15" customHeight="1">
      <c r="A43" t="inlineStr">
        <is>
          <t>A 49306-2025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45938</v>
      </c>
      <c r="E43" s="1" t="n">
        <v>46311</v>
      </c>
      <c r="F43" t="inlineStr">
        <is>
          <t>ÖREBRO LÄN</t>
        </is>
      </c>
      <c r="G43" t="inlineStr">
        <is>
          <t>DEGERFORS</t>
        </is>
      </c>
      <c r="I43" t="n">
        <v>5.8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Svart trolldruva</t>
        </is>
      </c>
      <c r="W43">
        <f>HYPERLINK("https://klasma.github.io/Logging_1862/artfynd/A 49306-2025 artfynd.xlsx", "A 49306-2025")</f>
        <v/>
      </c>
      <c r="X43">
        <f>HYPERLINK("https://klasma.github.io/Logging_1862/kartor/A 49306-2025 karta.png", "A 49306-2025")</f>
        <v/>
      </c>
      <c r="Y43">
        <f>HYPERLINK("https://klasma.github.io/Logging_1862/kartor_geotiff/A 49306-2025 georefererad karta.tif", "A 49306-2025")</f>
        <v/>
      </c>
      <c r="AA43">
        <f>HYPERLINK("https://klasma.github.io/Logging_1862/klagomål/A 49306-2025 FSC-klagomål.docx", "A 49306-2025")</f>
        <v/>
      </c>
      <c r="AB43">
        <f>HYPERLINK("https://klasma.github.io/Logging_1862/klagomålsmail/A 49306-2025 FSC-klagomål mail.docx", "A 49306-2025")</f>
        <v/>
      </c>
      <c r="AC43">
        <f>HYPERLINK("https://klasma.github.io/Logging_1862/tillsyn/A 49306-2025 tillsynsbegäran.docx", "A 49306-2025")</f>
        <v/>
      </c>
      <c r="AD43">
        <f>HYPERLINK("https://klasma.github.io/Logging_1862/tillsynsmail/A 49306-2025 tillsynsbegäran mail.docx", "A 49306-2025")</f>
        <v/>
      </c>
    </row>
    <row r="44" ht="15" customHeight="1">
      <c r="A44" t="inlineStr">
        <is>
          <t>A 27072-2026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46311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7.6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HYPERLINK("https://klasma.github.io/Logging_1862/artfynd/A 27072-2026 artfynd.xlsx", "A 27072-2026")</f>
        <v/>
      </c>
      <c r="X44">
        <f>HYPERLINK("https://klasma.github.io/Logging_1862/kartor/A 27072-2026 karta.png", "A 27072-2026")</f>
        <v/>
      </c>
      <c r="Y44">
        <f>HYPERLINK("https://klasma.github.io/Logging_1862/kartor_geotiff/A 27072-2026 georefererad karta.tif", "A 27072-2026")</f>
        <v/>
      </c>
      <c r="AA44">
        <f>HYPERLINK("https://klasma.github.io/Logging_1862/klagomål/A 27072-2026 FSC-klagomål.docx", "A 27072-2026")</f>
        <v/>
      </c>
      <c r="AB44">
        <f>HYPERLINK("https://klasma.github.io/Logging_1862/klagomålsmail/A 27072-2026 FSC-klagomål mail.docx", "A 27072-2026")</f>
        <v/>
      </c>
      <c r="AC44">
        <f>HYPERLINK("https://klasma.github.io/Logging_1862/tillsyn/A 27072-2026 tillsynsbegäran.docx", "A 27072-2026")</f>
        <v/>
      </c>
      <c r="AD44">
        <f>HYPERLINK("https://klasma.github.io/Logging_1862/tillsynsmail/A 27072-2026 tillsynsbegäran mail.docx", "A 27072-2026")</f>
        <v/>
      </c>
      <c r="AE44">
        <f>HYPERLINK("https://klasma.github.io/Logging_1862/fåglar/A 27072-2026 prioriterade fågelarter.docx", "A 27072-2026")</f>
        <v/>
      </c>
    </row>
    <row r="45" ht="15" customHeight="1">
      <c r="A45" t="inlineStr">
        <is>
          <t>A 26971-2026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46311</v>
      </c>
      <c r="F45" t="inlineStr">
        <is>
          <t>ÖREBRO LÄN</t>
        </is>
      </c>
      <c r="G45" t="inlineStr">
        <is>
          <t>DEGERFORS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HYPERLINK("https://klasma.github.io/Logging_1862/artfynd/A 26971-2026 artfynd.xlsx", "A 26971-2026")</f>
        <v/>
      </c>
      <c r="X45">
        <f>HYPERLINK("https://klasma.github.io/Logging_1862/kartor/A 26971-2026 karta.png", "A 26971-2026")</f>
        <v/>
      </c>
      <c r="Y45">
        <f>HYPERLINK("https://klasma.github.io/Logging_1862/kartor_geotiff/A 26971-2026 georefererad karta.tif", "A 26971-2026")</f>
        <v/>
      </c>
      <c r="AA45">
        <f>HYPERLINK("https://klasma.github.io/Logging_1862/klagomål/A 26971-2026 FSC-klagomål.docx", "A 26971-2026")</f>
        <v/>
      </c>
      <c r="AB45">
        <f>HYPERLINK("https://klasma.github.io/Logging_1862/klagomålsmail/A 26971-2026 FSC-klagomål mail.docx", "A 26971-2026")</f>
        <v/>
      </c>
      <c r="AC45">
        <f>HYPERLINK("https://klasma.github.io/Logging_1862/tillsyn/A 26971-2026 tillsynsbegäran.docx", "A 26971-2026")</f>
        <v/>
      </c>
      <c r="AD45">
        <f>HYPERLINK("https://klasma.github.io/Logging_1862/tillsynsmail/A 26971-2026 tillsynsbegäran mail.docx", "A 26971-2026")</f>
        <v/>
      </c>
    </row>
    <row r="46" ht="15" customHeight="1">
      <c r="A46" t="inlineStr">
        <is>
          <t>A 47787-2025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45931</v>
      </c>
      <c r="E46" s="1" t="n">
        <v>46311</v>
      </c>
      <c r="F46" t="inlineStr">
        <is>
          <t>ÖREBRO LÄN</t>
        </is>
      </c>
      <c r="G46" t="inlineStr">
        <is>
          <t>DEGERFORS</t>
        </is>
      </c>
      <c r="I46" t="n">
        <v>4.1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Tretåig hackspett</t>
        </is>
      </c>
      <c r="W46">
        <f>HYPERLINK("https://klasma.github.io/Logging_1862/artfynd/A 47787-2025 artfynd.xlsx", "A 47787-2025")</f>
        <v/>
      </c>
      <c r="X46">
        <f>HYPERLINK("https://klasma.github.io/Logging_1862/kartor/A 47787-2025 karta.png", "A 47787-2025")</f>
        <v/>
      </c>
      <c r="Y46">
        <f>HYPERLINK("https://klasma.github.io/Logging_1862/kartor_geotiff/A 47787-2025 georefererad karta.tif", "A 47787-2025")</f>
        <v/>
      </c>
      <c r="AA46">
        <f>HYPERLINK("https://klasma.github.io/Logging_1862/klagomål/A 47787-2025 FSC-klagomål.docx", "A 47787-2025")</f>
        <v/>
      </c>
      <c r="AB46">
        <f>HYPERLINK("https://klasma.github.io/Logging_1862/klagomålsmail/A 47787-2025 FSC-klagomål mail.docx", "A 47787-2025")</f>
        <v/>
      </c>
      <c r="AC46">
        <f>HYPERLINK("https://klasma.github.io/Logging_1862/tillsyn/A 47787-2025 tillsynsbegäran.docx", "A 47787-2025")</f>
        <v/>
      </c>
      <c r="AD46">
        <f>HYPERLINK("https://klasma.github.io/Logging_1862/tillsynsmail/A 47787-2025 tillsynsbegäran mail.docx", "A 47787-2025")</f>
        <v/>
      </c>
      <c r="AE46">
        <f>HYPERLINK("https://klasma.github.io/Logging_1862/fåglar/A 47787-2025 prioriterade fågelarter.docx", "A 47787-2025")</f>
        <v/>
      </c>
    </row>
    <row r="47" ht="15" customHeight="1">
      <c r="A47" t="inlineStr">
        <is>
          <t>A 2357-2022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46311</v>
      </c>
      <c r="F47" t="inlineStr">
        <is>
          <t>ÖREBRO LÄN</t>
        </is>
      </c>
      <c r="G47" t="inlineStr">
        <is>
          <t>DEGERFORS</t>
        </is>
      </c>
      <c r="I47" t="n">
        <v>4.5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HYPERLINK("https://klasma.github.io/Logging_1862/artfynd/A 2357-2022 artfynd.xlsx", "A 2357-2022")</f>
        <v/>
      </c>
      <c r="X47">
        <f>HYPERLINK("https://klasma.github.io/Logging_1862/kartor/A 2357-2022 karta.png", "A 2357-2022")</f>
        <v/>
      </c>
      <c r="Y47">
        <f>HYPERLINK("https://klasma.github.io/Logging_1862/kartor_geotiff/A 2357-2022 georefererad karta.tif", "A 2357-2022")</f>
        <v/>
      </c>
      <c r="AA47">
        <f>HYPERLINK("https://klasma.github.io/Logging_1862/klagomål/A 2357-2022 FSC-klagomål.docx", "A 2357-2022")</f>
        <v/>
      </c>
      <c r="AB47">
        <f>HYPERLINK("https://klasma.github.io/Logging_1862/klagomålsmail/A 2357-2022 FSC-klagomål mail.docx", "A 2357-2022")</f>
        <v/>
      </c>
      <c r="AC47">
        <f>HYPERLINK("https://klasma.github.io/Logging_1862/tillsyn/A 2357-2022 tillsynsbegäran.docx", "A 2357-2022")</f>
        <v/>
      </c>
      <c r="AD47">
        <f>HYPERLINK("https://klasma.github.io/Logging_1862/tillsynsmail/A 2357-2022 tillsynsbegäran mail.docx", "A 2357-2022")</f>
        <v/>
      </c>
      <c r="AE47">
        <f>HYPERLINK("https://klasma.github.io/Logging_1862/fåglar/A 2357-2022 prioriterade fågelarter.docx", "A 2357-2022")</f>
        <v/>
      </c>
    </row>
    <row r="48" ht="15" customHeight="1">
      <c r="A48" t="inlineStr">
        <is>
          <t>A 38907-2023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45163</v>
      </c>
      <c r="E48" s="1" t="n">
        <v>46311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2.9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HYPERLINK("https://klasma.github.io/Logging_1862/artfynd/A 38907-2023 artfynd.xlsx", "A 38907-2023")</f>
        <v/>
      </c>
      <c r="X48">
        <f>HYPERLINK("https://klasma.github.io/Logging_1862/kartor/A 38907-2023 karta.png", "A 38907-2023")</f>
        <v/>
      </c>
      <c r="Y48">
        <f>HYPERLINK("https://klasma.github.io/Logging_1862/kartor_geotiff/A 38907-2023 georefererad karta.tif", "A 38907-2023")</f>
        <v/>
      </c>
      <c r="AA48">
        <f>HYPERLINK("https://klasma.github.io/Logging_1862/klagomål/A 38907-2023 FSC-klagomål.docx", "A 38907-2023")</f>
        <v/>
      </c>
      <c r="AB48">
        <f>HYPERLINK("https://klasma.github.io/Logging_1862/klagomålsmail/A 38907-2023 FSC-klagomål mail.docx", "A 38907-2023")</f>
        <v/>
      </c>
      <c r="AC48">
        <f>HYPERLINK("https://klasma.github.io/Logging_1862/tillsyn/A 38907-2023 tillsynsbegäran.docx", "A 38907-2023")</f>
        <v/>
      </c>
      <c r="AD48">
        <f>HYPERLINK("https://klasma.github.io/Logging_1862/tillsynsmail/A 38907-2023 tillsynsbegäran mail.docx", "A 38907-2023")</f>
        <v/>
      </c>
      <c r="AE48">
        <f>HYPERLINK("https://klasma.github.io/Logging_1862/fåglar/A 38907-2023 prioriterade fågelarter.docx", "A 38907-2023")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46311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53838-2024 artfynd.xlsx", "A 53838-2024")</f>
        <v/>
      </c>
      <c r="X49">
        <f>HYPERLINK("https://klasma.github.io/Logging_1862/kartor/A 53838-2024 karta.png", "A 53838-2024")</f>
        <v/>
      </c>
      <c r="Y49">
        <f>HYPERLINK("https://klasma.github.io/Logging_1862/kartor_geotiff/A 53838-2024 georefererad karta.tif", "A 53838-2024")</f>
        <v/>
      </c>
      <c r="AA49">
        <f>HYPERLINK("https://klasma.github.io/Logging_1862/klagomål/A 53838-2024 FSC-klagomål.docx", "A 53838-2024")</f>
        <v/>
      </c>
      <c r="AB49">
        <f>HYPERLINK("https://klasma.github.io/Logging_1862/klagomålsmail/A 53838-2024 FSC-klagomål mail.docx", "A 53838-2024")</f>
        <v/>
      </c>
      <c r="AC49">
        <f>HYPERLINK("https://klasma.github.io/Logging_1862/tillsyn/A 53838-2024 tillsynsbegäran.docx", "A 53838-2024")</f>
        <v/>
      </c>
      <c r="AD49">
        <f>HYPERLINK("https://klasma.github.io/Logging_1862/tillsynsmail/A 53838-2024 tillsynsbegäran mail.docx", "A 53838-2024")</f>
        <v/>
      </c>
      <c r="AE49">
        <f>HYPERLINK("https://klasma.github.io/Logging_1862/fåglar/A 53838-2024 prioriterade fågelarter.docx", "A 53838-2024")</f>
        <v/>
      </c>
    </row>
    <row r="50" ht="15" customHeight="1">
      <c r="A50" t="inlineStr">
        <is>
          <t>A 42337-2026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46307</v>
      </c>
      <c r="E50" s="1" t="n">
        <v>46311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4.7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HYPERLINK("https://klasma.github.io/Logging_1862/artfynd/A 42337-2026 artfynd.xlsx", "A 42337-2026")</f>
        <v/>
      </c>
      <c r="X50">
        <f>HYPERLINK("https://klasma.github.io/Logging_1862/kartor/A 42337-2026 karta.png", "A 42337-2026")</f>
        <v/>
      </c>
      <c r="Y50">
        <f>HYPERLINK("https://klasma.github.io/Logging_1862/kartor_geotiff/A 42337-2026 georefererad karta.tif", "A 42337-2026")</f>
        <v/>
      </c>
      <c r="AA50">
        <f>HYPERLINK("https://klasma.github.io/Logging_1862/klagomål/A 42337-2026 FSC-klagomål.docx", "A 42337-2026")</f>
        <v/>
      </c>
      <c r="AB50">
        <f>HYPERLINK("https://klasma.github.io/Logging_1862/klagomålsmail/A 42337-2026 FSC-klagomål mail.docx", "A 42337-2026")</f>
        <v/>
      </c>
      <c r="AC50">
        <f>HYPERLINK("https://klasma.github.io/Logging_1862/tillsyn/A 42337-2026 tillsynsbegäran.docx", "A 42337-2026")</f>
        <v/>
      </c>
      <c r="AD50">
        <f>HYPERLINK("https://klasma.github.io/Logging_1862/tillsynsmail/A 42337-2026 tillsynsbegäran mail.docx", "A 42337-2026")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46311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46311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46311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46311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46311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46311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46311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46311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46311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46311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24707-2025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45798</v>
      </c>
      <c r="E61" s="1" t="n">
        <v>46311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46311</v>
      </c>
      <c r="F62" t="inlineStr">
        <is>
          <t>ÖREBRO LÄN</t>
        </is>
      </c>
      <c r="G62" t="inlineStr">
        <is>
          <t>DEGERFORS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46311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46311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20577-2023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45057</v>
      </c>
      <c r="E65" s="1" t="n">
        <v>46311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10797-2023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44989</v>
      </c>
      <c r="E66" s="1" t="n">
        <v>46311</v>
      </c>
      <c r="F66" t="inlineStr">
        <is>
          <t>ÖREBRO LÄN</t>
        </is>
      </c>
      <c r="G66" t="inlineStr">
        <is>
          <t>DEGERFORS</t>
        </is>
      </c>
      <c r="I66" t="n">
        <v>9.5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44457-2022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44839</v>
      </c>
      <c r="E67" s="1" t="n">
        <v>46311</v>
      </c>
      <c r="F67" t="inlineStr">
        <is>
          <t>ÖREBRO LÄN</t>
        </is>
      </c>
      <c r="G67" t="inlineStr">
        <is>
          <t>DEGERFORS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46311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46311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45810</v>
      </c>
      <c r="E70" s="1" t="n">
        <v>46311</v>
      </c>
      <c r="F70" t="inlineStr">
        <is>
          <t>ÖREBRO LÄN</t>
        </is>
      </c>
      <c r="G70" t="inlineStr">
        <is>
          <t>DEGERFORS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26820-2025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45810</v>
      </c>
      <c r="E71" s="1" t="n">
        <v>46311</v>
      </c>
      <c r="F71" t="inlineStr">
        <is>
          <t>ÖREBRO LÄN</t>
        </is>
      </c>
      <c r="G71" t="inlineStr">
        <is>
          <t>DEGERFORS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29482-2023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45106</v>
      </c>
      <c r="E72" s="1" t="n">
        <v>46311</v>
      </c>
      <c r="F72" t="inlineStr">
        <is>
          <t>ÖREBRO LÄN</t>
        </is>
      </c>
      <c r="G72" t="inlineStr">
        <is>
          <t>DEGERFORS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45861-2023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45195</v>
      </c>
      <c r="E73" s="1" t="n">
        <v>46311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6394-2024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45338</v>
      </c>
      <c r="E74" s="1" t="n">
        <v>46311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46311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28368-2025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45819</v>
      </c>
      <c r="E76" s="1" t="n">
        <v>46311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46311</v>
      </c>
      <c r="F77" t="inlineStr">
        <is>
          <t>ÖREBRO LÄN</t>
        </is>
      </c>
      <c r="G77" t="inlineStr">
        <is>
          <t>DEGERFORS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46311</v>
      </c>
      <c r="F78" t="inlineStr">
        <is>
          <t>ÖREBRO LÄN</t>
        </is>
      </c>
      <c r="G78" t="inlineStr">
        <is>
          <t>DEGERFORS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46311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45735</v>
      </c>
      <c r="E80" s="1" t="n">
        <v>46311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18.5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46311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46311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13405-2024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46311</v>
      </c>
      <c r="F83" t="inlineStr">
        <is>
          <t>ÖREBRO LÄN</t>
        </is>
      </c>
      <c r="G83" t="inlineStr">
        <is>
          <t>DEGERFORS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46311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33404-2025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46311</v>
      </c>
      <c r="F85" t="inlineStr">
        <is>
          <t>ÖREBRO LÄN</t>
        </is>
      </c>
      <c r="G85" t="inlineStr">
        <is>
          <t>DEGERFORS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11084-2023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44986</v>
      </c>
      <c r="E86" s="1" t="n">
        <v>46311</v>
      </c>
      <c r="F86" t="inlineStr">
        <is>
          <t>ÖREBRO LÄN</t>
        </is>
      </c>
      <c r="G86" t="inlineStr">
        <is>
          <t>DEGERFORS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56478-2024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45624</v>
      </c>
      <c r="E87" s="1" t="n">
        <v>46311</v>
      </c>
      <c r="F87" t="inlineStr">
        <is>
          <t>ÖREBRO LÄN</t>
        </is>
      </c>
      <c r="G87" t="inlineStr">
        <is>
          <t>DEGERFORS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45639</v>
      </c>
      <c r="E88" s="1" t="n">
        <v>46311</v>
      </c>
      <c r="F88" t="inlineStr">
        <is>
          <t>ÖREBRO LÄN</t>
        </is>
      </c>
      <c r="G88" t="inlineStr">
        <is>
          <t>DEGERFORS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60933-2024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46311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44582</v>
      </c>
      <c r="E90" s="1" t="n">
        <v>46311</v>
      </c>
      <c r="F90" t="inlineStr">
        <is>
          <t>ÖREBRO LÄN</t>
        </is>
      </c>
      <c r="G90" t="inlineStr">
        <is>
          <t>DEGERFORS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45601</v>
      </c>
      <c r="E91" s="1" t="n">
        <v>46311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61750-2021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46311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46311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45337</v>
      </c>
      <c r="E94" s="1" t="n">
        <v>46311</v>
      </c>
      <c r="F94" t="inlineStr">
        <is>
          <t>ÖREBRO LÄN</t>
        </is>
      </c>
      <c r="G94" t="inlineStr">
        <is>
          <t>DEGERFORS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10321-2023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44986</v>
      </c>
      <c r="E95" s="1" t="n">
        <v>46311</v>
      </c>
      <c r="F95" t="inlineStr">
        <is>
          <t>ÖREBRO LÄN</t>
        </is>
      </c>
      <c r="G95" t="inlineStr">
        <is>
          <t>DEGERFORS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37333-2025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45876</v>
      </c>
      <c r="E96" s="1" t="n">
        <v>46311</v>
      </c>
      <c r="F96" t="inlineStr">
        <is>
          <t>ÖREBRO LÄN</t>
        </is>
      </c>
      <c r="G96" t="inlineStr">
        <is>
          <t>DEGERFORS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37265-2025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45876</v>
      </c>
      <c r="E97" s="1" t="n">
        <v>46311</v>
      </c>
      <c r="F97" t="inlineStr">
        <is>
          <t>ÖREBRO LÄN</t>
        </is>
      </c>
      <c r="G97" t="inlineStr">
        <is>
          <t>DEGERFORS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57234-2024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45629</v>
      </c>
      <c r="E98" s="1" t="n">
        <v>46311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45747</v>
      </c>
      <c r="E99" s="1" t="n">
        <v>46311</v>
      </c>
      <c r="F99" t="inlineStr">
        <is>
          <t>ÖREBRO LÄN</t>
        </is>
      </c>
      <c r="G99" t="inlineStr">
        <is>
          <t>DEGERFORS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6387-2024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45338</v>
      </c>
      <c r="E100" s="1" t="n">
        <v>46311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45520</v>
      </c>
      <c r="E101" s="1" t="n">
        <v>46311</v>
      </c>
      <c r="F101" t="inlineStr">
        <is>
          <t>ÖREBRO LÄN</t>
        </is>
      </c>
      <c r="G101" t="inlineStr">
        <is>
          <t>DEGERFORS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38233-2023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45160</v>
      </c>
      <c r="E102" s="1" t="n">
        <v>46311</v>
      </c>
      <c r="F102" t="inlineStr">
        <is>
          <t>ÖREBRO LÄN</t>
        </is>
      </c>
      <c r="G102" t="inlineStr">
        <is>
          <t>DEGERFORS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59158-2022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44904</v>
      </c>
      <c r="E103" s="1" t="n">
        <v>46311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46094</v>
      </c>
      <c r="E104" s="1" t="n">
        <v>46311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45602</v>
      </c>
      <c r="E105" s="1" t="n">
        <v>46311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45330</v>
      </c>
      <c r="E106" s="1" t="n">
        <v>46311</v>
      </c>
      <c r="F106" t="inlineStr">
        <is>
          <t>ÖREBRO LÄN</t>
        </is>
      </c>
      <c r="G106" t="inlineStr">
        <is>
          <t>DEGERFORS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46311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41767-2025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45902</v>
      </c>
      <c r="E108" s="1" t="n">
        <v>46311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43768-2024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45569</v>
      </c>
      <c r="E109" s="1" t="n">
        <v>46311</v>
      </c>
      <c r="F109" t="inlineStr">
        <is>
          <t>ÖREBRO LÄN</t>
        </is>
      </c>
      <c r="G109" t="inlineStr">
        <is>
          <t>DEGERFORS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46311</v>
      </c>
      <c r="F110" t="inlineStr">
        <is>
          <t>ÖREBRO LÄN</t>
        </is>
      </c>
      <c r="G110" t="inlineStr">
        <is>
          <t>DEGERFORS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50208-2024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46311</v>
      </c>
      <c r="F111" t="inlineStr">
        <is>
          <t>ÖREBRO LÄN</t>
        </is>
      </c>
      <c r="G111" t="inlineStr">
        <is>
          <t>DEGERFORS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18506-2026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46127</v>
      </c>
      <c r="E112" s="1" t="n">
        <v>46311</v>
      </c>
      <c r="F112" t="inlineStr">
        <is>
          <t>ÖREBRO LÄN</t>
        </is>
      </c>
      <c r="G112" t="inlineStr">
        <is>
          <t>DEGERFORS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46132</v>
      </c>
      <c r="E113" s="1" t="n">
        <v>46311</v>
      </c>
      <c r="F113" t="inlineStr">
        <is>
          <t>ÖREBRO LÄN</t>
        </is>
      </c>
      <c r="G113" t="inlineStr">
        <is>
          <t>DEGERFORS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18913-2026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46129</v>
      </c>
      <c r="E114" s="1" t="n">
        <v>46311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45589</v>
      </c>
      <c r="E115" s="1" t="n">
        <v>46311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21952-2024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45443</v>
      </c>
      <c r="E116" s="1" t="n">
        <v>46311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45219</v>
      </c>
      <c r="E117" s="1" t="n">
        <v>46311</v>
      </c>
      <c r="F117" t="inlineStr">
        <is>
          <t>ÖREBRO LÄN</t>
        </is>
      </c>
      <c r="G117" t="inlineStr">
        <is>
          <t>DEGERFORS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46311</v>
      </c>
      <c r="F118" t="inlineStr">
        <is>
          <t>ÖREBRO LÄN</t>
        </is>
      </c>
      <c r="G118" t="inlineStr">
        <is>
          <t>DEGERFORS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12143-2025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45729</v>
      </c>
      <c r="E119" s="1" t="n">
        <v>46311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52523-2024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45609</v>
      </c>
      <c r="E120" s="1" t="n">
        <v>46311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50377-2024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45601</v>
      </c>
      <c r="E121" s="1" t="n">
        <v>46311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46311</v>
      </c>
      <c r="F122" t="inlineStr">
        <is>
          <t>ÖREBRO LÄN</t>
        </is>
      </c>
      <c r="G122" t="inlineStr">
        <is>
          <t>DEGERFORS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44609</v>
      </c>
      <c r="E123" s="1" t="n">
        <v>46311</v>
      </c>
      <c r="F123" t="inlineStr">
        <is>
          <t>ÖREBRO LÄN</t>
        </is>
      </c>
      <c r="G123" t="inlineStr">
        <is>
          <t>DEGERFORS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46311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46311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45616</v>
      </c>
      <c r="E126" s="1" t="n">
        <v>46311</v>
      </c>
      <c r="F126" t="inlineStr">
        <is>
          <t>ÖREBRO LÄN</t>
        </is>
      </c>
      <c r="G126" t="inlineStr">
        <is>
          <t>DEGERFORS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45190</v>
      </c>
      <c r="E127" s="1" t="n">
        <v>46311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11085-2023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44986</v>
      </c>
      <c r="E128" s="1" t="n">
        <v>46311</v>
      </c>
      <c r="F128" t="inlineStr">
        <is>
          <t>ÖREBRO LÄN</t>
        </is>
      </c>
      <c r="G128" t="inlineStr">
        <is>
          <t>DEGERFORS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46140</v>
      </c>
      <c r="E129" s="1" t="n">
        <v>46311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51652-2023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46311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50764-2024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45602</v>
      </c>
      <c r="E131" s="1" t="n">
        <v>46311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46311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20568-2026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46311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33293-2023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45116</v>
      </c>
      <c r="E134" s="1" t="n">
        <v>46311</v>
      </c>
      <c r="F134" t="inlineStr">
        <is>
          <t>ÖREBRO LÄN</t>
        </is>
      </c>
      <c r="G134" t="inlineStr">
        <is>
          <t>DEGERFORS</t>
        </is>
      </c>
      <c r="I134" t="n">
        <v>17.2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43691-2025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46311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46311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45163</v>
      </c>
      <c r="E137" s="1" t="n">
        <v>46311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46311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45119</v>
      </c>
      <c r="E139" s="1" t="n">
        <v>46311</v>
      </c>
      <c r="F139" t="inlineStr">
        <is>
          <t>ÖREBRO LÄN</t>
        </is>
      </c>
      <c r="G139" t="inlineStr">
        <is>
          <t>DEGERFORS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46148</v>
      </c>
      <c r="E140" s="1" t="n">
        <v>46311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46311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46148</v>
      </c>
      <c r="E142" s="1" t="n">
        <v>46311</v>
      </c>
      <c r="F142" t="inlineStr">
        <is>
          <t>ÖREBRO LÄN</t>
        </is>
      </c>
      <c r="G142" t="inlineStr">
        <is>
          <t>DEGERFORS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63905-2021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44509</v>
      </c>
      <c r="E143" s="1" t="n">
        <v>46311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44841-2023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45190</v>
      </c>
      <c r="E144" s="1" t="n">
        <v>46311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46311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46219-2024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45581</v>
      </c>
      <c r="E146" s="1" t="n">
        <v>46311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8062-2024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45351</v>
      </c>
      <c r="E147" s="1" t="n">
        <v>46311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45351</v>
      </c>
      <c r="E148" s="1" t="n">
        <v>46311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60907-2023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45261</v>
      </c>
      <c r="E149" s="1" t="n">
        <v>46311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14678-2025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45742</v>
      </c>
      <c r="E150" s="1" t="n">
        <v>46311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23230-2026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46162</v>
      </c>
      <c r="E151" s="1" t="n">
        <v>46311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23229-2026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46162</v>
      </c>
      <c r="E152" s="1" t="n">
        <v>46311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32211-2022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46311</v>
      </c>
      <c r="F153" t="inlineStr">
        <is>
          <t>ÖREBRO LÄN</t>
        </is>
      </c>
      <c r="G153" t="inlineStr">
        <is>
          <t>DEGERFORS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46167</v>
      </c>
      <c r="E154" s="1" t="n">
        <v>46311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24462-2026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46170</v>
      </c>
      <c r="E155" s="1" t="n">
        <v>46311</v>
      </c>
      <c r="F155" t="inlineStr">
        <is>
          <t>ÖREBRO LÄN</t>
        </is>
      </c>
      <c r="G155" t="inlineStr">
        <is>
          <t>DEGERFORS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24689-2026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46171</v>
      </c>
      <c r="E156" s="1" t="n">
        <v>46311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46311</v>
      </c>
      <c r="F157" t="inlineStr">
        <is>
          <t>ÖREBRO LÄN</t>
        </is>
      </c>
      <c r="G157" t="inlineStr">
        <is>
          <t>DEGERFORS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73693-2021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44552</v>
      </c>
      <c r="E158" s="1" t="n">
        <v>46311</v>
      </c>
      <c r="F158" t="inlineStr">
        <is>
          <t>ÖREBRO LÄN</t>
        </is>
      </c>
      <c r="G158" t="inlineStr">
        <is>
          <t>DEGERFORS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45535</v>
      </c>
      <c r="E159" s="1" t="n">
        <v>46311</v>
      </c>
      <c r="F159" t="inlineStr">
        <is>
          <t>ÖREBRO LÄN</t>
        </is>
      </c>
      <c r="G159" t="inlineStr">
        <is>
          <t>DEGERFORS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46311</v>
      </c>
      <c r="F160" t="inlineStr">
        <is>
          <t>ÖREBRO LÄN</t>
        </is>
      </c>
      <c r="G160" t="inlineStr">
        <is>
          <t>DEGERFORS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45192</v>
      </c>
      <c r="E161" s="1" t="n">
        <v>46311</v>
      </c>
      <c r="F161" t="inlineStr">
        <is>
          <t>ÖREBRO LÄN</t>
        </is>
      </c>
      <c r="G161" t="inlineStr">
        <is>
          <t>DEGERFORS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26857-2026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46185</v>
      </c>
      <c r="E162" s="1" t="n">
        <v>46311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46311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46311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37672-2024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45541</v>
      </c>
      <c r="E165" s="1" t="n">
        <v>46311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27411-2026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46189</v>
      </c>
      <c r="E166" s="1" t="n">
        <v>46311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27745-2026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46191</v>
      </c>
      <c r="E167" s="1" t="n">
        <v>46311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46191</v>
      </c>
      <c r="E168" s="1" t="n">
        <v>46311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46311</v>
      </c>
      <c r="F169" t="inlineStr">
        <is>
          <t>ÖREBRO LÄN</t>
        </is>
      </c>
      <c r="G169" t="inlineStr">
        <is>
          <t>DEGERFORS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46311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28708-2026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46311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46199</v>
      </c>
      <c r="E172" s="1" t="n">
        <v>46311</v>
      </c>
      <c r="F172" t="inlineStr">
        <is>
          <t>ÖREBRO LÄN</t>
        </is>
      </c>
      <c r="G172" t="inlineStr">
        <is>
          <t>DEGERFORS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46311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46202</v>
      </c>
      <c r="E174" s="1" t="n">
        <v>46311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46311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10674-2024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45369</v>
      </c>
      <c r="E176" s="1" t="n">
        <v>46311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46311</v>
      </c>
      <c r="F177" t="inlineStr">
        <is>
          <t>ÖREBRO LÄN</t>
        </is>
      </c>
      <c r="G177" t="inlineStr">
        <is>
          <t>DEGERFORS</t>
        </is>
      </c>
      <c r="I177" t="n">
        <v>13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46311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46311</v>
      </c>
      <c r="F179" t="inlineStr">
        <is>
          <t>ÖREBRO LÄN</t>
        </is>
      </c>
      <c r="G179" t="inlineStr">
        <is>
          <t>DEGERFORS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45376</v>
      </c>
      <c r="E180" s="1" t="n">
        <v>46311</v>
      </c>
      <c r="F180" t="inlineStr">
        <is>
          <t>ÖREBRO LÄN</t>
        </is>
      </c>
      <c r="G180" t="inlineStr">
        <is>
          <t>DEGERFORS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46311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31813-2026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46230</v>
      </c>
      <c r="E182" s="1" t="n">
        <v>46311</v>
      </c>
      <c r="F182" t="inlineStr">
        <is>
          <t>ÖREBRO LÄN</t>
        </is>
      </c>
      <c r="G182" t="inlineStr">
        <is>
          <t>DEGERFORS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46231</v>
      </c>
      <c r="E183" s="1" t="n">
        <v>46311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46311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45351</v>
      </c>
      <c r="E185" s="1" t="n">
        <v>46311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45233</v>
      </c>
      <c r="E186" s="1" t="n">
        <v>46311</v>
      </c>
      <c r="F186" t="inlineStr">
        <is>
          <t>ÖREBRO LÄN</t>
        </is>
      </c>
      <c r="G186" t="inlineStr">
        <is>
          <t>DEGERFORS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46279</v>
      </c>
      <c r="E187" s="1" t="n">
        <v>46311</v>
      </c>
      <c r="F187" t="inlineStr">
        <is>
          <t>ÖREBRO LÄN</t>
        </is>
      </c>
      <c r="G187" t="inlineStr">
        <is>
          <t>DEGERFORS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46311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46281</v>
      </c>
      <c r="E189" s="1" t="n">
        <v>46311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44816</v>
      </c>
      <c r="E190" s="1" t="n">
        <v>46311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46282</v>
      </c>
      <c r="E191" s="1" t="n">
        <v>46311</v>
      </c>
      <c r="F191" t="inlineStr">
        <is>
          <t>ÖREBRO LÄN</t>
        </is>
      </c>
      <c r="G191" t="inlineStr">
        <is>
          <t>DEGERFORS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46239</v>
      </c>
      <c r="E192" s="1" t="n">
        <v>46311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32506-2026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46311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38659-2026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46283</v>
      </c>
      <c r="E194" s="1" t="n">
        <v>46311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32810-2026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46241</v>
      </c>
      <c r="E195" s="1" t="n">
        <v>46311</v>
      </c>
      <c r="F195" t="inlineStr">
        <is>
          <t>ÖREBRO LÄN</t>
        </is>
      </c>
      <c r="G195" t="inlineStr">
        <is>
          <t>DEGERFORS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12729-2024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45384</v>
      </c>
      <c r="E196" s="1" t="n">
        <v>46311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46311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10320-2023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44986</v>
      </c>
      <c r="E198" s="1" t="n">
        <v>46311</v>
      </c>
      <c r="F198" t="inlineStr">
        <is>
          <t>ÖREBRO LÄN</t>
        </is>
      </c>
      <c r="G198" t="inlineStr">
        <is>
          <t>DEGERFORS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57086-2025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45979</v>
      </c>
      <c r="E199" s="1" t="n">
        <v>46311</v>
      </c>
      <c r="F199" t="inlineStr">
        <is>
          <t>ÖREBRO LÄN</t>
        </is>
      </c>
      <c r="G199" t="inlineStr">
        <is>
          <t>DEGERFORS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46311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45707</v>
      </c>
      <c r="E201" s="1" t="n">
        <v>46311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18831-2025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46311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45635</v>
      </c>
      <c r="E203" s="1" t="n">
        <v>46311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46311</v>
      </c>
      <c r="F204" t="inlineStr">
        <is>
          <t>ÖREBRO LÄN</t>
        </is>
      </c>
      <c r="G204" t="inlineStr">
        <is>
          <t>DEGERFORS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50102-2023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46311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45223</v>
      </c>
      <c r="E206" s="1" t="n">
        <v>46311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45272</v>
      </c>
      <c r="E207" s="1" t="n">
        <v>46311</v>
      </c>
      <c r="F207" t="inlineStr">
        <is>
          <t>ÖREBRO LÄN</t>
        </is>
      </c>
      <c r="G207" t="inlineStr">
        <is>
          <t>DEGERFORS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60708-2025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45996</v>
      </c>
      <c r="E208" s="1" t="n">
        <v>46311</v>
      </c>
      <c r="F208" t="inlineStr">
        <is>
          <t>ÖREBRO LÄN</t>
        </is>
      </c>
      <c r="G208" t="inlineStr">
        <is>
          <t>DEGERFORS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46311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45996</v>
      </c>
      <c r="E210" s="1" t="n">
        <v>46311</v>
      </c>
      <c r="F210" t="inlineStr">
        <is>
          <t>ÖREBRO LÄN</t>
        </is>
      </c>
      <c r="G210" t="inlineStr">
        <is>
          <t>DEGERFORS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45205</v>
      </c>
      <c r="E211" s="1" t="n">
        <v>46311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45163</v>
      </c>
      <c r="E212" s="1" t="n">
        <v>46311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46311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45453</v>
      </c>
      <c r="E214" s="1" t="n">
        <v>46311</v>
      </c>
      <c r="F214" t="inlineStr">
        <is>
          <t>ÖREBRO LÄN</t>
        </is>
      </c>
      <c r="G214" t="inlineStr">
        <is>
          <t>DEGERFORS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46231</v>
      </c>
      <c r="E215" s="1" t="n">
        <v>46311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46027</v>
      </c>
      <c r="E216" s="1" t="n">
        <v>46311</v>
      </c>
      <c r="F216" t="inlineStr">
        <is>
          <t>ÖREBRO LÄN</t>
        </is>
      </c>
      <c r="G216" t="inlineStr">
        <is>
          <t>DEGERFORS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5218-2024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46311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41890-2026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46303</v>
      </c>
      <c r="E218" s="1" t="n">
        <v>46311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35213-2026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46260</v>
      </c>
      <c r="E219" s="1" t="n">
        <v>46311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28789-2026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46195</v>
      </c>
      <c r="E220" s="1" t="n">
        <v>46311</v>
      </c>
      <c r="F220" t="inlineStr">
        <is>
          <t>ÖREBRO LÄN</t>
        </is>
      </c>
      <c r="G220" t="inlineStr">
        <is>
          <t>DEGERFORS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46307</v>
      </c>
      <c r="E221" s="1" t="n">
        <v>46311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36336-2026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46268</v>
      </c>
      <c r="E222" s="1" t="n">
        <v>46311</v>
      </c>
      <c r="F222" t="inlineStr">
        <is>
          <t>ÖREBRO LÄN</t>
        </is>
      </c>
      <c r="G222" t="inlineStr">
        <is>
          <t>DEGERFORS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36339-2026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46268</v>
      </c>
      <c r="E223" s="1" t="n">
        <v>46311</v>
      </c>
      <c r="F223" t="inlineStr">
        <is>
          <t>ÖREBRO LÄN</t>
        </is>
      </c>
      <c r="G223" t="inlineStr">
        <is>
          <t>DEGERFORS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46268</v>
      </c>
      <c r="E224" s="1" t="n">
        <v>46311</v>
      </c>
      <c r="F224" t="inlineStr">
        <is>
          <t>ÖREBRO LÄN</t>
        </is>
      </c>
      <c r="G224" t="inlineStr">
        <is>
          <t>DEGERFORS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46303</v>
      </c>
      <c r="E225" s="1" t="n">
        <v>46311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46070</v>
      </c>
      <c r="E226" s="1" t="n">
        <v>46311</v>
      </c>
      <c r="F226" t="inlineStr">
        <is>
          <t>ÖREBRO LÄN</t>
        </is>
      </c>
      <c r="G226" t="inlineStr">
        <is>
          <t>DEGERFORS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46086</v>
      </c>
      <c r="E227" s="1" t="n">
        <v>46311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46086</v>
      </c>
      <c r="E228" s="1" t="n">
        <v>46311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13039-2026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46093</v>
      </c>
      <c r="E229" s="1" t="n">
        <v>46311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13040-2026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46311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46311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8.800000000000001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46311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46311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46311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46311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46311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46311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46311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46311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2026-10-16T02:18:14Z</dcterms:created>
  <dcterms:modified xmlns:dcterms="http://purl.org/dc/terms/" xmlns:xsi="http://www.w3.org/2001/XMLSchema-instance" xsi:type="dcterms:W3CDTF">2026-10-16T02:18:14Z</dcterms:modified>
</cp:coreProperties>
</file>