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46304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46304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46304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46304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46304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46304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46304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46304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46304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46304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46304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46304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46304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46304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46304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46304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46304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46304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33297-2023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45116</v>
      </c>
      <c r="E35" s="1" t="n">
        <v>46304</v>
      </c>
      <c r="F35" t="inlineStr">
        <is>
          <t>ÖREBRO LÄN</t>
        </is>
      </c>
      <c r="G35" t="inlineStr">
        <is>
          <t>DEGERFORS</t>
        </is>
      </c>
      <c r="I35" t="n">
        <v>7.2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HYPERLINK("https://klasma.github.io/Logging_1862/artfynd/A 33297-2023 artfynd.xlsx", "A 33297-2023")</f>
        <v/>
      </c>
      <c r="X35">
        <f>HYPERLINK("https://klasma.github.io/Logging_1862/kartor/A 33297-2023 karta.png", "A 33297-2023")</f>
        <v/>
      </c>
      <c r="Y35">
        <f>HYPERLINK("https://klasma.github.io/Logging_1862/kartor_geotiff/A 33297-2023 georefererad karta.tif", "A 33297-2023")</f>
        <v/>
      </c>
      <c r="AA35">
        <f>HYPERLINK("https://klasma.github.io/Logging_1862/klagomål/A 33297-2023 FSC-klagomål.docx", "A 33297-2023")</f>
        <v/>
      </c>
      <c r="AB35">
        <f>HYPERLINK("https://klasma.github.io/Logging_1862/klagomålsmail/A 33297-2023 FSC-klagomål mail.docx", "A 33297-2023")</f>
        <v/>
      </c>
      <c r="AC35">
        <f>HYPERLINK("https://klasma.github.io/Logging_1862/tillsyn/A 33297-2023 tillsynsbegäran.docx", "A 33297-2023")</f>
        <v/>
      </c>
      <c r="AD35">
        <f>HYPERLINK("https://klasma.github.io/Logging_1862/tillsynsmail/A 33297-2023 tillsynsbegäran mail.docx", "A 33297-2023")</f>
        <v/>
      </c>
    </row>
    <row r="36" ht="15" customHeight="1">
      <c r="A36" t="inlineStr">
        <is>
          <t>A 38904-2023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45163</v>
      </c>
      <c r="E36" s="1" t="n">
        <v>46304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38904-2023 artfynd.xlsx", "A 38904-2023")</f>
        <v/>
      </c>
      <c r="X36">
        <f>HYPERLINK("https://klasma.github.io/Logging_1862/kartor/A 38904-2023 karta.png", "A 38904-2023")</f>
        <v/>
      </c>
      <c r="Y36">
        <f>HYPERLINK("https://klasma.github.io/Logging_1862/kartor_geotiff/A 38904-2023 georefererad karta.tif", "A 38904-2023")</f>
        <v/>
      </c>
      <c r="AA36">
        <f>HYPERLINK("https://klasma.github.io/Logging_1862/klagomål/A 38904-2023 FSC-klagomål.docx", "A 38904-2023")</f>
        <v/>
      </c>
      <c r="AB36">
        <f>HYPERLINK("https://klasma.github.io/Logging_1862/klagomålsmail/A 38904-2023 FSC-klagomål mail.docx", "A 38904-2023")</f>
        <v/>
      </c>
      <c r="AC36">
        <f>HYPERLINK("https://klasma.github.io/Logging_1862/tillsyn/A 38904-2023 tillsynsbegäran.docx", "A 38904-2023")</f>
        <v/>
      </c>
      <c r="AD36">
        <f>HYPERLINK("https://klasma.github.io/Logging_1862/tillsynsmail/A 38904-2023 tillsynsbegäran mail.docx", "A 38904-2023")</f>
        <v/>
      </c>
      <c r="AE36">
        <f>HYPERLINK("https://klasma.github.io/Logging_1862/fåglar/A 38904-2023 prioriterade fågelarter.docx", "A 38904-2023")</f>
        <v/>
      </c>
    </row>
    <row r="37" ht="15" customHeight="1">
      <c r="A37" t="inlineStr">
        <is>
          <t>A 27093-2023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46304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27093-2023 artfynd.xlsx", "A 27093-2023")</f>
        <v/>
      </c>
      <c r="X37">
        <f>HYPERLINK("https://klasma.github.io/Logging_1862/kartor/A 27093-2023 karta.png", "A 27093-2023")</f>
        <v/>
      </c>
      <c r="Y37">
        <f>HYPERLINK("https://klasma.github.io/Logging_1862/kartor_geotiff/A 27093-2023 georefererad karta.tif", "A 27093-2023")</f>
        <v/>
      </c>
      <c r="AA37">
        <f>HYPERLINK("https://klasma.github.io/Logging_1862/klagomål/A 27093-2023 FSC-klagomål.docx", "A 27093-2023")</f>
        <v/>
      </c>
      <c r="AB37">
        <f>HYPERLINK("https://klasma.github.io/Logging_1862/klagomålsmail/A 27093-2023 FSC-klagomål mail.docx", "A 27093-2023")</f>
        <v/>
      </c>
      <c r="AC37">
        <f>HYPERLINK("https://klasma.github.io/Logging_1862/tillsyn/A 27093-2023 tillsynsbegäran.docx", "A 27093-2023")</f>
        <v/>
      </c>
      <c r="AD37">
        <f>HYPERLINK("https://klasma.github.io/Logging_1862/tillsynsmail/A 27093-2023 tillsynsbegäran mail.docx", "A 27093-2023")</f>
        <v/>
      </c>
      <c r="AE37">
        <f>HYPERLINK("https://klasma.github.io/Logging_1862/fåglar/A 27093-2023 prioriterade fågelarter.docx", "A 27093-2023")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46304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46304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46304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46304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46304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46304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46304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47915-2024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46304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HYPERLINK("https://klasma.github.io/Logging_1862/artfynd/A 47915-2024 artfynd.xlsx", "A 47915-2024")</f>
        <v/>
      </c>
      <c r="X45">
        <f>HYPERLINK("https://klasma.github.io/Logging_1862/kartor/A 47915-2024 karta.png", "A 47915-2024")</f>
        <v/>
      </c>
      <c r="Y45">
        <f>HYPERLINK("https://klasma.github.io/Logging_1862/kartor_geotiff/A 47915-2024 georefererad karta.tif", "A 47915-2024")</f>
        <v/>
      </c>
      <c r="AA45">
        <f>HYPERLINK("https://klasma.github.io/Logging_1862/klagomål/A 47915-2024 FSC-klagomål.docx", "A 47915-2024")</f>
        <v/>
      </c>
      <c r="AB45">
        <f>HYPERLINK("https://klasma.github.io/Logging_1862/klagomålsmail/A 47915-2024 FSC-klagomål mail.docx", "A 47915-2024")</f>
        <v/>
      </c>
      <c r="AC45">
        <f>HYPERLINK("https://klasma.github.io/Logging_1862/tillsyn/A 47915-2024 tillsynsbegäran.docx", "A 47915-2024")</f>
        <v/>
      </c>
      <c r="AD45">
        <f>HYPERLINK("https://klasma.github.io/Logging_1862/tillsynsmail/A 47915-2024 tillsynsbegäran mail.docx", "A 47915-2024")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46304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27072-2026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46304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7.6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27072-2026 artfynd.xlsx", "A 27072-2026")</f>
        <v/>
      </c>
      <c r="X47">
        <f>HYPERLINK("https://klasma.github.io/Logging_1862/kartor/A 27072-2026 karta.png", "A 27072-2026")</f>
        <v/>
      </c>
      <c r="Y47">
        <f>HYPERLINK("https://klasma.github.io/Logging_1862/kartor_geotiff/A 27072-2026 georefererad karta.tif", "A 27072-2026")</f>
        <v/>
      </c>
      <c r="AA47">
        <f>HYPERLINK("https://klasma.github.io/Logging_1862/klagomål/A 27072-2026 FSC-klagomål.docx", "A 27072-2026")</f>
        <v/>
      </c>
      <c r="AB47">
        <f>HYPERLINK("https://klasma.github.io/Logging_1862/klagomålsmail/A 27072-2026 FSC-klagomål mail.docx", "A 27072-2026")</f>
        <v/>
      </c>
      <c r="AC47">
        <f>HYPERLINK("https://klasma.github.io/Logging_1862/tillsyn/A 27072-2026 tillsynsbegäran.docx", "A 27072-2026")</f>
        <v/>
      </c>
      <c r="AD47">
        <f>HYPERLINK("https://klasma.github.io/Logging_1862/tillsynsmail/A 27072-2026 tillsynsbegäran mail.docx", "A 27072-2026")</f>
        <v/>
      </c>
      <c r="AE47">
        <f>HYPERLINK("https://klasma.github.io/Logging_1862/fåglar/A 27072-2026 prioriterade fågelarter.docx", "A 27072-2026")</f>
        <v/>
      </c>
    </row>
    <row r="48" ht="15" customHeight="1">
      <c r="A48" t="inlineStr">
        <is>
          <t>A 26971-2026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46304</v>
      </c>
      <c r="F48" t="inlineStr">
        <is>
          <t>ÖREBRO LÄN</t>
        </is>
      </c>
      <c r="G48" t="inlineStr">
        <is>
          <t>DEGERFORS</t>
        </is>
      </c>
      <c r="I48" t="n">
        <v>2.1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HYPERLINK("https://klasma.github.io/Logging_1862/artfynd/A 26971-2026 artfynd.xlsx", "A 26971-2026")</f>
        <v/>
      </c>
      <c r="X48">
        <f>HYPERLINK("https://klasma.github.io/Logging_1862/kartor/A 26971-2026 karta.png", "A 26971-2026")</f>
        <v/>
      </c>
      <c r="Y48">
        <f>HYPERLINK("https://klasma.github.io/Logging_1862/kartor_geotiff/A 26971-2026 georefererad karta.tif", "A 26971-2026")</f>
        <v/>
      </c>
      <c r="AA48">
        <f>HYPERLINK("https://klasma.github.io/Logging_1862/klagomål/A 26971-2026 FSC-klagomål.docx", "A 26971-2026")</f>
        <v/>
      </c>
      <c r="AB48">
        <f>HYPERLINK("https://klasma.github.io/Logging_1862/klagomålsmail/A 26971-2026 FSC-klagomål mail.docx", "A 26971-2026")</f>
        <v/>
      </c>
      <c r="AC48">
        <f>HYPERLINK("https://klasma.github.io/Logging_1862/tillsyn/A 26971-2026 tillsynsbegäran.docx", "A 26971-2026")</f>
        <v/>
      </c>
      <c r="AD48">
        <f>HYPERLINK("https://klasma.github.io/Logging_1862/tillsynsmail/A 26971-2026 tillsynsbegäran mail.docx", "A 26971-2026")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46304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2357-2022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46304</v>
      </c>
      <c r="F50" t="inlineStr">
        <is>
          <t>ÖREBRO LÄN</t>
        </is>
      </c>
      <c r="G50" t="inlineStr">
        <is>
          <t>DEGERFORS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2357-2022 artfynd.xlsx", "A 2357-2022")</f>
        <v/>
      </c>
      <c r="X50">
        <f>HYPERLINK("https://klasma.github.io/Logging_1862/kartor/A 2357-2022 karta.png", "A 2357-2022")</f>
        <v/>
      </c>
      <c r="Y50">
        <f>HYPERLINK("https://klasma.github.io/Logging_1862/kartor_geotiff/A 2357-2022 georefererad karta.tif", "A 2357-2022")</f>
        <v/>
      </c>
      <c r="AA50">
        <f>HYPERLINK("https://klasma.github.io/Logging_1862/klagomål/A 2357-2022 FSC-klagomål.docx", "A 2357-2022")</f>
        <v/>
      </c>
      <c r="AB50">
        <f>HYPERLINK("https://klasma.github.io/Logging_1862/klagomålsmail/A 2357-2022 FSC-klagomål mail.docx", "A 2357-2022")</f>
        <v/>
      </c>
      <c r="AC50">
        <f>HYPERLINK("https://klasma.github.io/Logging_1862/tillsyn/A 2357-2022 tillsynsbegäran.docx", "A 2357-2022")</f>
        <v/>
      </c>
      <c r="AD50">
        <f>HYPERLINK("https://klasma.github.io/Logging_1862/tillsynsmail/A 2357-2022 tillsynsbegäran mail.docx", "A 2357-2022")</f>
        <v/>
      </c>
      <c r="AE50">
        <f>HYPERLINK("https://klasma.github.io/Logging_1862/fåglar/A 2357-2022 prioriterade fågelarter.docx", "A 2357-2022")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46304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46304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46304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46304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46304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46304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46304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46304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46304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46304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46304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46304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46304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46304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46304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46304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46304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44754</v>
      </c>
      <c r="E68" s="1" t="n">
        <v>46304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37672-2024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45541</v>
      </c>
      <c r="E69" s="1" t="n">
        <v>46304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46304</v>
      </c>
      <c r="F70" t="inlineStr">
        <is>
          <t>ÖREBRO LÄN</t>
        </is>
      </c>
      <c r="G70" t="inlineStr">
        <is>
          <t>DEGERFORS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46304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46304</v>
      </c>
      <c r="F72" t="inlineStr">
        <is>
          <t>ÖREBRO LÄN</t>
        </is>
      </c>
      <c r="G72" t="inlineStr">
        <is>
          <t>DEGERFORS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45535</v>
      </c>
      <c r="E73" s="1" t="n">
        <v>46304</v>
      </c>
      <c r="F73" t="inlineStr">
        <is>
          <t>ÖREBRO LÄN</t>
        </is>
      </c>
      <c r="G73" t="inlineStr">
        <is>
          <t>DEGERFORS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46304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44579</v>
      </c>
      <c r="E75" s="1" t="n">
        <v>46304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12159-2026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46086</v>
      </c>
      <c r="E76" s="1" t="n">
        <v>46304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46304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60907-2023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45261</v>
      </c>
      <c r="E78" s="1" t="n">
        <v>46304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46304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46304</v>
      </c>
      <c r="F80" t="inlineStr">
        <is>
          <t>ÖREBRO LÄN</t>
        </is>
      </c>
      <c r="G80" t="inlineStr">
        <is>
          <t>DEGERFORS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26176-2024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46304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45639</v>
      </c>
      <c r="E82" s="1" t="n">
        <v>46304</v>
      </c>
      <c r="F82" t="inlineStr">
        <is>
          <t>ÖREBRO LÄN</t>
        </is>
      </c>
      <c r="G82" t="inlineStr">
        <is>
          <t>DEGERFORS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46304</v>
      </c>
      <c r="F83" t="inlineStr">
        <is>
          <t>ÖREBRO LÄN</t>
        </is>
      </c>
      <c r="G83" t="inlineStr">
        <is>
          <t>DEGERFORS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46304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46304</v>
      </c>
      <c r="F85" t="inlineStr">
        <is>
          <t>ÖREBRO LÄN</t>
        </is>
      </c>
      <c r="G85" t="inlineStr">
        <is>
          <t>DEGERFORS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46304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46092</v>
      </c>
      <c r="E87" s="1" t="n">
        <v>46304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46304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37333-2025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45876</v>
      </c>
      <c r="E89" s="1" t="n">
        <v>46304</v>
      </c>
      <c r="F89" t="inlineStr">
        <is>
          <t>ÖREBRO LÄN</t>
        </is>
      </c>
      <c r="G89" t="inlineStr">
        <is>
          <t>DEGERFORS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45876</v>
      </c>
      <c r="E90" s="1" t="n">
        <v>46304</v>
      </c>
      <c r="F90" t="inlineStr">
        <is>
          <t>ÖREBRO LÄN</t>
        </is>
      </c>
      <c r="G90" t="inlineStr">
        <is>
          <t>DEGERFORS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46304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45233</v>
      </c>
      <c r="E92" s="1" t="n">
        <v>46304</v>
      </c>
      <c r="F92" t="inlineStr">
        <is>
          <t>ÖREBRO LÄN</t>
        </is>
      </c>
      <c r="G92" t="inlineStr">
        <is>
          <t>DEGERFORS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46304</v>
      </c>
      <c r="F93" t="inlineStr">
        <is>
          <t>ÖREBRO LÄN</t>
        </is>
      </c>
      <c r="G93" t="inlineStr">
        <is>
          <t>DEGERFORS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46304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46304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46304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45621</v>
      </c>
      <c r="E97" s="1" t="n">
        <v>46304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46304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46304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46304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46304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46304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38233-2023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45160</v>
      </c>
      <c r="E103" s="1" t="n">
        <v>46304</v>
      </c>
      <c r="F103" t="inlineStr">
        <is>
          <t>ÖREBRO LÄN</t>
        </is>
      </c>
      <c r="G103" t="inlineStr">
        <is>
          <t>DEGERFORS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10674-2024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45369</v>
      </c>
      <c r="E104" s="1" t="n">
        <v>46304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45645</v>
      </c>
      <c r="E105" s="1" t="n">
        <v>46304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73693-2021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46304</v>
      </c>
      <c r="F106" t="inlineStr">
        <is>
          <t>ÖREBRO LÄN</t>
        </is>
      </c>
      <c r="G106" t="inlineStr">
        <is>
          <t>DEGERFORS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46304</v>
      </c>
      <c r="F107" t="inlineStr">
        <is>
          <t>ÖREBRO LÄN</t>
        </is>
      </c>
      <c r="G107" t="inlineStr">
        <is>
          <t>DEGERFORS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46304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46304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46304</v>
      </c>
      <c r="F110" t="inlineStr">
        <is>
          <t>ÖREBRO LÄN</t>
        </is>
      </c>
      <c r="G110" t="inlineStr">
        <is>
          <t>DEGERFORS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46304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46304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46304</v>
      </c>
      <c r="F113" t="inlineStr">
        <is>
          <t>ÖREBRO LÄN</t>
        </is>
      </c>
      <c r="G113" t="inlineStr">
        <is>
          <t>DEGERFORS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18913-2026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46304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46304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46304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46304</v>
      </c>
      <c r="F117" t="inlineStr">
        <is>
          <t>ÖREBRO LÄN</t>
        </is>
      </c>
      <c r="G117" t="inlineStr">
        <is>
          <t>DEGERFORS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46304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46132</v>
      </c>
      <c r="E119" s="1" t="n">
        <v>46304</v>
      </c>
      <c r="F119" t="inlineStr">
        <is>
          <t>ÖREBRO LÄN</t>
        </is>
      </c>
      <c r="G119" t="inlineStr">
        <is>
          <t>DEGERFORS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21952-2024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45443</v>
      </c>
      <c r="E120" s="1" t="n">
        <v>46304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46304</v>
      </c>
      <c r="F121" t="inlineStr">
        <is>
          <t>ÖREBRO LÄN</t>
        </is>
      </c>
      <c r="G121" t="inlineStr">
        <is>
          <t>DEGERFORS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45729</v>
      </c>
      <c r="E122" s="1" t="n">
        <v>46304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46304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46304</v>
      </c>
      <c r="F124" t="inlineStr">
        <is>
          <t>ÖREBRO LÄN</t>
        </is>
      </c>
      <c r="G124" t="inlineStr">
        <is>
          <t>DEGERFORS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46304</v>
      </c>
      <c r="F125" t="inlineStr">
        <is>
          <t>ÖREBRO LÄN</t>
        </is>
      </c>
      <c r="G125" t="inlineStr">
        <is>
          <t>DEGERFORS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46304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20577-2023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45057</v>
      </c>
      <c r="E127" s="1" t="n">
        <v>46304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46304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45365-2023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45192</v>
      </c>
      <c r="E129" s="1" t="n">
        <v>46304</v>
      </c>
      <c r="F129" t="inlineStr">
        <is>
          <t>ÖREBRO LÄN</t>
        </is>
      </c>
      <c r="G129" t="inlineStr">
        <is>
          <t>DEGERFORS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6387-2024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45338</v>
      </c>
      <c r="E130" s="1" t="n">
        <v>46304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46304</v>
      </c>
      <c r="F131" t="inlineStr">
        <is>
          <t>ÖREBRO LÄN</t>
        </is>
      </c>
      <c r="G131" t="inlineStr">
        <is>
          <t>DEGERFORS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46304</v>
      </c>
      <c r="F132" t="inlineStr">
        <is>
          <t>ÖREBRO LÄN</t>
        </is>
      </c>
      <c r="G132" t="inlineStr">
        <is>
          <t>DEGERFORS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54082-2024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46304</v>
      </c>
      <c r="F133" t="inlineStr">
        <is>
          <t>ÖREBRO LÄN</t>
        </is>
      </c>
      <c r="G133" t="inlineStr">
        <is>
          <t>DEGERFORS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6394-2024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45338</v>
      </c>
      <c r="E134" s="1" t="n">
        <v>46304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46304</v>
      </c>
      <c r="F135" t="inlineStr">
        <is>
          <t>ÖREBRO LÄN</t>
        </is>
      </c>
      <c r="G135" t="inlineStr">
        <is>
          <t>DEGERFORS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46304</v>
      </c>
      <c r="F136" t="inlineStr">
        <is>
          <t>ÖREBRO LÄN</t>
        </is>
      </c>
      <c r="G136" t="inlineStr">
        <is>
          <t>DEGERFORS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46304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46304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46304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45330</v>
      </c>
      <c r="E140" s="1" t="n">
        <v>46304</v>
      </c>
      <c r="F140" t="inlineStr">
        <is>
          <t>ÖREBRO LÄN</t>
        </is>
      </c>
      <c r="G140" t="inlineStr">
        <is>
          <t>DEGERFORS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46304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45116</v>
      </c>
      <c r="E142" s="1" t="n">
        <v>46304</v>
      </c>
      <c r="F142" t="inlineStr">
        <is>
          <t>ÖREBRO LÄN</t>
        </is>
      </c>
      <c r="G142" t="inlineStr">
        <is>
          <t>DEGERFORS</t>
        </is>
      </c>
      <c r="I142" t="n">
        <v>17.2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46304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46304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46304</v>
      </c>
      <c r="F145" t="inlineStr">
        <is>
          <t>ÖREBRO LÄN</t>
        </is>
      </c>
      <c r="G145" t="inlineStr">
        <is>
          <t>DEGERFORS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46304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46304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46304</v>
      </c>
      <c r="F148" t="inlineStr">
        <is>
          <t>ÖREBRO LÄN</t>
        </is>
      </c>
      <c r="G148" t="inlineStr">
        <is>
          <t>DEGERFORS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46304</v>
      </c>
      <c r="F149" t="inlineStr">
        <is>
          <t>ÖREBRO LÄN</t>
        </is>
      </c>
      <c r="G149" t="inlineStr">
        <is>
          <t>DEGERFORS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45387</v>
      </c>
      <c r="E150" s="1" t="n">
        <v>46304</v>
      </c>
      <c r="F150" t="inlineStr">
        <is>
          <t>ÖREBRO LÄN</t>
        </is>
      </c>
      <c r="G150" t="inlineStr">
        <is>
          <t>DEGERFORS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46304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46304</v>
      </c>
      <c r="F152" t="inlineStr">
        <is>
          <t>ÖREBRO LÄN</t>
        </is>
      </c>
      <c r="G152" t="inlineStr">
        <is>
          <t>DEGERFORS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46304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46304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46304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46304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46304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46304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14678-2025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45742</v>
      </c>
      <c r="E159" s="1" t="n">
        <v>46304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46304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46304</v>
      </c>
      <c r="F161" t="inlineStr">
        <is>
          <t>ÖREBRO LÄN</t>
        </is>
      </c>
      <c r="G161" t="inlineStr">
        <is>
          <t>DEGERFORS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46170</v>
      </c>
      <c r="E162" s="1" t="n">
        <v>46304</v>
      </c>
      <c r="F162" t="inlineStr">
        <is>
          <t>ÖREBRO LÄN</t>
        </is>
      </c>
      <c r="G162" t="inlineStr">
        <is>
          <t>DEGERFORS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46304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63905-2021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44509</v>
      </c>
      <c r="E164" s="1" t="n">
        <v>46304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44816</v>
      </c>
      <c r="E165" s="1" t="n">
        <v>46304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45589</v>
      </c>
      <c r="E166" s="1" t="n">
        <v>46304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50377-2024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46304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46304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46304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46304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46304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45106</v>
      </c>
      <c r="E172" s="1" t="n">
        <v>46304</v>
      </c>
      <c r="F172" t="inlineStr">
        <is>
          <t>ÖREBRO LÄN</t>
        </is>
      </c>
      <c r="G172" t="inlineStr">
        <is>
          <t>DEGERFORS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59158-2022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44904</v>
      </c>
      <c r="E173" s="1" t="n">
        <v>46304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46304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46304</v>
      </c>
      <c r="F175" t="inlineStr">
        <is>
          <t>ÖREBRO LÄN</t>
        </is>
      </c>
      <c r="G175" t="inlineStr">
        <is>
          <t>DEGERFORS</t>
        </is>
      </c>
      <c r="I175" t="n">
        <v>13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44986</v>
      </c>
      <c r="E176" s="1" t="n">
        <v>46304</v>
      </c>
      <c r="F176" t="inlineStr">
        <is>
          <t>ÖREBRO LÄN</t>
        </is>
      </c>
      <c r="G176" t="inlineStr">
        <is>
          <t>DEGERFORS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46304</v>
      </c>
      <c r="F177" t="inlineStr">
        <is>
          <t>ÖREBRO LÄN</t>
        </is>
      </c>
      <c r="G177" t="inlineStr">
        <is>
          <t>DEGERFORS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46304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46304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46304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46304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44989</v>
      </c>
      <c r="E182" s="1" t="n">
        <v>46304</v>
      </c>
      <c r="F182" t="inlineStr">
        <is>
          <t>ÖREBRO LÄN</t>
        </is>
      </c>
      <c r="G182" t="inlineStr">
        <is>
          <t>DEGERFORS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46304</v>
      </c>
      <c r="F183" t="inlineStr">
        <is>
          <t>ÖREBRO LÄN</t>
        </is>
      </c>
      <c r="G183" t="inlineStr">
        <is>
          <t>DEGERFORS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46304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46304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33658-2024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45520</v>
      </c>
      <c r="E186" s="1" t="n">
        <v>46304</v>
      </c>
      <c r="F186" t="inlineStr">
        <is>
          <t>ÖREBRO LÄN</t>
        </is>
      </c>
      <c r="G186" t="inlineStr">
        <is>
          <t>DEGERFORS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46304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46199</v>
      </c>
      <c r="E188" s="1" t="n">
        <v>46304</v>
      </c>
      <c r="F188" t="inlineStr">
        <is>
          <t>ÖREBRO LÄN</t>
        </is>
      </c>
      <c r="G188" t="inlineStr">
        <is>
          <t>DEGERFORS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46304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45861-2023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45195</v>
      </c>
      <c r="E190" s="1" t="n">
        <v>46304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45569</v>
      </c>
      <c r="E191" s="1" t="n">
        <v>46304</v>
      </c>
      <c r="F191" t="inlineStr">
        <is>
          <t>ÖREBRO LÄN</t>
        </is>
      </c>
      <c r="G191" t="inlineStr">
        <is>
          <t>DEGERFORS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46304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46304</v>
      </c>
      <c r="F193" t="inlineStr">
        <is>
          <t>ÖREBRO LÄN</t>
        </is>
      </c>
      <c r="G193" t="inlineStr">
        <is>
          <t>DEGERFORS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46304</v>
      </c>
      <c r="F194" t="inlineStr">
        <is>
          <t>ÖREBRO LÄN</t>
        </is>
      </c>
      <c r="G194" t="inlineStr">
        <is>
          <t>DEGERFORS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46304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46268</v>
      </c>
      <c r="E196" s="1" t="n">
        <v>46304</v>
      </c>
      <c r="F196" t="inlineStr">
        <is>
          <t>ÖREBRO LÄN</t>
        </is>
      </c>
      <c r="G196" t="inlineStr">
        <is>
          <t>DEGERFORS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46304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46230</v>
      </c>
      <c r="E198" s="1" t="n">
        <v>46304</v>
      </c>
      <c r="F198" t="inlineStr">
        <is>
          <t>ÖREBRO LÄN</t>
        </is>
      </c>
      <c r="G198" t="inlineStr">
        <is>
          <t>DEGERFORS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46304</v>
      </c>
      <c r="F199" t="inlineStr">
        <is>
          <t>ÖREBRO LÄN</t>
        </is>
      </c>
      <c r="G199" t="inlineStr">
        <is>
          <t>DEGERFORS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46304</v>
      </c>
      <c r="F200" t="inlineStr">
        <is>
          <t>ÖREBRO LÄN</t>
        </is>
      </c>
      <c r="G200" t="inlineStr">
        <is>
          <t>DEGERFORS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46304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46304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46304</v>
      </c>
      <c r="F203" t="inlineStr">
        <is>
          <t>ÖREBRO LÄN</t>
        </is>
      </c>
      <c r="G203" t="inlineStr">
        <is>
          <t>DEGERFORS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46304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46279</v>
      </c>
      <c r="E205" s="1" t="n">
        <v>46304</v>
      </c>
      <c r="F205" t="inlineStr">
        <is>
          <t>ÖREBRO LÄN</t>
        </is>
      </c>
      <c r="G205" t="inlineStr">
        <is>
          <t>DEGERFORS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46304</v>
      </c>
      <c r="F206" t="inlineStr">
        <is>
          <t>ÖREBRO LÄN</t>
        </is>
      </c>
      <c r="G206" t="inlineStr">
        <is>
          <t>DEGERFORS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46281</v>
      </c>
      <c r="E207" s="1" t="n">
        <v>46304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46304</v>
      </c>
      <c r="F208" t="inlineStr">
        <is>
          <t>ÖREBRO LÄN</t>
        </is>
      </c>
      <c r="G208" t="inlineStr">
        <is>
          <t>DEGERFORS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46304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46304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45223</v>
      </c>
      <c r="E211" s="1" t="n">
        <v>46304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46304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45635</v>
      </c>
      <c r="E213" s="1" t="n">
        <v>46304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46282</v>
      </c>
      <c r="E214" s="1" t="n">
        <v>46304</v>
      </c>
      <c r="F214" t="inlineStr">
        <is>
          <t>ÖREBRO LÄN</t>
        </is>
      </c>
      <c r="G214" t="inlineStr">
        <is>
          <t>DEGERFORS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46304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46283</v>
      </c>
      <c r="E216" s="1" t="n">
        <v>46304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46304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46304</v>
      </c>
      <c r="F218" t="inlineStr">
        <is>
          <t>ÖREBRO LÄN</t>
        </is>
      </c>
      <c r="G218" t="inlineStr">
        <is>
          <t>DEGERFORS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46304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46241</v>
      </c>
      <c r="E220" s="1" t="n">
        <v>46304</v>
      </c>
      <c r="F220" t="inlineStr">
        <is>
          <t>ÖREBRO LÄN</t>
        </is>
      </c>
      <c r="G220" t="inlineStr">
        <is>
          <t>DEGERFORS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45453</v>
      </c>
      <c r="E221" s="1" t="n">
        <v>46304</v>
      </c>
      <c r="F221" t="inlineStr">
        <is>
          <t>ÖREBRO LÄN</t>
        </is>
      </c>
      <c r="G221" t="inlineStr">
        <is>
          <t>DEGERFORS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46304</v>
      </c>
      <c r="F222" t="inlineStr">
        <is>
          <t>ÖREBRO LÄN</t>
        </is>
      </c>
      <c r="G222" t="inlineStr">
        <is>
          <t>DEGERFORS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46304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46304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46304</v>
      </c>
      <c r="F225" t="inlineStr">
        <is>
          <t>ÖREBRO LÄN</t>
        </is>
      </c>
      <c r="G225" t="inlineStr">
        <is>
          <t>DEGERFORS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46304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46304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44719</v>
      </c>
      <c r="E228" s="1" t="n">
        <v>46304</v>
      </c>
      <c r="F228" t="inlineStr">
        <is>
          <t>ÖREBRO LÄN</t>
        </is>
      </c>
      <c r="G228" t="inlineStr">
        <is>
          <t>DEGERFORS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46231</v>
      </c>
      <c r="E229" s="1" t="n">
        <v>46304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46304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46303</v>
      </c>
      <c r="E231" s="1" t="n">
        <v>46304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46260</v>
      </c>
      <c r="E232" s="1" t="n">
        <v>46304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9.5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46303</v>
      </c>
      <c r="E233" s="1" t="n">
        <v>46304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46304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46304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46304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46304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46304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46304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46304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46304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2026-10-09T02:02:41Z</dcterms:created>
  <dcterms:modified xmlns:dcterms="http://purl.org/dc/terms/" xmlns:xsi="http://www.w3.org/2001/XMLSchema-instance" xsi:type="dcterms:W3CDTF">2026-10-09T02:02:42Z</dcterms:modified>
</cp:coreProperties>
</file>