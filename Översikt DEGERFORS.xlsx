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12721-2024</t>
        </is>
      </c>
      <c r="B2" s="1" t="n">
        <v>45384</v>
      </c>
      <c r="C2" s="1" t="n">
        <v>45708</v>
      </c>
      <c r="D2" t="inlineStr">
        <is>
          <t>ÖREBRO LÄN</t>
        </is>
      </c>
      <c r="E2" t="inlineStr">
        <is>
          <t>DEGERFORS</t>
        </is>
      </c>
      <c r="F2" t="inlineStr">
        <is>
          <t>Sveaskog</t>
        </is>
      </c>
      <c r="G2" t="n">
        <v>3.5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7</v>
      </c>
      <c r="R2" s="2" t="inlineStr">
        <is>
          <t>Kolflarnlav
Spillkråka
Tretåig hackspett
Vaddporing
Flagellkvastmossa
Tjäder
Fläcknycklar</t>
        </is>
      </c>
      <c r="S2">
        <f>HYPERLINK("https://klasma.github.io/Logging_1862/artfynd/A 12721-2024 artfynd.xlsx", "A 12721-2024")</f>
        <v/>
      </c>
      <c r="T2">
        <f>HYPERLINK("https://klasma.github.io/Logging_1862/kartor/A 12721-2024 karta.png", "A 12721-2024")</f>
        <v/>
      </c>
      <c r="V2">
        <f>HYPERLINK("https://klasma.github.io/Logging_1862/klagomål/A 12721-2024 FSC-klagomål.docx", "A 12721-2024")</f>
        <v/>
      </c>
      <c r="W2">
        <f>HYPERLINK("https://klasma.github.io/Logging_1862/klagomålsmail/A 12721-2024 FSC-klagomål mail.docx", "A 12721-2024")</f>
        <v/>
      </c>
      <c r="X2">
        <f>HYPERLINK("https://klasma.github.io/Logging_1862/tillsyn/A 12721-2024 tillsynsbegäran.docx", "A 12721-2024")</f>
        <v/>
      </c>
      <c r="Y2">
        <f>HYPERLINK("https://klasma.github.io/Logging_1862/tillsynsmail/A 12721-2024 tillsynsbegäran mail.docx", "A 12721-2024")</f>
        <v/>
      </c>
      <c r="Z2">
        <f>HYPERLINK("https://klasma.github.io/Logging_1862/fåglar/A 12721-2024 prioriterade fågelarter.docx", "A 12721-2024")</f>
        <v/>
      </c>
    </row>
    <row r="3" ht="15" customHeight="1">
      <c r="A3" t="inlineStr">
        <is>
          <t>A 48258-2020</t>
        </is>
      </c>
      <c r="B3" s="1" t="n">
        <v>44102</v>
      </c>
      <c r="C3" s="1" t="n">
        <v>45708</v>
      </c>
      <c r="D3" t="inlineStr">
        <is>
          <t>ÖREBRO LÄN</t>
        </is>
      </c>
      <c r="E3" t="inlineStr">
        <is>
          <t>DEGERFORS</t>
        </is>
      </c>
      <c r="F3" t="inlineStr">
        <is>
          <t>Sveaskog</t>
        </is>
      </c>
      <c r="G3" t="n">
        <v>1.7</v>
      </c>
      <c r="H3" t="n">
        <v>0</v>
      </c>
      <c r="I3" t="n">
        <v>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Triplax rufipes
Dorcatoma dresdensis
Robust tickgnagare
Thymalus limbatus
Vanlig flatbagge</t>
        </is>
      </c>
      <c r="S3">
        <f>HYPERLINK("https://klasma.github.io/Logging_1862/artfynd/A 48258-2020 artfynd.xlsx", "A 48258-2020")</f>
        <v/>
      </c>
      <c r="T3">
        <f>HYPERLINK("https://klasma.github.io/Logging_1862/kartor/A 48258-2020 karta.png", "A 48258-2020")</f>
        <v/>
      </c>
      <c r="V3">
        <f>HYPERLINK("https://klasma.github.io/Logging_1862/klagomål/A 48258-2020 FSC-klagomål.docx", "A 48258-2020")</f>
        <v/>
      </c>
      <c r="W3">
        <f>HYPERLINK("https://klasma.github.io/Logging_1862/klagomålsmail/A 48258-2020 FSC-klagomål mail.docx", "A 48258-2020")</f>
        <v/>
      </c>
      <c r="X3">
        <f>HYPERLINK("https://klasma.github.io/Logging_1862/tillsyn/A 48258-2020 tillsynsbegäran.docx", "A 48258-2020")</f>
        <v/>
      </c>
      <c r="Y3">
        <f>HYPERLINK("https://klasma.github.io/Logging_1862/tillsynsmail/A 48258-2020 tillsynsbegäran mail.docx", "A 48258-2020")</f>
        <v/>
      </c>
    </row>
    <row r="4" ht="15" customHeight="1">
      <c r="A4" t="inlineStr">
        <is>
          <t>A 12719-2024</t>
        </is>
      </c>
      <c r="B4" s="1" t="n">
        <v>45384</v>
      </c>
      <c r="C4" s="1" t="n">
        <v>45708</v>
      </c>
      <c r="D4" t="inlineStr">
        <is>
          <t>ÖREBRO LÄN</t>
        </is>
      </c>
      <c r="E4" t="inlineStr">
        <is>
          <t>DEGERFORS</t>
        </is>
      </c>
      <c r="F4" t="inlineStr">
        <is>
          <t>Sveaskog</t>
        </is>
      </c>
      <c r="G4" t="n">
        <v>11.7</v>
      </c>
      <c r="H4" t="n">
        <v>3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Motaggsvamp
Svinrot
Tretåig hackspett
Tjäder
Fläcknycklar</t>
        </is>
      </c>
      <c r="S4">
        <f>HYPERLINK("https://klasma.github.io/Logging_1862/artfynd/A 12719-2024 artfynd.xlsx", "A 12719-2024")</f>
        <v/>
      </c>
      <c r="T4">
        <f>HYPERLINK("https://klasma.github.io/Logging_1862/kartor/A 12719-2024 karta.png", "A 12719-2024")</f>
        <v/>
      </c>
      <c r="V4">
        <f>HYPERLINK("https://klasma.github.io/Logging_1862/klagomål/A 12719-2024 FSC-klagomål.docx", "A 12719-2024")</f>
        <v/>
      </c>
      <c r="W4">
        <f>HYPERLINK("https://klasma.github.io/Logging_1862/klagomålsmail/A 12719-2024 FSC-klagomål mail.docx", "A 12719-2024")</f>
        <v/>
      </c>
      <c r="X4">
        <f>HYPERLINK("https://klasma.github.io/Logging_1862/tillsyn/A 12719-2024 tillsynsbegäran.docx", "A 12719-2024")</f>
        <v/>
      </c>
      <c r="Y4">
        <f>HYPERLINK("https://klasma.github.io/Logging_1862/tillsynsmail/A 12719-2024 tillsynsbegäran mail.docx", "A 12719-2024")</f>
        <v/>
      </c>
      <c r="Z4">
        <f>HYPERLINK("https://klasma.github.io/Logging_1862/fåglar/A 12719-2024 prioriterade fågelarter.docx", "A 12719-2024")</f>
        <v/>
      </c>
    </row>
    <row r="5" ht="15" customHeight="1">
      <c r="A5" t="inlineStr">
        <is>
          <t>A 25541-2023</t>
        </is>
      </c>
      <c r="B5" s="1" t="n">
        <v>45089</v>
      </c>
      <c r="C5" s="1" t="n">
        <v>45708</v>
      </c>
      <c r="D5" t="inlineStr">
        <is>
          <t>ÖREBRO LÄN</t>
        </is>
      </c>
      <c r="E5" t="inlineStr">
        <is>
          <t>DEGERFORS</t>
        </is>
      </c>
      <c r="F5" t="inlineStr">
        <is>
          <t>Sveaskog</t>
        </is>
      </c>
      <c r="G5" t="n">
        <v>1.8</v>
      </c>
      <c r="H5" t="n">
        <v>2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Spillkråka
Tretåig hackspett
Vedticka</t>
        </is>
      </c>
      <c r="S5">
        <f>HYPERLINK("https://klasma.github.io/Logging_1862/artfynd/A 25541-2023 artfynd.xlsx", "A 25541-2023")</f>
        <v/>
      </c>
      <c r="T5">
        <f>HYPERLINK("https://klasma.github.io/Logging_1862/kartor/A 25541-2023 karta.png", "A 25541-2023")</f>
        <v/>
      </c>
      <c r="V5">
        <f>HYPERLINK("https://klasma.github.io/Logging_1862/klagomål/A 25541-2023 FSC-klagomål.docx", "A 25541-2023")</f>
        <v/>
      </c>
      <c r="W5">
        <f>HYPERLINK("https://klasma.github.io/Logging_1862/klagomålsmail/A 25541-2023 FSC-klagomål mail.docx", "A 25541-2023")</f>
        <v/>
      </c>
      <c r="X5">
        <f>HYPERLINK("https://klasma.github.io/Logging_1862/tillsyn/A 25541-2023 tillsynsbegäran.docx", "A 25541-2023")</f>
        <v/>
      </c>
      <c r="Y5">
        <f>HYPERLINK("https://klasma.github.io/Logging_1862/tillsynsmail/A 25541-2023 tillsynsbegäran mail.docx", "A 25541-2023")</f>
        <v/>
      </c>
      <c r="Z5">
        <f>HYPERLINK("https://klasma.github.io/Logging_1862/fåglar/A 25541-2023 prioriterade fågelarter.docx", "A 25541-2023")</f>
        <v/>
      </c>
    </row>
    <row r="6" ht="15" customHeight="1">
      <c r="A6" t="inlineStr">
        <is>
          <t>A 50106-2023</t>
        </is>
      </c>
      <c r="B6" s="1" t="n">
        <v>45215</v>
      </c>
      <c r="C6" s="1" t="n">
        <v>45708</v>
      </c>
      <c r="D6" t="inlineStr">
        <is>
          <t>ÖREBRO LÄN</t>
        </is>
      </c>
      <c r="E6" t="inlineStr">
        <is>
          <t>DEGERFORS</t>
        </is>
      </c>
      <c r="F6" t="inlineStr">
        <is>
          <t>Sveaskog</t>
        </is>
      </c>
      <c r="G6" t="n">
        <v>6.2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Dropptaggsvamp
Grönpyrola
Tjäder</t>
        </is>
      </c>
      <c r="S6">
        <f>HYPERLINK("https://klasma.github.io/Logging_1862/artfynd/A 50106-2023 artfynd.xlsx", "A 50106-2023")</f>
        <v/>
      </c>
      <c r="T6">
        <f>HYPERLINK("https://klasma.github.io/Logging_1862/kartor/A 50106-2023 karta.png", "A 50106-2023")</f>
        <v/>
      </c>
      <c r="V6">
        <f>HYPERLINK("https://klasma.github.io/Logging_1862/klagomål/A 50106-2023 FSC-klagomål.docx", "A 50106-2023")</f>
        <v/>
      </c>
      <c r="W6">
        <f>HYPERLINK("https://klasma.github.io/Logging_1862/klagomålsmail/A 50106-2023 FSC-klagomål mail.docx", "A 50106-2023")</f>
        <v/>
      </c>
      <c r="X6">
        <f>HYPERLINK("https://klasma.github.io/Logging_1862/tillsyn/A 50106-2023 tillsynsbegäran.docx", "A 50106-2023")</f>
        <v/>
      </c>
      <c r="Y6">
        <f>HYPERLINK("https://klasma.github.io/Logging_1862/tillsynsmail/A 50106-2023 tillsynsbegäran mail.docx", "A 50106-2023")</f>
        <v/>
      </c>
      <c r="Z6">
        <f>HYPERLINK("https://klasma.github.io/Logging_1862/fåglar/A 50106-2023 prioriterade fågelarter.docx", "A 50106-2023")</f>
        <v/>
      </c>
    </row>
    <row r="7" ht="15" customHeight="1">
      <c r="A7" t="inlineStr">
        <is>
          <t>A 38916-2023</t>
        </is>
      </c>
      <c r="B7" s="1" t="n">
        <v>45163</v>
      </c>
      <c r="C7" s="1" t="n">
        <v>45708</v>
      </c>
      <c r="D7" t="inlineStr">
        <is>
          <t>ÖREBRO LÄN</t>
        </is>
      </c>
      <c r="E7" t="inlineStr">
        <is>
          <t>DEGERFORS</t>
        </is>
      </c>
      <c r="F7" t="inlineStr">
        <is>
          <t>Sveaskog</t>
        </is>
      </c>
      <c r="G7" t="n">
        <v>4.3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Grönpyrola
Tjäder</t>
        </is>
      </c>
      <c r="S7">
        <f>HYPERLINK("https://klasma.github.io/Logging_1862/artfynd/A 38916-2023 artfynd.xlsx", "A 38916-2023")</f>
        <v/>
      </c>
      <c r="T7">
        <f>HYPERLINK("https://klasma.github.io/Logging_1862/kartor/A 38916-2023 karta.png", "A 38916-2023")</f>
        <v/>
      </c>
      <c r="V7">
        <f>HYPERLINK("https://klasma.github.io/Logging_1862/klagomål/A 38916-2023 FSC-klagomål.docx", "A 38916-2023")</f>
        <v/>
      </c>
      <c r="W7">
        <f>HYPERLINK("https://klasma.github.io/Logging_1862/klagomålsmail/A 38916-2023 FSC-klagomål mail.docx", "A 38916-2023")</f>
        <v/>
      </c>
      <c r="X7">
        <f>HYPERLINK("https://klasma.github.io/Logging_1862/tillsyn/A 38916-2023 tillsynsbegäran.docx", "A 38916-2023")</f>
        <v/>
      </c>
      <c r="Y7">
        <f>HYPERLINK("https://klasma.github.io/Logging_1862/tillsynsmail/A 38916-2023 tillsynsbegäran mail.docx", "A 38916-2023")</f>
        <v/>
      </c>
      <c r="Z7">
        <f>HYPERLINK("https://klasma.github.io/Logging_1862/fåglar/A 38916-2023 prioriterade fågelarter.docx", "A 38916-2023")</f>
        <v/>
      </c>
    </row>
    <row r="8" ht="15" customHeight="1">
      <c r="A8" t="inlineStr">
        <is>
          <t>A 48112-2023</t>
        </is>
      </c>
      <c r="B8" s="1" t="n">
        <v>45205</v>
      </c>
      <c r="C8" s="1" t="n">
        <v>45708</v>
      </c>
      <c r="D8" t="inlineStr">
        <is>
          <t>ÖREBRO LÄN</t>
        </is>
      </c>
      <c r="E8" t="inlineStr">
        <is>
          <t>DEGERFORS</t>
        </is>
      </c>
      <c r="F8" t="inlineStr">
        <is>
          <t>Sveaskog</t>
        </is>
      </c>
      <c r="G8" t="n">
        <v>4.6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Grönpyrola</t>
        </is>
      </c>
      <c r="S8">
        <f>HYPERLINK("https://klasma.github.io/Logging_1862/artfynd/A 48112-2023 artfynd.xlsx", "A 48112-2023")</f>
        <v/>
      </c>
      <c r="T8">
        <f>HYPERLINK("https://klasma.github.io/Logging_1862/kartor/A 48112-2023 karta.png", "A 48112-2023")</f>
        <v/>
      </c>
      <c r="U8">
        <f>HYPERLINK("https://klasma.github.io/Logging_1862/knärot/A 48112-2023 karta knärot.png", "A 48112-2023")</f>
        <v/>
      </c>
      <c r="V8">
        <f>HYPERLINK("https://klasma.github.io/Logging_1862/klagomål/A 48112-2023 FSC-klagomål.docx", "A 48112-2023")</f>
        <v/>
      </c>
      <c r="W8">
        <f>HYPERLINK("https://klasma.github.io/Logging_1862/klagomålsmail/A 48112-2023 FSC-klagomål mail.docx", "A 48112-2023")</f>
        <v/>
      </c>
      <c r="X8">
        <f>HYPERLINK("https://klasma.github.io/Logging_1862/tillsyn/A 48112-2023 tillsynsbegäran.docx", "A 48112-2023")</f>
        <v/>
      </c>
      <c r="Y8">
        <f>HYPERLINK("https://klasma.github.io/Logging_1862/tillsynsmail/A 48112-2023 tillsynsbegäran mail.docx", "A 48112-2023")</f>
        <v/>
      </c>
    </row>
    <row r="9" ht="15" customHeight="1">
      <c r="A9" t="inlineStr">
        <is>
          <t>A 54134-2021</t>
        </is>
      </c>
      <c r="B9" s="1" t="n">
        <v>44470</v>
      </c>
      <c r="C9" s="1" t="n">
        <v>45708</v>
      </c>
      <c r="D9" t="inlineStr">
        <is>
          <t>ÖREBRO LÄN</t>
        </is>
      </c>
      <c r="E9" t="inlineStr">
        <is>
          <t>DEGERFORS</t>
        </is>
      </c>
      <c r="F9" t="inlineStr">
        <is>
          <t>Sveaskog</t>
        </is>
      </c>
      <c r="G9" t="n">
        <v>2.3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Vedtrappmossa</t>
        </is>
      </c>
      <c r="S9">
        <f>HYPERLINK("https://klasma.github.io/Logging_1862/artfynd/A 54134-2021 artfynd.xlsx", "A 54134-2021")</f>
        <v/>
      </c>
      <c r="T9">
        <f>HYPERLINK("https://klasma.github.io/Logging_1862/kartor/A 54134-2021 karta.png", "A 54134-2021")</f>
        <v/>
      </c>
      <c r="V9">
        <f>HYPERLINK("https://klasma.github.io/Logging_1862/klagomål/A 54134-2021 FSC-klagomål.docx", "A 54134-2021")</f>
        <v/>
      </c>
      <c r="W9">
        <f>HYPERLINK("https://klasma.github.io/Logging_1862/klagomålsmail/A 54134-2021 FSC-klagomål mail.docx", "A 54134-2021")</f>
        <v/>
      </c>
      <c r="X9">
        <f>HYPERLINK("https://klasma.github.io/Logging_1862/tillsyn/A 54134-2021 tillsynsbegäran.docx", "A 54134-2021")</f>
        <v/>
      </c>
      <c r="Y9">
        <f>HYPERLINK("https://klasma.github.io/Logging_1862/tillsynsmail/A 54134-2021 tillsynsbegäran mail.docx", "A 54134-2021")</f>
        <v/>
      </c>
    </row>
    <row r="10" ht="15" customHeight="1">
      <c r="A10" t="inlineStr">
        <is>
          <t>A 58132-2021</t>
        </is>
      </c>
      <c r="B10" s="1" t="n">
        <v>44487</v>
      </c>
      <c r="C10" s="1" t="n">
        <v>45708</v>
      </c>
      <c r="D10" t="inlineStr">
        <is>
          <t>ÖREBRO LÄN</t>
        </is>
      </c>
      <c r="E10" t="inlineStr">
        <is>
          <t>DEGERFORS</t>
        </is>
      </c>
      <c r="F10" t="inlineStr">
        <is>
          <t>Sveaskog</t>
        </is>
      </c>
      <c r="G10" t="n">
        <v>1.2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Hårklomossa</t>
        </is>
      </c>
      <c r="S10">
        <f>HYPERLINK("https://klasma.github.io/Logging_1862/artfynd/A 58132-2021 artfynd.xlsx", "A 58132-2021")</f>
        <v/>
      </c>
      <c r="T10">
        <f>HYPERLINK("https://klasma.github.io/Logging_1862/kartor/A 58132-2021 karta.png", "A 58132-2021")</f>
        <v/>
      </c>
      <c r="V10">
        <f>HYPERLINK("https://klasma.github.io/Logging_1862/klagomål/A 58132-2021 FSC-klagomål.docx", "A 58132-2021")</f>
        <v/>
      </c>
      <c r="W10">
        <f>HYPERLINK("https://klasma.github.io/Logging_1862/klagomålsmail/A 58132-2021 FSC-klagomål mail.docx", "A 58132-2021")</f>
        <v/>
      </c>
      <c r="X10">
        <f>HYPERLINK("https://klasma.github.io/Logging_1862/tillsyn/A 58132-2021 tillsynsbegäran.docx", "A 58132-2021")</f>
        <v/>
      </c>
      <c r="Y10">
        <f>HYPERLINK("https://klasma.github.io/Logging_1862/tillsynsmail/A 58132-2021 tillsynsbegäran mail.docx", "A 58132-2021")</f>
        <v/>
      </c>
    </row>
    <row r="11" ht="15" customHeight="1">
      <c r="A11" t="inlineStr">
        <is>
          <t>A 47569-2022</t>
        </is>
      </c>
      <c r="B11" s="1" t="n">
        <v>44853</v>
      </c>
      <c r="C11" s="1" t="n">
        <v>45708</v>
      </c>
      <c r="D11" t="inlineStr">
        <is>
          <t>ÖREBRO LÄN</t>
        </is>
      </c>
      <c r="E11" t="inlineStr">
        <is>
          <t>DEGERFORS</t>
        </is>
      </c>
      <c r="G11" t="n">
        <v>2.5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Färgginst</t>
        </is>
      </c>
      <c r="S11">
        <f>HYPERLINK("https://klasma.github.io/Logging_1862/artfynd/A 47569-2022 artfynd.xlsx", "A 47569-2022")</f>
        <v/>
      </c>
      <c r="T11">
        <f>HYPERLINK("https://klasma.github.io/Logging_1862/kartor/A 47569-2022 karta.png", "A 47569-2022")</f>
        <v/>
      </c>
      <c r="V11">
        <f>HYPERLINK("https://klasma.github.io/Logging_1862/klagomål/A 47569-2022 FSC-klagomål.docx", "A 47569-2022")</f>
        <v/>
      </c>
      <c r="W11">
        <f>HYPERLINK("https://klasma.github.io/Logging_1862/klagomålsmail/A 47569-2022 FSC-klagomål mail.docx", "A 47569-2022")</f>
        <v/>
      </c>
      <c r="X11">
        <f>HYPERLINK("https://klasma.github.io/Logging_1862/tillsyn/A 47569-2022 tillsynsbegäran.docx", "A 47569-2022")</f>
        <v/>
      </c>
      <c r="Y11">
        <f>HYPERLINK("https://klasma.github.io/Logging_1862/tillsynsmail/A 47569-2022 tillsynsbegäran mail.docx", "A 47569-2022")</f>
        <v/>
      </c>
    </row>
    <row r="12" ht="15" customHeight="1">
      <c r="A12" t="inlineStr">
        <is>
          <t>A 7384-2023</t>
        </is>
      </c>
      <c r="B12" s="1" t="n">
        <v>44966</v>
      </c>
      <c r="C12" s="1" t="n">
        <v>45708</v>
      </c>
      <c r="D12" t="inlineStr">
        <is>
          <t>ÖREBRO LÄN</t>
        </is>
      </c>
      <c r="E12" t="inlineStr">
        <is>
          <t>DEGERFORS</t>
        </is>
      </c>
      <c r="F12" t="inlineStr">
        <is>
          <t>Sveaskog</t>
        </is>
      </c>
      <c r="G12" t="n">
        <v>10.9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Skogsklocka</t>
        </is>
      </c>
      <c r="S12">
        <f>HYPERLINK("https://klasma.github.io/Logging_1862/artfynd/A 7384-2023 artfynd.xlsx", "A 7384-2023")</f>
        <v/>
      </c>
      <c r="T12">
        <f>HYPERLINK("https://klasma.github.io/Logging_1862/kartor/A 7384-2023 karta.png", "A 7384-2023")</f>
        <v/>
      </c>
      <c r="V12">
        <f>HYPERLINK("https://klasma.github.io/Logging_1862/klagomål/A 7384-2023 FSC-klagomål.docx", "A 7384-2023")</f>
        <v/>
      </c>
      <c r="W12">
        <f>HYPERLINK("https://klasma.github.io/Logging_1862/klagomålsmail/A 7384-2023 FSC-klagomål mail.docx", "A 7384-2023")</f>
        <v/>
      </c>
      <c r="X12">
        <f>HYPERLINK("https://klasma.github.io/Logging_1862/tillsyn/A 7384-2023 tillsynsbegäran.docx", "A 7384-2023")</f>
        <v/>
      </c>
      <c r="Y12">
        <f>HYPERLINK("https://klasma.github.io/Logging_1862/tillsynsmail/A 7384-2023 tillsynsbegäran mail.docx", "A 7384-2023")</f>
        <v/>
      </c>
    </row>
    <row r="13" ht="15" customHeight="1">
      <c r="A13" t="inlineStr">
        <is>
          <t>A 27088-2023</t>
        </is>
      </c>
      <c r="B13" s="1" t="n">
        <v>45096</v>
      </c>
      <c r="C13" s="1" t="n">
        <v>45708</v>
      </c>
      <c r="D13" t="inlineStr">
        <is>
          <t>ÖREBRO LÄN</t>
        </is>
      </c>
      <c r="E13" t="inlineStr">
        <is>
          <t>DEGERFORS</t>
        </is>
      </c>
      <c r="F13" t="inlineStr">
        <is>
          <t>Sveaskog</t>
        </is>
      </c>
      <c r="G13" t="n">
        <v>2.6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Stubbspretmossa</t>
        </is>
      </c>
      <c r="S13">
        <f>HYPERLINK("https://klasma.github.io/Logging_1862/artfynd/A 27088-2023 artfynd.xlsx", "A 27088-2023")</f>
        <v/>
      </c>
      <c r="T13">
        <f>HYPERLINK("https://klasma.github.io/Logging_1862/kartor/A 27088-2023 karta.png", "A 27088-2023")</f>
        <v/>
      </c>
      <c r="V13">
        <f>HYPERLINK("https://klasma.github.io/Logging_1862/klagomål/A 27088-2023 FSC-klagomål.docx", "A 27088-2023")</f>
        <v/>
      </c>
      <c r="W13">
        <f>HYPERLINK("https://klasma.github.io/Logging_1862/klagomålsmail/A 27088-2023 FSC-klagomål mail.docx", "A 27088-2023")</f>
        <v/>
      </c>
      <c r="X13">
        <f>HYPERLINK("https://klasma.github.io/Logging_1862/tillsyn/A 27088-2023 tillsynsbegäran.docx", "A 27088-2023")</f>
        <v/>
      </c>
      <c r="Y13">
        <f>HYPERLINK("https://klasma.github.io/Logging_1862/tillsynsmail/A 27088-2023 tillsynsbegäran mail.docx", "A 27088-2023")</f>
        <v/>
      </c>
    </row>
    <row r="14" ht="15" customHeight="1">
      <c r="A14" t="inlineStr">
        <is>
          <t>A 27093-2023</t>
        </is>
      </c>
      <c r="B14" s="1" t="n">
        <v>45096</v>
      </c>
      <c r="C14" s="1" t="n">
        <v>45708</v>
      </c>
      <c r="D14" t="inlineStr">
        <is>
          <t>ÖREBRO LÄN</t>
        </is>
      </c>
      <c r="E14" t="inlineStr">
        <is>
          <t>DEGERFORS</t>
        </is>
      </c>
      <c r="F14" t="inlineStr">
        <is>
          <t>Sveaskog</t>
        </is>
      </c>
      <c r="G14" t="n">
        <v>5.9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Tjäder</t>
        </is>
      </c>
      <c r="S14">
        <f>HYPERLINK("https://klasma.github.io/Logging_1862/artfynd/A 27093-2023 artfynd.xlsx", "A 27093-2023")</f>
        <v/>
      </c>
      <c r="T14">
        <f>HYPERLINK("https://klasma.github.io/Logging_1862/kartor/A 27093-2023 karta.png", "A 27093-2023")</f>
        <v/>
      </c>
      <c r="V14">
        <f>HYPERLINK("https://klasma.github.io/Logging_1862/klagomål/A 27093-2023 FSC-klagomål.docx", "A 27093-2023")</f>
        <v/>
      </c>
      <c r="W14">
        <f>HYPERLINK("https://klasma.github.io/Logging_1862/klagomålsmail/A 27093-2023 FSC-klagomål mail.docx", "A 27093-2023")</f>
        <v/>
      </c>
      <c r="X14">
        <f>HYPERLINK("https://klasma.github.io/Logging_1862/tillsyn/A 27093-2023 tillsynsbegäran.docx", "A 27093-2023")</f>
        <v/>
      </c>
      <c r="Y14">
        <f>HYPERLINK("https://klasma.github.io/Logging_1862/tillsynsmail/A 27093-2023 tillsynsbegäran mail.docx", "A 27093-2023")</f>
        <v/>
      </c>
      <c r="Z14">
        <f>HYPERLINK("https://klasma.github.io/Logging_1862/fåglar/A 27093-2023 prioriterade fågelarter.docx", "A 27093-2023")</f>
        <v/>
      </c>
    </row>
    <row r="15" ht="15" customHeight="1">
      <c r="A15" t="inlineStr">
        <is>
          <t>A 41520-2023</t>
        </is>
      </c>
      <c r="B15" s="1" t="n">
        <v>45175</v>
      </c>
      <c r="C15" s="1" t="n">
        <v>45708</v>
      </c>
      <c r="D15" t="inlineStr">
        <is>
          <t>ÖREBRO LÄN</t>
        </is>
      </c>
      <c r="E15" t="inlineStr">
        <is>
          <t>DEGERFORS</t>
        </is>
      </c>
      <c r="F15" t="inlineStr">
        <is>
          <t>Sveaskog</t>
        </is>
      </c>
      <c r="G15" t="n">
        <v>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Tretåig hackspett</t>
        </is>
      </c>
      <c r="S15">
        <f>HYPERLINK("https://klasma.github.io/Logging_1862/artfynd/A 41520-2023 artfynd.xlsx", "A 41520-2023")</f>
        <v/>
      </c>
      <c r="T15">
        <f>HYPERLINK("https://klasma.github.io/Logging_1862/kartor/A 41520-2023 karta.png", "A 41520-2023")</f>
        <v/>
      </c>
      <c r="V15">
        <f>HYPERLINK("https://klasma.github.io/Logging_1862/klagomål/A 41520-2023 FSC-klagomål.docx", "A 41520-2023")</f>
        <v/>
      </c>
      <c r="W15">
        <f>HYPERLINK("https://klasma.github.io/Logging_1862/klagomålsmail/A 41520-2023 FSC-klagomål mail.docx", "A 41520-2023")</f>
        <v/>
      </c>
      <c r="X15">
        <f>HYPERLINK("https://klasma.github.io/Logging_1862/tillsyn/A 41520-2023 tillsynsbegäran.docx", "A 41520-2023")</f>
        <v/>
      </c>
      <c r="Y15">
        <f>HYPERLINK("https://klasma.github.io/Logging_1862/tillsynsmail/A 41520-2023 tillsynsbegäran mail.docx", "A 41520-2023")</f>
        <v/>
      </c>
      <c r="Z15">
        <f>HYPERLINK("https://klasma.github.io/Logging_1862/fåglar/A 41520-2023 prioriterade fågelarter.docx", "A 41520-2023")</f>
        <v/>
      </c>
    </row>
    <row r="16" ht="15" customHeight="1">
      <c r="A16" t="inlineStr">
        <is>
          <t>A 41519-2023</t>
        </is>
      </c>
      <c r="B16" s="1" t="n">
        <v>45175</v>
      </c>
      <c r="C16" s="1" t="n">
        <v>45708</v>
      </c>
      <c r="D16" t="inlineStr">
        <is>
          <t>ÖREBRO LÄN</t>
        </is>
      </c>
      <c r="E16" t="inlineStr">
        <is>
          <t>DEGERFORS</t>
        </is>
      </c>
      <c r="F16" t="inlineStr">
        <is>
          <t>Sveaskog</t>
        </is>
      </c>
      <c r="G16" t="n">
        <v>3.3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Tretåig hackspett</t>
        </is>
      </c>
      <c r="S16">
        <f>HYPERLINK("https://klasma.github.io/Logging_1862/artfynd/A 41519-2023 artfynd.xlsx", "A 41519-2023")</f>
        <v/>
      </c>
      <c r="T16">
        <f>HYPERLINK("https://klasma.github.io/Logging_1862/kartor/A 41519-2023 karta.png", "A 41519-2023")</f>
        <v/>
      </c>
      <c r="V16">
        <f>HYPERLINK("https://klasma.github.io/Logging_1862/klagomål/A 41519-2023 FSC-klagomål.docx", "A 41519-2023")</f>
        <v/>
      </c>
      <c r="W16">
        <f>HYPERLINK("https://klasma.github.io/Logging_1862/klagomålsmail/A 41519-2023 FSC-klagomål mail.docx", "A 41519-2023")</f>
        <v/>
      </c>
      <c r="X16">
        <f>HYPERLINK("https://klasma.github.io/Logging_1862/tillsyn/A 41519-2023 tillsynsbegäran.docx", "A 41519-2023")</f>
        <v/>
      </c>
      <c r="Y16">
        <f>HYPERLINK("https://klasma.github.io/Logging_1862/tillsynsmail/A 41519-2023 tillsynsbegäran mail.docx", "A 41519-2023")</f>
        <v/>
      </c>
      <c r="Z16">
        <f>HYPERLINK("https://klasma.github.io/Logging_1862/fåglar/A 41519-2023 prioriterade fågelarter.docx", "A 41519-2023")</f>
        <v/>
      </c>
    </row>
    <row r="17" ht="15" customHeight="1">
      <c r="A17" t="inlineStr">
        <is>
          <t>A 44858-2023</t>
        </is>
      </c>
      <c r="B17" s="1" t="n">
        <v>45190</v>
      </c>
      <c r="C17" s="1" t="n">
        <v>45708</v>
      </c>
      <c r="D17" t="inlineStr">
        <is>
          <t>ÖREBRO LÄN</t>
        </is>
      </c>
      <c r="E17" t="inlineStr">
        <is>
          <t>DEGERFORS</t>
        </is>
      </c>
      <c r="F17" t="inlineStr">
        <is>
          <t>Sveaskog</t>
        </is>
      </c>
      <c r="G17" t="n">
        <v>14.6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Tjäder</t>
        </is>
      </c>
      <c r="S17">
        <f>HYPERLINK("https://klasma.github.io/Logging_1862/artfynd/A 44858-2023 artfynd.xlsx", "A 44858-2023")</f>
        <v/>
      </c>
      <c r="T17">
        <f>HYPERLINK("https://klasma.github.io/Logging_1862/kartor/A 44858-2023 karta.png", "A 44858-2023")</f>
        <v/>
      </c>
      <c r="V17">
        <f>HYPERLINK("https://klasma.github.io/Logging_1862/klagomål/A 44858-2023 FSC-klagomål.docx", "A 44858-2023")</f>
        <v/>
      </c>
      <c r="W17">
        <f>HYPERLINK("https://klasma.github.io/Logging_1862/klagomålsmail/A 44858-2023 FSC-klagomål mail.docx", "A 44858-2023")</f>
        <v/>
      </c>
      <c r="X17">
        <f>HYPERLINK("https://klasma.github.io/Logging_1862/tillsyn/A 44858-2023 tillsynsbegäran.docx", "A 44858-2023")</f>
        <v/>
      </c>
      <c r="Y17">
        <f>HYPERLINK("https://klasma.github.io/Logging_1862/tillsynsmail/A 44858-2023 tillsynsbegäran mail.docx", "A 44858-2023")</f>
        <v/>
      </c>
      <c r="Z17">
        <f>HYPERLINK("https://klasma.github.io/Logging_1862/fåglar/A 44858-2023 prioriterade fågelarter.docx", "A 44858-2023")</f>
        <v/>
      </c>
    </row>
    <row r="18" ht="15" customHeight="1">
      <c r="A18" t="inlineStr">
        <is>
          <t>A 48284-2023</t>
        </is>
      </c>
      <c r="B18" s="1" t="n">
        <v>45205</v>
      </c>
      <c r="C18" s="1" t="n">
        <v>45708</v>
      </c>
      <c r="D18" t="inlineStr">
        <is>
          <t>ÖREBRO LÄN</t>
        </is>
      </c>
      <c r="E18" t="inlineStr">
        <is>
          <t>DEGERFORS</t>
        </is>
      </c>
      <c r="F18" t="inlineStr">
        <is>
          <t>Sveaskog</t>
        </is>
      </c>
      <c r="G18" t="n">
        <v>6.7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Tretåig hackspett</t>
        </is>
      </c>
      <c r="S18">
        <f>HYPERLINK("https://klasma.github.io/Logging_1862/artfynd/A 48284-2023 artfynd.xlsx", "A 48284-2023")</f>
        <v/>
      </c>
      <c r="T18">
        <f>HYPERLINK("https://klasma.github.io/Logging_1862/kartor/A 48284-2023 karta.png", "A 48284-2023")</f>
        <v/>
      </c>
      <c r="V18">
        <f>HYPERLINK("https://klasma.github.io/Logging_1862/klagomål/A 48284-2023 FSC-klagomål.docx", "A 48284-2023")</f>
        <v/>
      </c>
      <c r="W18">
        <f>HYPERLINK("https://klasma.github.io/Logging_1862/klagomålsmail/A 48284-2023 FSC-klagomål mail.docx", "A 48284-2023")</f>
        <v/>
      </c>
      <c r="X18">
        <f>HYPERLINK("https://klasma.github.io/Logging_1862/tillsyn/A 48284-2023 tillsynsbegäran.docx", "A 48284-2023")</f>
        <v/>
      </c>
      <c r="Y18">
        <f>HYPERLINK("https://klasma.github.io/Logging_1862/tillsynsmail/A 48284-2023 tillsynsbegäran mail.docx", "A 48284-2023")</f>
        <v/>
      </c>
      <c r="Z18">
        <f>HYPERLINK("https://klasma.github.io/Logging_1862/fåglar/A 48284-2023 prioriterade fågelarter.docx", "A 48284-2023")</f>
        <v/>
      </c>
    </row>
    <row r="19" ht="15" customHeight="1">
      <c r="A19" t="inlineStr">
        <is>
          <t>A 51630-2023</t>
        </is>
      </c>
      <c r="B19" s="1" t="n">
        <v>45222</v>
      </c>
      <c r="C19" s="1" t="n">
        <v>45708</v>
      </c>
      <c r="D19" t="inlineStr">
        <is>
          <t>ÖREBRO LÄN</t>
        </is>
      </c>
      <c r="E19" t="inlineStr">
        <is>
          <t>DEGERFORS</t>
        </is>
      </c>
      <c r="F19" t="inlineStr">
        <is>
          <t>Sveaskog</t>
        </is>
      </c>
      <c r="G19" t="n">
        <v>4.5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Sångsvan</t>
        </is>
      </c>
      <c r="S19">
        <f>HYPERLINK("https://klasma.github.io/Logging_1862/artfynd/A 51630-2023 artfynd.xlsx", "A 51630-2023")</f>
        <v/>
      </c>
      <c r="T19">
        <f>HYPERLINK("https://klasma.github.io/Logging_1862/kartor/A 51630-2023 karta.png", "A 51630-2023")</f>
        <v/>
      </c>
      <c r="V19">
        <f>HYPERLINK("https://klasma.github.io/Logging_1862/klagomål/A 51630-2023 FSC-klagomål.docx", "A 51630-2023")</f>
        <v/>
      </c>
      <c r="W19">
        <f>HYPERLINK("https://klasma.github.io/Logging_1862/klagomålsmail/A 51630-2023 FSC-klagomål mail.docx", "A 51630-2023")</f>
        <v/>
      </c>
      <c r="X19">
        <f>HYPERLINK("https://klasma.github.io/Logging_1862/tillsyn/A 51630-2023 tillsynsbegäran.docx", "A 51630-2023")</f>
        <v/>
      </c>
      <c r="Y19">
        <f>HYPERLINK("https://klasma.github.io/Logging_1862/tillsynsmail/A 51630-2023 tillsynsbegäran mail.docx", "A 51630-2023")</f>
        <v/>
      </c>
      <c r="Z19">
        <f>HYPERLINK("https://klasma.github.io/Logging_1862/fåglar/A 51630-2023 prioriterade fågelarter.docx", "A 51630-2023")</f>
        <v/>
      </c>
    </row>
    <row r="20" ht="15" customHeight="1">
      <c r="A20" t="inlineStr">
        <is>
          <t>A 53895-2023</t>
        </is>
      </c>
      <c r="B20" s="1" t="n">
        <v>45224</v>
      </c>
      <c r="C20" s="1" t="n">
        <v>45708</v>
      </c>
      <c r="D20" t="inlineStr">
        <is>
          <t>ÖREBRO LÄN</t>
        </is>
      </c>
      <c r="E20" t="inlineStr">
        <is>
          <t>DEGERFORS</t>
        </is>
      </c>
      <c r="G20" t="n">
        <v>2.1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HYPERLINK("https://klasma.github.io/Logging_1862/artfynd/A 53895-2023 artfynd.xlsx", "A 53895-2023")</f>
        <v/>
      </c>
      <c r="T20">
        <f>HYPERLINK("https://klasma.github.io/Logging_1862/kartor/A 53895-2023 karta.png", "A 53895-2023")</f>
        <v/>
      </c>
      <c r="V20">
        <f>HYPERLINK("https://klasma.github.io/Logging_1862/klagomål/A 53895-2023 FSC-klagomål.docx", "A 53895-2023")</f>
        <v/>
      </c>
      <c r="W20">
        <f>HYPERLINK("https://klasma.github.io/Logging_1862/klagomålsmail/A 53895-2023 FSC-klagomål mail.docx", "A 53895-2023")</f>
        <v/>
      </c>
      <c r="X20">
        <f>HYPERLINK("https://klasma.github.io/Logging_1862/tillsyn/A 53895-2023 tillsynsbegäran.docx", "A 53895-2023")</f>
        <v/>
      </c>
      <c r="Y20">
        <f>HYPERLINK("https://klasma.github.io/Logging_1862/tillsynsmail/A 53895-2023 tillsynsbegäran mail.docx", "A 53895-2023")</f>
        <v/>
      </c>
    </row>
    <row r="21" ht="15" customHeight="1">
      <c r="A21" t="inlineStr">
        <is>
          <t>A 12720-2024</t>
        </is>
      </c>
      <c r="B21" s="1" t="n">
        <v>45384</v>
      </c>
      <c r="C21" s="1" t="n">
        <v>45708</v>
      </c>
      <c r="D21" t="inlineStr">
        <is>
          <t>ÖREBRO LÄN</t>
        </is>
      </c>
      <c r="E21" t="inlineStr">
        <is>
          <t>DEGERFORS</t>
        </is>
      </c>
      <c r="F21" t="inlineStr">
        <is>
          <t>Sveaskog</t>
        </is>
      </c>
      <c r="G21" t="n">
        <v>5.1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Tretåig hackspett</t>
        </is>
      </c>
      <c r="S21">
        <f>HYPERLINK("https://klasma.github.io/Logging_1862/artfynd/A 12720-2024 artfynd.xlsx", "A 12720-2024")</f>
        <v/>
      </c>
      <c r="T21">
        <f>HYPERLINK("https://klasma.github.io/Logging_1862/kartor/A 12720-2024 karta.png", "A 12720-2024")</f>
        <v/>
      </c>
      <c r="V21">
        <f>HYPERLINK("https://klasma.github.io/Logging_1862/klagomål/A 12720-2024 FSC-klagomål.docx", "A 12720-2024")</f>
        <v/>
      </c>
      <c r="W21">
        <f>HYPERLINK("https://klasma.github.io/Logging_1862/klagomålsmail/A 12720-2024 FSC-klagomål mail.docx", "A 12720-2024")</f>
        <v/>
      </c>
      <c r="X21">
        <f>HYPERLINK("https://klasma.github.io/Logging_1862/tillsyn/A 12720-2024 tillsynsbegäran.docx", "A 12720-2024")</f>
        <v/>
      </c>
      <c r="Y21">
        <f>HYPERLINK("https://klasma.github.io/Logging_1862/tillsynsmail/A 12720-2024 tillsynsbegäran mail.docx", "A 12720-2024")</f>
        <v/>
      </c>
      <c r="Z21">
        <f>HYPERLINK("https://klasma.github.io/Logging_1862/fåglar/A 12720-2024 prioriterade fågelarter.docx", "A 12720-2024")</f>
        <v/>
      </c>
    </row>
    <row r="22" ht="15" customHeight="1">
      <c r="A22" t="inlineStr">
        <is>
          <t>A 21951-2024</t>
        </is>
      </c>
      <c r="B22" s="1" t="n">
        <v>45443</v>
      </c>
      <c r="C22" s="1" t="n">
        <v>45708</v>
      </c>
      <c r="D22" t="inlineStr">
        <is>
          <t>ÖREBRO LÄN</t>
        </is>
      </c>
      <c r="E22" t="inlineStr">
        <is>
          <t>DEGERFORS</t>
        </is>
      </c>
      <c r="F22" t="inlineStr">
        <is>
          <t>Sveaskog</t>
        </is>
      </c>
      <c r="G22" t="n">
        <v>5.1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Strandlummer</t>
        </is>
      </c>
      <c r="S22">
        <f>HYPERLINK("https://klasma.github.io/Logging_1862/artfynd/A 21951-2024 artfynd.xlsx", "A 21951-2024")</f>
        <v/>
      </c>
      <c r="T22">
        <f>HYPERLINK("https://klasma.github.io/Logging_1862/kartor/A 21951-2024 karta.png", "A 21951-2024")</f>
        <v/>
      </c>
      <c r="V22">
        <f>HYPERLINK("https://klasma.github.io/Logging_1862/klagomål/A 21951-2024 FSC-klagomål.docx", "A 21951-2024")</f>
        <v/>
      </c>
      <c r="W22">
        <f>HYPERLINK("https://klasma.github.io/Logging_1862/klagomålsmail/A 21951-2024 FSC-klagomål mail.docx", "A 21951-2024")</f>
        <v/>
      </c>
      <c r="X22">
        <f>HYPERLINK("https://klasma.github.io/Logging_1862/tillsyn/A 21951-2024 tillsynsbegäran.docx", "A 21951-2024")</f>
        <v/>
      </c>
      <c r="Y22">
        <f>HYPERLINK("https://klasma.github.io/Logging_1862/tillsynsmail/A 21951-2024 tillsynsbegäran mail.docx", "A 21951-2024")</f>
        <v/>
      </c>
    </row>
    <row r="23" ht="15" customHeight="1">
      <c r="A23" t="inlineStr">
        <is>
          <t>A 47917-2024</t>
        </is>
      </c>
      <c r="B23" s="1" t="n">
        <v>45589</v>
      </c>
      <c r="C23" s="1" t="n">
        <v>45708</v>
      </c>
      <c r="D23" t="inlineStr">
        <is>
          <t>ÖREBRO LÄN</t>
        </is>
      </c>
      <c r="E23" t="inlineStr">
        <is>
          <t>DEGERFORS</t>
        </is>
      </c>
      <c r="F23" t="inlineStr">
        <is>
          <t>Sveaskog</t>
        </is>
      </c>
      <c r="G23" t="n">
        <v>5.8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HYPERLINK("https://klasma.github.io/Logging_1862/artfynd/A 47917-2024 artfynd.xlsx", "A 47917-2024")</f>
        <v/>
      </c>
      <c r="T23">
        <f>HYPERLINK("https://klasma.github.io/Logging_1862/kartor/A 47917-2024 karta.png", "A 47917-2024")</f>
        <v/>
      </c>
      <c r="V23">
        <f>HYPERLINK("https://klasma.github.io/Logging_1862/klagomål/A 47917-2024 FSC-klagomål.docx", "A 47917-2024")</f>
        <v/>
      </c>
      <c r="W23">
        <f>HYPERLINK("https://klasma.github.io/Logging_1862/klagomålsmail/A 47917-2024 FSC-klagomål mail.docx", "A 47917-2024")</f>
        <v/>
      </c>
      <c r="X23">
        <f>HYPERLINK("https://klasma.github.io/Logging_1862/tillsyn/A 47917-2024 tillsynsbegäran.docx", "A 47917-2024")</f>
        <v/>
      </c>
      <c r="Y23">
        <f>HYPERLINK("https://klasma.github.io/Logging_1862/tillsynsmail/A 47917-2024 tillsynsbegäran mail.docx", "A 47917-2024")</f>
        <v/>
      </c>
    </row>
    <row r="24" ht="15" customHeight="1">
      <c r="A24" t="inlineStr">
        <is>
          <t>A 47915-2024</t>
        </is>
      </c>
      <c r="B24" s="1" t="n">
        <v>45589</v>
      </c>
      <c r="C24" s="1" t="n">
        <v>45708</v>
      </c>
      <c r="D24" t="inlineStr">
        <is>
          <t>ÖREBRO LÄN</t>
        </is>
      </c>
      <c r="E24" t="inlineStr">
        <is>
          <t>DEGERFORS</t>
        </is>
      </c>
      <c r="F24" t="inlineStr">
        <is>
          <t>Sveaskog</t>
        </is>
      </c>
      <c r="G24" t="n">
        <v>5.8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HYPERLINK("https://klasma.github.io/Logging_1862/artfynd/A 47915-2024 artfynd.xlsx", "A 47915-2024")</f>
        <v/>
      </c>
      <c r="T24">
        <f>HYPERLINK("https://klasma.github.io/Logging_1862/kartor/A 47915-2024 karta.png", "A 47915-2024")</f>
        <v/>
      </c>
      <c r="V24">
        <f>HYPERLINK("https://klasma.github.io/Logging_1862/klagomål/A 47915-2024 FSC-klagomål.docx", "A 47915-2024")</f>
        <v/>
      </c>
      <c r="W24">
        <f>HYPERLINK("https://klasma.github.io/Logging_1862/klagomålsmail/A 47915-2024 FSC-klagomål mail.docx", "A 47915-2024")</f>
        <v/>
      </c>
      <c r="X24">
        <f>HYPERLINK("https://klasma.github.io/Logging_1862/tillsyn/A 47915-2024 tillsynsbegäran.docx", "A 47915-2024")</f>
        <v/>
      </c>
      <c r="Y24">
        <f>HYPERLINK("https://klasma.github.io/Logging_1862/tillsynsmail/A 47915-2024 tillsynsbegäran mail.docx", "A 47915-2024")</f>
        <v/>
      </c>
    </row>
    <row r="25" ht="15" customHeight="1">
      <c r="A25" t="inlineStr">
        <is>
          <t>A 17842-2019</t>
        </is>
      </c>
      <c r="B25" s="1" t="n">
        <v>43556</v>
      </c>
      <c r="C25" s="1" t="n">
        <v>45708</v>
      </c>
      <c r="D25" t="inlineStr">
        <is>
          <t>ÖREBRO LÄN</t>
        </is>
      </c>
      <c r="E25" t="inlineStr">
        <is>
          <t>DEGERFORS</t>
        </is>
      </c>
      <c r="G25" t="n">
        <v>2.9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20506-2019</t>
        </is>
      </c>
      <c r="B26" s="1" t="n">
        <v>43572</v>
      </c>
      <c r="C26" s="1" t="n">
        <v>45708</v>
      </c>
      <c r="D26" t="inlineStr">
        <is>
          <t>ÖREBRO LÄN</t>
        </is>
      </c>
      <c r="E26" t="inlineStr">
        <is>
          <t>DEGERFORS</t>
        </is>
      </c>
      <c r="F26" t="inlineStr">
        <is>
          <t>Sveaskog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20514-2019</t>
        </is>
      </c>
      <c r="B27" s="1" t="n">
        <v>43572</v>
      </c>
      <c r="C27" s="1" t="n">
        <v>45708</v>
      </c>
      <c r="D27" t="inlineStr">
        <is>
          <t>ÖREBRO LÄN</t>
        </is>
      </c>
      <c r="E27" t="inlineStr">
        <is>
          <t>DEGERFORS</t>
        </is>
      </c>
      <c r="F27" t="inlineStr">
        <is>
          <t>Sveaskog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25224-2019</t>
        </is>
      </c>
      <c r="B28" s="1" t="n">
        <v>43601</v>
      </c>
      <c r="C28" s="1" t="n">
        <v>45708</v>
      </c>
      <c r="D28" t="inlineStr">
        <is>
          <t>ÖREBRO LÄN</t>
        </is>
      </c>
      <c r="E28" t="inlineStr">
        <is>
          <t>DEGERFORS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25071-2019</t>
        </is>
      </c>
      <c r="B29" s="1" t="n">
        <v>43601</v>
      </c>
      <c r="C29" s="1" t="n">
        <v>45708</v>
      </c>
      <c r="D29" t="inlineStr">
        <is>
          <t>ÖREBRO LÄN</t>
        </is>
      </c>
      <c r="E29" t="inlineStr">
        <is>
          <t>DEGERFORS</t>
        </is>
      </c>
      <c r="G29" t="n">
        <v>6.6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26293-2019</t>
        </is>
      </c>
      <c r="B30" s="1" t="n">
        <v>43611</v>
      </c>
      <c r="C30" s="1" t="n">
        <v>45708</v>
      </c>
      <c r="D30" t="inlineStr">
        <is>
          <t>ÖREBRO LÄN</t>
        </is>
      </c>
      <c r="E30" t="inlineStr">
        <is>
          <t>DEGERFORS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28069-2019</t>
        </is>
      </c>
      <c r="B31" s="1" t="n">
        <v>43613</v>
      </c>
      <c r="C31" s="1" t="n">
        <v>45708</v>
      </c>
      <c r="D31" t="inlineStr">
        <is>
          <t>ÖREBRO LÄN</t>
        </is>
      </c>
      <c r="E31" t="inlineStr">
        <is>
          <t>DEGERFORS</t>
        </is>
      </c>
      <c r="G31" t="n">
        <v>6.1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28636-2019</t>
        </is>
      </c>
      <c r="B32" s="1" t="n">
        <v>43614</v>
      </c>
      <c r="C32" s="1" t="n">
        <v>45708</v>
      </c>
      <c r="D32" t="inlineStr">
        <is>
          <t>ÖREBRO LÄN</t>
        </is>
      </c>
      <c r="E32" t="inlineStr">
        <is>
          <t>DEGERFORS</t>
        </is>
      </c>
      <c r="G32" t="n">
        <v>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29240-2019</t>
        </is>
      </c>
      <c r="B33" s="1" t="n">
        <v>43623</v>
      </c>
      <c r="C33" s="1" t="n">
        <v>45708</v>
      </c>
      <c r="D33" t="inlineStr">
        <is>
          <t>ÖREBRO LÄN</t>
        </is>
      </c>
      <c r="E33" t="inlineStr">
        <is>
          <t>DEGERFORS</t>
        </is>
      </c>
      <c r="G33" t="n">
        <v>23.2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29242-2019</t>
        </is>
      </c>
      <c r="B34" s="1" t="n">
        <v>43623</v>
      </c>
      <c r="C34" s="1" t="n">
        <v>45708</v>
      </c>
      <c r="D34" t="inlineStr">
        <is>
          <t>ÖREBRO LÄN</t>
        </is>
      </c>
      <c r="E34" t="inlineStr">
        <is>
          <t>DEGERFORS</t>
        </is>
      </c>
      <c r="G34" t="n">
        <v>3.5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29239-2019</t>
        </is>
      </c>
      <c r="B35" s="1" t="n">
        <v>43623</v>
      </c>
      <c r="C35" s="1" t="n">
        <v>45708</v>
      </c>
      <c r="D35" t="inlineStr">
        <is>
          <t>ÖREBRO LÄN</t>
        </is>
      </c>
      <c r="E35" t="inlineStr">
        <is>
          <t>DEGERFORS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34508-2019</t>
        </is>
      </c>
      <c r="B36" s="1" t="n">
        <v>43647</v>
      </c>
      <c r="C36" s="1" t="n">
        <v>45708</v>
      </c>
      <c r="D36" t="inlineStr">
        <is>
          <t>ÖREBRO LÄN</t>
        </is>
      </c>
      <c r="E36" t="inlineStr">
        <is>
          <t>DEGERFORS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35426-2019</t>
        </is>
      </c>
      <c r="B37" s="1" t="n">
        <v>43654</v>
      </c>
      <c r="C37" s="1" t="n">
        <v>45708</v>
      </c>
      <c r="D37" t="inlineStr">
        <is>
          <t>ÖREBRO LÄN</t>
        </is>
      </c>
      <c r="E37" t="inlineStr">
        <is>
          <t>DEGERFORS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36913-2019</t>
        </is>
      </c>
      <c r="B38" s="1" t="n">
        <v>43675</v>
      </c>
      <c r="C38" s="1" t="n">
        <v>45708</v>
      </c>
      <c r="D38" t="inlineStr">
        <is>
          <t>ÖREBRO LÄN</t>
        </is>
      </c>
      <c r="E38" t="inlineStr">
        <is>
          <t>DEGERFORS</t>
        </is>
      </c>
      <c r="G38" t="n">
        <v>3.5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43762-2019</t>
        </is>
      </c>
      <c r="B39" s="1" t="n">
        <v>43706</v>
      </c>
      <c r="C39" s="1" t="n">
        <v>45708</v>
      </c>
      <c r="D39" t="inlineStr">
        <is>
          <t>ÖREBRO LÄN</t>
        </is>
      </c>
      <c r="E39" t="inlineStr">
        <is>
          <t>DEGERFORS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45669-2019</t>
        </is>
      </c>
      <c r="B40" s="1" t="n">
        <v>43717</v>
      </c>
      <c r="C40" s="1" t="n">
        <v>45708</v>
      </c>
      <c r="D40" t="inlineStr">
        <is>
          <t>ÖREBRO LÄN</t>
        </is>
      </c>
      <c r="E40" t="inlineStr">
        <is>
          <t>DEGERFORS</t>
        </is>
      </c>
      <c r="F40" t="inlineStr">
        <is>
          <t>Sveaskog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45689-2019</t>
        </is>
      </c>
      <c r="B41" s="1" t="n">
        <v>43717</v>
      </c>
      <c r="C41" s="1" t="n">
        <v>45708</v>
      </c>
      <c r="D41" t="inlineStr">
        <is>
          <t>ÖREBRO LÄN</t>
        </is>
      </c>
      <c r="E41" t="inlineStr">
        <is>
          <t>DEGERFORS</t>
        </is>
      </c>
      <c r="F41" t="inlineStr">
        <is>
          <t>Sveaskog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45688-2019</t>
        </is>
      </c>
      <c r="B42" s="1" t="n">
        <v>43717</v>
      </c>
      <c r="C42" s="1" t="n">
        <v>45708</v>
      </c>
      <c r="D42" t="inlineStr">
        <is>
          <t>ÖREBRO LÄN</t>
        </is>
      </c>
      <c r="E42" t="inlineStr">
        <is>
          <t>DEGERFORS</t>
        </is>
      </c>
      <c r="F42" t="inlineStr">
        <is>
          <t>Sveaskog</t>
        </is>
      </c>
      <c r="G42" t="n">
        <v>4.5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45718-2019</t>
        </is>
      </c>
      <c r="B43" s="1" t="n">
        <v>43717</v>
      </c>
      <c r="C43" s="1" t="n">
        <v>45708</v>
      </c>
      <c r="D43" t="inlineStr">
        <is>
          <t>ÖREBRO LÄN</t>
        </is>
      </c>
      <c r="E43" t="inlineStr">
        <is>
          <t>DEGERFORS</t>
        </is>
      </c>
      <c r="F43" t="inlineStr">
        <is>
          <t>Sveaskog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45706-2019</t>
        </is>
      </c>
      <c r="B44" s="1" t="n">
        <v>43717</v>
      </c>
      <c r="C44" s="1" t="n">
        <v>45708</v>
      </c>
      <c r="D44" t="inlineStr">
        <is>
          <t>ÖREBRO LÄN</t>
        </is>
      </c>
      <c r="E44" t="inlineStr">
        <is>
          <t>DEGERFORS</t>
        </is>
      </c>
      <c r="F44" t="inlineStr">
        <is>
          <t>Sveaskog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52400-2019</t>
        </is>
      </c>
      <c r="B45" s="1" t="n">
        <v>43745</v>
      </c>
      <c r="C45" s="1" t="n">
        <v>45708</v>
      </c>
      <c r="D45" t="inlineStr">
        <is>
          <t>ÖREBRO LÄN</t>
        </is>
      </c>
      <c r="E45" t="inlineStr">
        <is>
          <t>DEGERFORS</t>
        </is>
      </c>
      <c r="F45" t="inlineStr">
        <is>
          <t>Sveaskog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52360-2019</t>
        </is>
      </c>
      <c r="B46" s="1" t="n">
        <v>43745</v>
      </c>
      <c r="C46" s="1" t="n">
        <v>45708</v>
      </c>
      <c r="D46" t="inlineStr">
        <is>
          <t>ÖREBRO LÄN</t>
        </is>
      </c>
      <c r="E46" t="inlineStr">
        <is>
          <t>DEGERFORS</t>
        </is>
      </c>
      <c r="F46" t="inlineStr">
        <is>
          <t>Sveaskog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52357-2019</t>
        </is>
      </c>
      <c r="B47" s="1" t="n">
        <v>43745</v>
      </c>
      <c r="C47" s="1" t="n">
        <v>45708</v>
      </c>
      <c r="D47" t="inlineStr">
        <is>
          <t>ÖREBRO LÄN</t>
        </is>
      </c>
      <c r="E47" t="inlineStr">
        <is>
          <t>DEGERFORS</t>
        </is>
      </c>
      <c r="F47" t="inlineStr">
        <is>
          <t>Sveaskog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52372-2019</t>
        </is>
      </c>
      <c r="B48" s="1" t="n">
        <v>43745</v>
      </c>
      <c r="C48" s="1" t="n">
        <v>45708</v>
      </c>
      <c r="D48" t="inlineStr">
        <is>
          <t>ÖREBRO LÄN</t>
        </is>
      </c>
      <c r="E48" t="inlineStr">
        <is>
          <t>DEGERFORS</t>
        </is>
      </c>
      <c r="F48" t="inlineStr">
        <is>
          <t>Sveaskog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55179-2019</t>
        </is>
      </c>
      <c r="B49" s="1" t="n">
        <v>43756</v>
      </c>
      <c r="C49" s="1" t="n">
        <v>45708</v>
      </c>
      <c r="D49" t="inlineStr">
        <is>
          <t>ÖREBRO LÄN</t>
        </is>
      </c>
      <c r="E49" t="inlineStr">
        <is>
          <t>DEGERFORS</t>
        </is>
      </c>
      <c r="F49" t="inlineStr">
        <is>
          <t>Sveaskog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55879-2019</t>
        </is>
      </c>
      <c r="B50" s="1" t="n">
        <v>43759</v>
      </c>
      <c r="C50" s="1" t="n">
        <v>45708</v>
      </c>
      <c r="D50" t="inlineStr">
        <is>
          <t>ÖREBRO LÄN</t>
        </is>
      </c>
      <c r="E50" t="inlineStr">
        <is>
          <t>DEGERFORS</t>
        </is>
      </c>
      <c r="F50" t="inlineStr">
        <is>
          <t>Sveaskog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57741-2019</t>
        </is>
      </c>
      <c r="B51" s="1" t="n">
        <v>43763</v>
      </c>
      <c r="C51" s="1" t="n">
        <v>45708</v>
      </c>
      <c r="D51" t="inlineStr">
        <is>
          <t>ÖREBRO LÄN</t>
        </is>
      </c>
      <c r="E51" t="inlineStr">
        <is>
          <t>DEGERFORS</t>
        </is>
      </c>
      <c r="G51" t="n">
        <v>6.5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57737-2019</t>
        </is>
      </c>
      <c r="B52" s="1" t="n">
        <v>43763</v>
      </c>
      <c r="C52" s="1" t="n">
        <v>45708</v>
      </c>
      <c r="D52" t="inlineStr">
        <is>
          <t>ÖREBRO LÄN</t>
        </is>
      </c>
      <c r="E52" t="inlineStr">
        <is>
          <t>DEGERFORS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59713-2019</t>
        </is>
      </c>
      <c r="B53" s="1" t="n">
        <v>43776</v>
      </c>
      <c r="C53" s="1" t="n">
        <v>45708</v>
      </c>
      <c r="D53" t="inlineStr">
        <is>
          <t>ÖREBRO LÄN</t>
        </is>
      </c>
      <c r="E53" t="inlineStr">
        <is>
          <t>DEGERFORS</t>
        </is>
      </c>
      <c r="F53" t="inlineStr">
        <is>
          <t>Sveaskog</t>
        </is>
      </c>
      <c r="G53" t="n">
        <v>5.1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59673-2019</t>
        </is>
      </c>
      <c r="B54" s="1" t="n">
        <v>43776</v>
      </c>
      <c r="C54" s="1" t="n">
        <v>45708</v>
      </c>
      <c r="D54" t="inlineStr">
        <is>
          <t>ÖREBRO LÄN</t>
        </is>
      </c>
      <c r="E54" t="inlineStr">
        <is>
          <t>DEGERFORS</t>
        </is>
      </c>
      <c r="F54" t="inlineStr">
        <is>
          <t>Sveaskog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60002-2019</t>
        </is>
      </c>
      <c r="B55" s="1" t="n">
        <v>43777</v>
      </c>
      <c r="C55" s="1" t="n">
        <v>45708</v>
      </c>
      <c r="D55" t="inlineStr">
        <is>
          <t>ÖREBRO LÄN</t>
        </is>
      </c>
      <c r="E55" t="inlineStr">
        <is>
          <t>DEGERFORS</t>
        </is>
      </c>
      <c r="F55" t="inlineStr">
        <is>
          <t>Sveaskog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59993-2019</t>
        </is>
      </c>
      <c r="B56" s="1" t="n">
        <v>43777</v>
      </c>
      <c r="C56" s="1" t="n">
        <v>45708</v>
      </c>
      <c r="D56" t="inlineStr">
        <is>
          <t>ÖREBRO LÄN</t>
        </is>
      </c>
      <c r="E56" t="inlineStr">
        <is>
          <t>DEGERFORS</t>
        </is>
      </c>
      <c r="F56" t="inlineStr">
        <is>
          <t>Sveaskog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60005-2019</t>
        </is>
      </c>
      <c r="B57" s="1" t="n">
        <v>43777</v>
      </c>
      <c r="C57" s="1" t="n">
        <v>45708</v>
      </c>
      <c r="D57" t="inlineStr">
        <is>
          <t>ÖREBRO LÄN</t>
        </is>
      </c>
      <c r="E57" t="inlineStr">
        <is>
          <t>DEGERFORS</t>
        </is>
      </c>
      <c r="F57" t="inlineStr">
        <is>
          <t>Sveaskog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60004-2019</t>
        </is>
      </c>
      <c r="B58" s="1" t="n">
        <v>43777</v>
      </c>
      <c r="C58" s="1" t="n">
        <v>45708</v>
      </c>
      <c r="D58" t="inlineStr">
        <is>
          <t>ÖREBRO LÄN</t>
        </is>
      </c>
      <c r="E58" t="inlineStr">
        <is>
          <t>DEGERFORS</t>
        </is>
      </c>
      <c r="F58" t="inlineStr">
        <is>
          <t>Sveaskog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59986-2019</t>
        </is>
      </c>
      <c r="B59" s="1" t="n">
        <v>43777</v>
      </c>
      <c r="C59" s="1" t="n">
        <v>45708</v>
      </c>
      <c r="D59" t="inlineStr">
        <is>
          <t>ÖREBRO LÄN</t>
        </is>
      </c>
      <c r="E59" t="inlineStr">
        <is>
          <t>DEGERFORS</t>
        </is>
      </c>
      <c r="F59" t="inlineStr">
        <is>
          <t>Sveaskog</t>
        </is>
      </c>
      <c r="G59" t="n">
        <v>4.6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62821-2019</t>
        </is>
      </c>
      <c r="B60" s="1" t="n">
        <v>43783</v>
      </c>
      <c r="C60" s="1" t="n">
        <v>45708</v>
      </c>
      <c r="D60" t="inlineStr">
        <is>
          <t>ÖREBRO LÄN</t>
        </is>
      </c>
      <c r="E60" t="inlineStr">
        <is>
          <t>DEGERFORS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61579-2019</t>
        </is>
      </c>
      <c r="B61" s="1" t="n">
        <v>43784</v>
      </c>
      <c r="C61" s="1" t="n">
        <v>45708</v>
      </c>
      <c r="D61" t="inlineStr">
        <is>
          <t>ÖREBRO LÄN</t>
        </is>
      </c>
      <c r="E61" t="inlineStr">
        <is>
          <t>DEGERFORS</t>
        </is>
      </c>
      <c r="F61" t="inlineStr">
        <is>
          <t>Sveaskog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63600-2019</t>
        </is>
      </c>
      <c r="B62" s="1" t="n">
        <v>43789</v>
      </c>
      <c r="C62" s="1" t="n">
        <v>45708</v>
      </c>
      <c r="D62" t="inlineStr">
        <is>
          <t>ÖREBRO LÄN</t>
        </is>
      </c>
      <c r="E62" t="inlineStr">
        <is>
          <t>DEGERFORS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64828-2019</t>
        </is>
      </c>
      <c r="B63" s="1" t="n">
        <v>43801</v>
      </c>
      <c r="C63" s="1" t="n">
        <v>45708</v>
      </c>
      <c r="D63" t="inlineStr">
        <is>
          <t>ÖREBRO LÄN</t>
        </is>
      </c>
      <c r="E63" t="inlineStr">
        <is>
          <t>DEGERFORS</t>
        </is>
      </c>
      <c r="F63" t="inlineStr">
        <is>
          <t>Sveaskog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66547-2019</t>
        </is>
      </c>
      <c r="B64" s="1" t="n">
        <v>43809</v>
      </c>
      <c r="C64" s="1" t="n">
        <v>45708</v>
      </c>
      <c r="D64" t="inlineStr">
        <is>
          <t>ÖREBRO LÄN</t>
        </is>
      </c>
      <c r="E64" t="inlineStr">
        <is>
          <t>DEGERFORS</t>
        </is>
      </c>
      <c r="F64" t="inlineStr">
        <is>
          <t>Sveaskog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66546-2019</t>
        </is>
      </c>
      <c r="B65" s="1" t="n">
        <v>43809</v>
      </c>
      <c r="C65" s="1" t="n">
        <v>45708</v>
      </c>
      <c r="D65" t="inlineStr">
        <is>
          <t>ÖREBRO LÄN</t>
        </is>
      </c>
      <c r="E65" t="inlineStr">
        <is>
          <t>DEGERFORS</t>
        </is>
      </c>
      <c r="F65" t="inlineStr">
        <is>
          <t>Sveaskog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332-2020</t>
        </is>
      </c>
      <c r="B66" s="1" t="n">
        <v>43816</v>
      </c>
      <c r="C66" s="1" t="n">
        <v>45708</v>
      </c>
      <c r="D66" t="inlineStr">
        <is>
          <t>ÖREBRO LÄN</t>
        </is>
      </c>
      <c r="E66" t="inlineStr">
        <is>
          <t>DEGERFORS</t>
        </is>
      </c>
      <c r="G66" t="n">
        <v>11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68270-2019</t>
        </is>
      </c>
      <c r="B67" s="1" t="n">
        <v>43817</v>
      </c>
      <c r="C67" s="1" t="n">
        <v>45708</v>
      </c>
      <c r="D67" t="inlineStr">
        <is>
          <t>ÖREBRO LÄN</t>
        </is>
      </c>
      <c r="E67" t="inlineStr">
        <is>
          <t>DEGERFORS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3680-2020</t>
        </is>
      </c>
      <c r="B68" s="1" t="n">
        <v>43845</v>
      </c>
      <c r="C68" s="1" t="n">
        <v>45708</v>
      </c>
      <c r="D68" t="inlineStr">
        <is>
          <t>ÖREBRO LÄN</t>
        </is>
      </c>
      <c r="E68" t="inlineStr">
        <is>
          <t>DEGERFORS</t>
        </is>
      </c>
      <c r="G68" t="n">
        <v>4.7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2188-2020</t>
        </is>
      </c>
      <c r="B69" s="1" t="n">
        <v>43846</v>
      </c>
      <c r="C69" s="1" t="n">
        <v>45708</v>
      </c>
      <c r="D69" t="inlineStr">
        <is>
          <t>ÖREBRO LÄN</t>
        </is>
      </c>
      <c r="E69" t="inlineStr">
        <is>
          <t>DEGERFORS</t>
        </is>
      </c>
      <c r="G69" t="n">
        <v>4.4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5477-2020</t>
        </is>
      </c>
      <c r="B70" s="1" t="n">
        <v>43858</v>
      </c>
      <c r="C70" s="1" t="n">
        <v>45708</v>
      </c>
      <c r="D70" t="inlineStr">
        <is>
          <t>ÖREBRO LÄN</t>
        </is>
      </c>
      <c r="E70" t="inlineStr">
        <is>
          <t>DEGERFORS</t>
        </is>
      </c>
      <c r="G70" t="n">
        <v>3.9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7369-2020</t>
        </is>
      </c>
      <c r="B71" s="1" t="n">
        <v>43871</v>
      </c>
      <c r="C71" s="1" t="n">
        <v>45708</v>
      </c>
      <c r="D71" t="inlineStr">
        <is>
          <t>ÖREBRO LÄN</t>
        </is>
      </c>
      <c r="E71" t="inlineStr">
        <is>
          <t>DEGERFORS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8157-2020</t>
        </is>
      </c>
      <c r="B72" s="1" t="n">
        <v>43873</v>
      </c>
      <c r="C72" s="1" t="n">
        <v>45708</v>
      </c>
      <c r="D72" t="inlineStr">
        <is>
          <t>ÖREBRO LÄN</t>
        </is>
      </c>
      <c r="E72" t="inlineStr">
        <is>
          <t>DEGERFORS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12471-2020</t>
        </is>
      </c>
      <c r="B73" s="1" t="n">
        <v>43896</v>
      </c>
      <c r="C73" s="1" t="n">
        <v>45708</v>
      </c>
      <c r="D73" t="inlineStr">
        <is>
          <t>ÖREBRO LÄN</t>
        </is>
      </c>
      <c r="E73" t="inlineStr">
        <is>
          <t>DEGERFORS</t>
        </is>
      </c>
      <c r="F73" t="inlineStr">
        <is>
          <t>Sveaskog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16990-2020</t>
        </is>
      </c>
      <c r="B74" s="1" t="n">
        <v>43913</v>
      </c>
      <c r="C74" s="1" t="n">
        <v>45708</v>
      </c>
      <c r="D74" t="inlineStr">
        <is>
          <t>ÖREBRO LÄN</t>
        </is>
      </c>
      <c r="E74" t="inlineStr">
        <is>
          <t>DEGERFORS</t>
        </is>
      </c>
      <c r="G74" t="n">
        <v>11.5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15609-2020</t>
        </is>
      </c>
      <c r="B75" s="1" t="n">
        <v>43914</v>
      </c>
      <c r="C75" s="1" t="n">
        <v>45708</v>
      </c>
      <c r="D75" t="inlineStr">
        <is>
          <t>ÖREBRO LÄN</t>
        </is>
      </c>
      <c r="E75" t="inlineStr">
        <is>
          <t>DEGERFORS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15923-2020</t>
        </is>
      </c>
      <c r="B76" s="1" t="n">
        <v>43916</v>
      </c>
      <c r="C76" s="1" t="n">
        <v>45708</v>
      </c>
      <c r="D76" t="inlineStr">
        <is>
          <t>ÖREBRO LÄN</t>
        </is>
      </c>
      <c r="E76" t="inlineStr">
        <is>
          <t>DEGERFORS</t>
        </is>
      </c>
      <c r="F76" t="inlineStr">
        <is>
          <t>Kommuner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15921-2020</t>
        </is>
      </c>
      <c r="B77" s="1" t="n">
        <v>43916</v>
      </c>
      <c r="C77" s="1" t="n">
        <v>45708</v>
      </c>
      <c r="D77" t="inlineStr">
        <is>
          <t>ÖREBRO LÄN</t>
        </is>
      </c>
      <c r="E77" t="inlineStr">
        <is>
          <t>DEGERFORS</t>
        </is>
      </c>
      <c r="F77" t="inlineStr">
        <is>
          <t>Kommuner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15922-2020</t>
        </is>
      </c>
      <c r="B78" s="1" t="n">
        <v>43916</v>
      </c>
      <c r="C78" s="1" t="n">
        <v>45708</v>
      </c>
      <c r="D78" t="inlineStr">
        <is>
          <t>ÖREBRO LÄN</t>
        </is>
      </c>
      <c r="E78" t="inlineStr">
        <is>
          <t>DEGERFORS</t>
        </is>
      </c>
      <c r="F78" t="inlineStr">
        <is>
          <t>Kommuner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15924-2020</t>
        </is>
      </c>
      <c r="B79" s="1" t="n">
        <v>43916</v>
      </c>
      <c r="C79" s="1" t="n">
        <v>45708</v>
      </c>
      <c r="D79" t="inlineStr">
        <is>
          <t>ÖREBRO LÄN</t>
        </is>
      </c>
      <c r="E79" t="inlineStr">
        <is>
          <t>DEGERFORS</t>
        </is>
      </c>
      <c r="F79" t="inlineStr">
        <is>
          <t>Kommuner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15926-2020</t>
        </is>
      </c>
      <c r="B80" s="1" t="n">
        <v>43916</v>
      </c>
      <c r="C80" s="1" t="n">
        <v>45708</v>
      </c>
      <c r="D80" t="inlineStr">
        <is>
          <t>ÖREBRO LÄN</t>
        </is>
      </c>
      <c r="E80" t="inlineStr">
        <is>
          <t>DEGERFORS</t>
        </is>
      </c>
      <c r="F80" t="inlineStr">
        <is>
          <t>Kommuner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17449-2020</t>
        </is>
      </c>
      <c r="B81" s="1" t="n">
        <v>43923</v>
      </c>
      <c r="C81" s="1" t="n">
        <v>45708</v>
      </c>
      <c r="D81" t="inlineStr">
        <is>
          <t>ÖREBRO LÄN</t>
        </is>
      </c>
      <c r="E81" t="inlineStr">
        <is>
          <t>DEGERFORS</t>
        </is>
      </c>
      <c r="F81" t="inlineStr">
        <is>
          <t>Sveaskog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17575-2020</t>
        </is>
      </c>
      <c r="B82" s="1" t="n">
        <v>43923</v>
      </c>
      <c r="C82" s="1" t="n">
        <v>45708</v>
      </c>
      <c r="D82" t="inlineStr">
        <is>
          <t>ÖREBRO LÄN</t>
        </is>
      </c>
      <c r="E82" t="inlineStr">
        <is>
          <t>DEGERFORS</t>
        </is>
      </c>
      <c r="F82" t="inlineStr">
        <is>
          <t>Sveaskog</t>
        </is>
      </c>
      <c r="G82" t="n">
        <v>5.3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17466-2020</t>
        </is>
      </c>
      <c r="B83" s="1" t="n">
        <v>43923</v>
      </c>
      <c r="C83" s="1" t="n">
        <v>45708</v>
      </c>
      <c r="D83" t="inlineStr">
        <is>
          <t>ÖREBRO LÄN</t>
        </is>
      </c>
      <c r="E83" t="inlineStr">
        <is>
          <t>DEGERFORS</t>
        </is>
      </c>
      <c r="F83" t="inlineStr">
        <is>
          <t>Sveaskog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17579-2020</t>
        </is>
      </c>
      <c r="B84" s="1" t="n">
        <v>43923</v>
      </c>
      <c r="C84" s="1" t="n">
        <v>45708</v>
      </c>
      <c r="D84" t="inlineStr">
        <is>
          <t>ÖREBRO LÄN</t>
        </is>
      </c>
      <c r="E84" t="inlineStr">
        <is>
          <t>DEGERFORS</t>
        </is>
      </c>
      <c r="F84" t="inlineStr">
        <is>
          <t>Sveaskog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19815-2020</t>
        </is>
      </c>
      <c r="B85" s="1" t="n">
        <v>43942</v>
      </c>
      <c r="C85" s="1" t="n">
        <v>45708</v>
      </c>
      <c r="D85" t="inlineStr">
        <is>
          <t>ÖREBRO LÄN</t>
        </is>
      </c>
      <c r="E85" t="inlineStr">
        <is>
          <t>DEGERFORS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20350-2020</t>
        </is>
      </c>
      <c r="B86" s="1" t="n">
        <v>43945</v>
      </c>
      <c r="C86" s="1" t="n">
        <v>45708</v>
      </c>
      <c r="D86" t="inlineStr">
        <is>
          <t>ÖREBRO LÄN</t>
        </is>
      </c>
      <c r="E86" t="inlineStr">
        <is>
          <t>DEGERFORS</t>
        </is>
      </c>
      <c r="G86" t="n">
        <v>58.8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21855-2020</t>
        </is>
      </c>
      <c r="B87" s="1" t="n">
        <v>43945</v>
      </c>
      <c r="C87" s="1" t="n">
        <v>45708</v>
      </c>
      <c r="D87" t="inlineStr">
        <is>
          <t>ÖREBRO LÄN</t>
        </is>
      </c>
      <c r="E87" t="inlineStr">
        <is>
          <t>DEGERFORS</t>
        </is>
      </c>
      <c r="G87" t="n">
        <v>6.1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20595-2020</t>
        </is>
      </c>
      <c r="B88" s="1" t="n">
        <v>43948</v>
      </c>
      <c r="C88" s="1" t="n">
        <v>45708</v>
      </c>
      <c r="D88" t="inlineStr">
        <is>
          <t>ÖREBRO LÄN</t>
        </is>
      </c>
      <c r="E88" t="inlineStr">
        <is>
          <t>DEGERFORS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21850-2020</t>
        </is>
      </c>
      <c r="B89" s="1" t="n">
        <v>43958</v>
      </c>
      <c r="C89" s="1" t="n">
        <v>45708</v>
      </c>
      <c r="D89" t="inlineStr">
        <is>
          <t>ÖREBRO LÄN</t>
        </is>
      </c>
      <c r="E89" t="inlineStr">
        <is>
          <t>DEGERFORS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25043-2020</t>
        </is>
      </c>
      <c r="B90" s="1" t="n">
        <v>43979</v>
      </c>
      <c r="C90" s="1" t="n">
        <v>45708</v>
      </c>
      <c r="D90" t="inlineStr">
        <is>
          <t>ÖREBRO LÄN</t>
        </is>
      </c>
      <c r="E90" t="inlineStr">
        <is>
          <t>DEGERFORS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31435-2020</t>
        </is>
      </c>
      <c r="B91" s="1" t="n">
        <v>44013</v>
      </c>
      <c r="C91" s="1" t="n">
        <v>45708</v>
      </c>
      <c r="D91" t="inlineStr">
        <is>
          <t>ÖREBRO LÄN</t>
        </is>
      </c>
      <c r="E91" t="inlineStr">
        <is>
          <t>DEGERFORS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31440-2020</t>
        </is>
      </c>
      <c r="B92" s="1" t="n">
        <v>44013</v>
      </c>
      <c r="C92" s="1" t="n">
        <v>45708</v>
      </c>
      <c r="D92" t="inlineStr">
        <is>
          <t>ÖREBRO LÄN</t>
        </is>
      </c>
      <c r="E92" t="inlineStr">
        <is>
          <t>DEGERFORS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31450-2020</t>
        </is>
      </c>
      <c r="B93" s="1" t="n">
        <v>44013</v>
      </c>
      <c r="C93" s="1" t="n">
        <v>45708</v>
      </c>
      <c r="D93" t="inlineStr">
        <is>
          <t>ÖREBRO LÄN</t>
        </is>
      </c>
      <c r="E93" t="inlineStr">
        <is>
          <t>DEGERFORS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31446-2020</t>
        </is>
      </c>
      <c r="B94" s="1" t="n">
        <v>44013</v>
      </c>
      <c r="C94" s="1" t="n">
        <v>45708</v>
      </c>
      <c r="D94" t="inlineStr">
        <is>
          <t>ÖREBRO LÄN</t>
        </is>
      </c>
      <c r="E94" t="inlineStr">
        <is>
          <t>DEGERFORS</t>
        </is>
      </c>
      <c r="G94" t="n">
        <v>13.9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32899-2020</t>
        </is>
      </c>
      <c r="B95" s="1" t="n">
        <v>44020</v>
      </c>
      <c r="C95" s="1" t="n">
        <v>45708</v>
      </c>
      <c r="D95" t="inlineStr">
        <is>
          <t>ÖREBRO LÄN</t>
        </is>
      </c>
      <c r="E95" t="inlineStr">
        <is>
          <t>DEGERFORS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40383-2020</t>
        </is>
      </c>
      <c r="B96" s="1" t="n">
        <v>44068</v>
      </c>
      <c r="C96" s="1" t="n">
        <v>45708</v>
      </c>
      <c r="D96" t="inlineStr">
        <is>
          <t>ÖREBRO LÄN</t>
        </is>
      </c>
      <c r="E96" t="inlineStr">
        <is>
          <t>DEGERFORS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41056-2020</t>
        </is>
      </c>
      <c r="B97" s="1" t="n">
        <v>44069</v>
      </c>
      <c r="C97" s="1" t="n">
        <v>45708</v>
      </c>
      <c r="D97" t="inlineStr">
        <is>
          <t>ÖREBRO LÄN</t>
        </is>
      </c>
      <c r="E97" t="inlineStr">
        <is>
          <t>DEGERFORS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40810-2020</t>
        </is>
      </c>
      <c r="B98" s="1" t="n">
        <v>44070</v>
      </c>
      <c r="C98" s="1" t="n">
        <v>45708</v>
      </c>
      <c r="D98" t="inlineStr">
        <is>
          <t>ÖREBRO LÄN</t>
        </is>
      </c>
      <c r="E98" t="inlineStr">
        <is>
          <t>DEGERFORS</t>
        </is>
      </c>
      <c r="G98" t="n">
        <v>4.7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48197-2020</t>
        </is>
      </c>
      <c r="B99" s="1" t="n">
        <v>44102</v>
      </c>
      <c r="C99" s="1" t="n">
        <v>45708</v>
      </c>
      <c r="D99" t="inlineStr">
        <is>
          <t>ÖREBRO LÄN</t>
        </is>
      </c>
      <c r="E99" t="inlineStr">
        <is>
          <t>DEGERFORS</t>
        </is>
      </c>
      <c r="F99" t="inlineStr">
        <is>
          <t>Sveaskog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50358-2020</t>
        </is>
      </c>
      <c r="B100" s="1" t="n">
        <v>44110</v>
      </c>
      <c r="C100" s="1" t="n">
        <v>45708</v>
      </c>
      <c r="D100" t="inlineStr">
        <is>
          <t>ÖREBRO LÄN</t>
        </is>
      </c>
      <c r="E100" t="inlineStr">
        <is>
          <t>DEGERFORS</t>
        </is>
      </c>
      <c r="F100" t="inlineStr">
        <is>
          <t>Sveaskog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51130-2020</t>
        </is>
      </c>
      <c r="B101" s="1" t="n">
        <v>44112</v>
      </c>
      <c r="C101" s="1" t="n">
        <v>45708</v>
      </c>
      <c r="D101" t="inlineStr">
        <is>
          <t>ÖREBRO LÄN</t>
        </is>
      </c>
      <c r="E101" t="inlineStr">
        <is>
          <t>DEGERFORS</t>
        </is>
      </c>
      <c r="F101" t="inlineStr">
        <is>
          <t>Sveaskog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66667-2020</t>
        </is>
      </c>
      <c r="B102" s="1" t="n">
        <v>44179</v>
      </c>
      <c r="C102" s="1" t="n">
        <v>45708</v>
      </c>
      <c r="D102" t="inlineStr">
        <is>
          <t>ÖREBRO LÄN</t>
        </is>
      </c>
      <c r="E102" t="inlineStr">
        <is>
          <t>DEGERFORS</t>
        </is>
      </c>
      <c r="F102" t="inlineStr">
        <is>
          <t>Sveaskog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5735-2021</t>
        </is>
      </c>
      <c r="B103" s="1" t="n">
        <v>44230</v>
      </c>
      <c r="C103" s="1" t="n">
        <v>45708</v>
      </c>
      <c r="D103" t="inlineStr">
        <is>
          <t>ÖREBRO LÄN</t>
        </is>
      </c>
      <c r="E103" t="inlineStr">
        <is>
          <t>DEGERFORS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19070-2021</t>
        </is>
      </c>
      <c r="B104" s="1" t="n">
        <v>44308</v>
      </c>
      <c r="C104" s="1" t="n">
        <v>45708</v>
      </c>
      <c r="D104" t="inlineStr">
        <is>
          <t>ÖREBRO LÄN</t>
        </is>
      </c>
      <c r="E104" t="inlineStr">
        <is>
          <t>DEGERFORS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19084-2021</t>
        </is>
      </c>
      <c r="B105" s="1" t="n">
        <v>44308</v>
      </c>
      <c r="C105" s="1" t="n">
        <v>45708</v>
      </c>
      <c r="D105" t="inlineStr">
        <is>
          <t>ÖREBRO LÄN</t>
        </is>
      </c>
      <c r="E105" t="inlineStr">
        <is>
          <t>DEGERFORS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32582-2021</t>
        </is>
      </c>
      <c r="B106" s="1" t="n">
        <v>44375</v>
      </c>
      <c r="C106" s="1" t="n">
        <v>45708</v>
      </c>
      <c r="D106" t="inlineStr">
        <is>
          <t>ÖREBRO LÄN</t>
        </is>
      </c>
      <c r="E106" t="inlineStr">
        <is>
          <t>DEGERFORS</t>
        </is>
      </c>
      <c r="F106" t="inlineStr">
        <is>
          <t>Sveaskog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32590-2021</t>
        </is>
      </c>
      <c r="B107" s="1" t="n">
        <v>44375</v>
      </c>
      <c r="C107" s="1" t="n">
        <v>45708</v>
      </c>
      <c r="D107" t="inlineStr">
        <is>
          <t>ÖREBRO LÄN</t>
        </is>
      </c>
      <c r="E107" t="inlineStr">
        <is>
          <t>DEGERFORS</t>
        </is>
      </c>
      <c r="F107" t="inlineStr">
        <is>
          <t>Sveaskog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32729-2021</t>
        </is>
      </c>
      <c r="B108" s="1" t="n">
        <v>44375</v>
      </c>
      <c r="C108" s="1" t="n">
        <v>45708</v>
      </c>
      <c r="D108" t="inlineStr">
        <is>
          <t>ÖREBRO LÄN</t>
        </is>
      </c>
      <c r="E108" t="inlineStr">
        <is>
          <t>DEGERFORS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34690-2021</t>
        </is>
      </c>
      <c r="B109" s="1" t="n">
        <v>44382</v>
      </c>
      <c r="C109" s="1" t="n">
        <v>45708</v>
      </c>
      <c r="D109" t="inlineStr">
        <is>
          <t>ÖREBRO LÄN</t>
        </is>
      </c>
      <c r="E109" t="inlineStr">
        <is>
          <t>DEGERFORS</t>
        </is>
      </c>
      <c r="G109" t="n">
        <v>4.7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34695-2021</t>
        </is>
      </c>
      <c r="B110" s="1" t="n">
        <v>44382</v>
      </c>
      <c r="C110" s="1" t="n">
        <v>45708</v>
      </c>
      <c r="D110" t="inlineStr">
        <is>
          <t>ÖREBRO LÄN</t>
        </is>
      </c>
      <c r="E110" t="inlineStr">
        <is>
          <t>DEGERFORS</t>
        </is>
      </c>
      <c r="G110" t="n">
        <v>5.8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36963-2021</t>
        </is>
      </c>
      <c r="B111" s="1" t="n">
        <v>44393</v>
      </c>
      <c r="C111" s="1" t="n">
        <v>45708</v>
      </c>
      <c r="D111" t="inlineStr">
        <is>
          <t>ÖREBRO LÄN</t>
        </is>
      </c>
      <c r="E111" t="inlineStr">
        <is>
          <t>DEGERFORS</t>
        </is>
      </c>
      <c r="F111" t="inlineStr">
        <is>
          <t>Sveaskog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37122-2021</t>
        </is>
      </c>
      <c r="B112" s="1" t="n">
        <v>44396</v>
      </c>
      <c r="C112" s="1" t="n">
        <v>45708</v>
      </c>
      <c r="D112" t="inlineStr">
        <is>
          <t>ÖREBRO LÄN</t>
        </is>
      </c>
      <c r="E112" t="inlineStr">
        <is>
          <t>DEGERFORS</t>
        </is>
      </c>
      <c r="G112" t="n">
        <v>5.4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37302-2021</t>
        </is>
      </c>
      <c r="B113" s="1" t="n">
        <v>44397</v>
      </c>
      <c r="C113" s="1" t="n">
        <v>45708</v>
      </c>
      <c r="D113" t="inlineStr">
        <is>
          <t>ÖREBRO LÄN</t>
        </is>
      </c>
      <c r="E113" t="inlineStr">
        <is>
          <t>DEGERFORS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38421-2021</t>
        </is>
      </c>
      <c r="B114" s="1" t="n">
        <v>44407</v>
      </c>
      <c r="C114" s="1" t="n">
        <v>45708</v>
      </c>
      <c r="D114" t="inlineStr">
        <is>
          <t>ÖREBRO LÄN</t>
        </is>
      </c>
      <c r="E114" t="inlineStr">
        <is>
          <t>DEGERFORS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42122-2021</t>
        </is>
      </c>
      <c r="B115" s="1" t="n">
        <v>44426</v>
      </c>
      <c r="C115" s="1" t="n">
        <v>45708</v>
      </c>
      <c r="D115" t="inlineStr">
        <is>
          <t>ÖREBRO LÄN</t>
        </is>
      </c>
      <c r="E115" t="inlineStr">
        <is>
          <t>DEGERFORS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43393-2021</t>
        </is>
      </c>
      <c r="B116" s="1" t="n">
        <v>44432</v>
      </c>
      <c r="C116" s="1" t="n">
        <v>45708</v>
      </c>
      <c r="D116" t="inlineStr">
        <is>
          <t>ÖREBRO LÄN</t>
        </is>
      </c>
      <c r="E116" t="inlineStr">
        <is>
          <t>DEGERFORS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44735-2021</t>
        </is>
      </c>
      <c r="B117" s="1" t="n">
        <v>44438</v>
      </c>
      <c r="C117" s="1" t="n">
        <v>45708</v>
      </c>
      <c r="D117" t="inlineStr">
        <is>
          <t>ÖREBRO LÄN</t>
        </is>
      </c>
      <c r="E117" t="inlineStr">
        <is>
          <t>DEGERFORS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52126-2021</t>
        </is>
      </c>
      <c r="B118" s="1" t="n">
        <v>44463</v>
      </c>
      <c r="C118" s="1" t="n">
        <v>45708</v>
      </c>
      <c r="D118" t="inlineStr">
        <is>
          <t>ÖREBRO LÄN</t>
        </is>
      </c>
      <c r="E118" t="inlineStr">
        <is>
          <t>DEGERFORS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52131-2021</t>
        </is>
      </c>
      <c r="B119" s="1" t="n">
        <v>44463</v>
      </c>
      <c r="C119" s="1" t="n">
        <v>45708</v>
      </c>
      <c r="D119" t="inlineStr">
        <is>
          <t>ÖREBRO LÄN</t>
        </is>
      </c>
      <c r="E119" t="inlineStr">
        <is>
          <t>DEGERFORS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52457-2021</t>
        </is>
      </c>
      <c r="B120" s="1" t="n">
        <v>44466</v>
      </c>
      <c r="C120" s="1" t="n">
        <v>45708</v>
      </c>
      <c r="D120" t="inlineStr">
        <is>
          <t>ÖREBRO LÄN</t>
        </is>
      </c>
      <c r="E120" t="inlineStr">
        <is>
          <t>DEGERFORS</t>
        </is>
      </c>
      <c r="F120" t="inlineStr">
        <is>
          <t>Sveaskog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54137-2021</t>
        </is>
      </c>
      <c r="B121" s="1" t="n">
        <v>44470</v>
      </c>
      <c r="C121" s="1" t="n">
        <v>45708</v>
      </c>
      <c r="D121" t="inlineStr">
        <is>
          <t>ÖREBRO LÄN</t>
        </is>
      </c>
      <c r="E121" t="inlineStr">
        <is>
          <t>DEGERFORS</t>
        </is>
      </c>
      <c r="F121" t="inlineStr">
        <is>
          <t>Sveaskog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54130-2021</t>
        </is>
      </c>
      <c r="B122" s="1" t="n">
        <v>44470</v>
      </c>
      <c r="C122" s="1" t="n">
        <v>45708</v>
      </c>
      <c r="D122" t="inlineStr">
        <is>
          <t>ÖREBRO LÄN</t>
        </is>
      </c>
      <c r="E122" t="inlineStr">
        <is>
          <t>DEGERFORS</t>
        </is>
      </c>
      <c r="F122" t="inlineStr">
        <is>
          <t>Sveaskog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54139-2021</t>
        </is>
      </c>
      <c r="B123" s="1" t="n">
        <v>44470</v>
      </c>
      <c r="C123" s="1" t="n">
        <v>45708</v>
      </c>
      <c r="D123" t="inlineStr">
        <is>
          <t>ÖREBRO LÄN</t>
        </is>
      </c>
      <c r="E123" t="inlineStr">
        <is>
          <t>DEGERFORS</t>
        </is>
      </c>
      <c r="F123" t="inlineStr">
        <is>
          <t>Sveaskog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60889-2021</t>
        </is>
      </c>
      <c r="B124" s="1" t="n">
        <v>44497</v>
      </c>
      <c r="C124" s="1" t="n">
        <v>45708</v>
      </c>
      <c r="D124" t="inlineStr">
        <is>
          <t>ÖREBRO LÄN</t>
        </is>
      </c>
      <c r="E124" t="inlineStr">
        <is>
          <t>DEGERFORS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61750-2021</t>
        </is>
      </c>
      <c r="B125" s="1" t="n">
        <v>44501</v>
      </c>
      <c r="C125" s="1" t="n">
        <v>45708</v>
      </c>
      <c r="D125" t="inlineStr">
        <is>
          <t>ÖREBRO LÄN</t>
        </is>
      </c>
      <c r="E125" t="inlineStr">
        <is>
          <t>DEGERFORS</t>
        </is>
      </c>
      <c r="F125" t="inlineStr">
        <is>
          <t>Sveaskog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63010-2021</t>
        </is>
      </c>
      <c r="B126" s="1" t="n">
        <v>44505</v>
      </c>
      <c r="C126" s="1" t="n">
        <v>45708</v>
      </c>
      <c r="D126" t="inlineStr">
        <is>
          <t>ÖREBRO LÄN</t>
        </is>
      </c>
      <c r="E126" t="inlineStr">
        <is>
          <t>DEGERFORS</t>
        </is>
      </c>
      <c r="F126" t="inlineStr">
        <is>
          <t>Sveaskog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63906-2021</t>
        </is>
      </c>
      <c r="B127" s="1" t="n">
        <v>44509</v>
      </c>
      <c r="C127" s="1" t="n">
        <v>45708</v>
      </c>
      <c r="D127" t="inlineStr">
        <is>
          <t>ÖREBRO LÄN</t>
        </is>
      </c>
      <c r="E127" t="inlineStr">
        <is>
          <t>DEGERFORS</t>
        </is>
      </c>
      <c r="F127" t="inlineStr">
        <is>
          <t>Sveaskog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63904-2021</t>
        </is>
      </c>
      <c r="B128" s="1" t="n">
        <v>44509</v>
      </c>
      <c r="C128" s="1" t="n">
        <v>45708</v>
      </c>
      <c r="D128" t="inlineStr">
        <is>
          <t>ÖREBRO LÄN</t>
        </is>
      </c>
      <c r="E128" t="inlineStr">
        <is>
          <t>DEGERFORS</t>
        </is>
      </c>
      <c r="F128" t="inlineStr">
        <is>
          <t>Sveaskog</t>
        </is>
      </c>
      <c r="G128" t="n">
        <v>13.3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63905-2021</t>
        </is>
      </c>
      <c r="B129" s="1" t="n">
        <v>44509</v>
      </c>
      <c r="C129" s="1" t="n">
        <v>45708</v>
      </c>
      <c r="D129" t="inlineStr">
        <is>
          <t>ÖREBRO LÄN</t>
        </is>
      </c>
      <c r="E129" t="inlineStr">
        <is>
          <t>DEGERFORS</t>
        </is>
      </c>
      <c r="F129" t="inlineStr">
        <is>
          <t>Sveaskog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65456-2021</t>
        </is>
      </c>
      <c r="B130" s="1" t="n">
        <v>44515</v>
      </c>
      <c r="C130" s="1" t="n">
        <v>45708</v>
      </c>
      <c r="D130" t="inlineStr">
        <is>
          <t>ÖREBRO LÄN</t>
        </is>
      </c>
      <c r="E130" t="inlineStr">
        <is>
          <t>DEGERFORS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67499-2021</t>
        </is>
      </c>
      <c r="B131" s="1" t="n">
        <v>44524</v>
      </c>
      <c r="C131" s="1" t="n">
        <v>45708</v>
      </c>
      <c r="D131" t="inlineStr">
        <is>
          <t>ÖREBRO LÄN</t>
        </is>
      </c>
      <c r="E131" t="inlineStr">
        <is>
          <t>DEGERFORS</t>
        </is>
      </c>
      <c r="F131" t="inlineStr">
        <is>
          <t>Sveaskog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67998-2021</t>
        </is>
      </c>
      <c r="B132" s="1" t="n">
        <v>44525</v>
      </c>
      <c r="C132" s="1" t="n">
        <v>45708</v>
      </c>
      <c r="D132" t="inlineStr">
        <is>
          <t>ÖREBRO LÄN</t>
        </is>
      </c>
      <c r="E132" t="inlineStr">
        <is>
          <t>DEGERFORS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68578-2021</t>
        </is>
      </c>
      <c r="B133" s="1" t="n">
        <v>44529</v>
      </c>
      <c r="C133" s="1" t="n">
        <v>45708</v>
      </c>
      <c r="D133" t="inlineStr">
        <is>
          <t>ÖREBRO LÄN</t>
        </is>
      </c>
      <c r="E133" t="inlineStr">
        <is>
          <t>DEGERFORS</t>
        </is>
      </c>
      <c r="F133" t="inlineStr">
        <is>
          <t>Sveaskog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68576-2021</t>
        </is>
      </c>
      <c r="B134" s="1" t="n">
        <v>44529</v>
      </c>
      <c r="C134" s="1" t="n">
        <v>45708</v>
      </c>
      <c r="D134" t="inlineStr">
        <is>
          <t>ÖREBRO LÄN</t>
        </is>
      </c>
      <c r="E134" t="inlineStr">
        <is>
          <t>DEGERFORS</t>
        </is>
      </c>
      <c r="F134" t="inlineStr">
        <is>
          <t>Sveaskog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68581-2021</t>
        </is>
      </c>
      <c r="B135" s="1" t="n">
        <v>44529</v>
      </c>
      <c r="C135" s="1" t="n">
        <v>45708</v>
      </c>
      <c r="D135" t="inlineStr">
        <is>
          <t>ÖREBRO LÄN</t>
        </is>
      </c>
      <c r="E135" t="inlineStr">
        <is>
          <t>DEGERFORS</t>
        </is>
      </c>
      <c r="F135" t="inlineStr">
        <is>
          <t>Sveaskog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68582-2021</t>
        </is>
      </c>
      <c r="B136" s="1" t="n">
        <v>44529</v>
      </c>
      <c r="C136" s="1" t="n">
        <v>45708</v>
      </c>
      <c r="D136" t="inlineStr">
        <is>
          <t>ÖREBRO LÄN</t>
        </is>
      </c>
      <c r="E136" t="inlineStr">
        <is>
          <t>DEGERFORS</t>
        </is>
      </c>
      <c r="F136" t="inlineStr">
        <is>
          <t>Sveaskog</t>
        </is>
      </c>
      <c r="G136" t="n">
        <v>6.3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73321-2021</t>
        </is>
      </c>
      <c r="B137" s="1" t="n">
        <v>44550</v>
      </c>
      <c r="C137" s="1" t="n">
        <v>45708</v>
      </c>
      <c r="D137" t="inlineStr">
        <is>
          <t>ÖREBRO LÄN</t>
        </is>
      </c>
      <c r="E137" t="inlineStr">
        <is>
          <t>DEGERFORS</t>
        </is>
      </c>
      <c r="G137" t="n">
        <v>17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73693-2021</t>
        </is>
      </c>
      <c r="B138" s="1" t="n">
        <v>44552</v>
      </c>
      <c r="C138" s="1" t="n">
        <v>45708</v>
      </c>
      <c r="D138" t="inlineStr">
        <is>
          <t>ÖREBRO LÄN</t>
        </is>
      </c>
      <c r="E138" t="inlineStr">
        <is>
          <t>DEGERFORS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2357-2022</t>
        </is>
      </c>
      <c r="B139" s="1" t="n">
        <v>44578</v>
      </c>
      <c r="C139" s="1" t="n">
        <v>45708</v>
      </c>
      <c r="D139" t="inlineStr">
        <is>
          <t>ÖREBRO LÄN</t>
        </is>
      </c>
      <c r="E139" t="inlineStr">
        <is>
          <t>DEGERFORS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2565-2022</t>
        </is>
      </c>
      <c r="B140" s="1" t="n">
        <v>44579</v>
      </c>
      <c r="C140" s="1" t="n">
        <v>45708</v>
      </c>
      <c r="D140" t="inlineStr">
        <is>
          <t>ÖREBRO LÄN</t>
        </is>
      </c>
      <c r="E140" t="inlineStr">
        <is>
          <t>DEGERFORS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3177-2022</t>
        </is>
      </c>
      <c r="B141" s="1" t="n">
        <v>44582</v>
      </c>
      <c r="C141" s="1" t="n">
        <v>45708</v>
      </c>
      <c r="D141" t="inlineStr">
        <is>
          <t>ÖREBRO LÄN</t>
        </is>
      </c>
      <c r="E141" t="inlineStr">
        <is>
          <t>DEGERFORS</t>
        </is>
      </c>
      <c r="G141" t="n">
        <v>3.7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5319-2022</t>
        </is>
      </c>
      <c r="B142" s="1" t="n">
        <v>44594</v>
      </c>
      <c r="C142" s="1" t="n">
        <v>45708</v>
      </c>
      <c r="D142" t="inlineStr">
        <is>
          <t>ÖREBRO LÄN</t>
        </is>
      </c>
      <c r="E142" t="inlineStr">
        <is>
          <t>DEGERFORS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7510-2022</t>
        </is>
      </c>
      <c r="B143" s="1" t="n">
        <v>44607</v>
      </c>
      <c r="C143" s="1" t="n">
        <v>45708</v>
      </c>
      <c r="D143" t="inlineStr">
        <is>
          <t>ÖREBRO LÄN</t>
        </is>
      </c>
      <c r="E143" t="inlineStr">
        <is>
          <t>DEGERFORS</t>
        </is>
      </c>
      <c r="F143" t="inlineStr">
        <is>
          <t>Sveaskog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8184-2022</t>
        </is>
      </c>
      <c r="B144" s="1" t="n">
        <v>44609</v>
      </c>
      <c r="C144" s="1" t="n">
        <v>45708</v>
      </c>
      <c r="D144" t="inlineStr">
        <is>
          <t>ÖREBRO LÄN</t>
        </is>
      </c>
      <c r="E144" t="inlineStr">
        <is>
          <t>DEGERFORS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8186-2022</t>
        </is>
      </c>
      <c r="B145" s="1" t="n">
        <v>44609</v>
      </c>
      <c r="C145" s="1" t="n">
        <v>45708</v>
      </c>
      <c r="D145" t="inlineStr">
        <is>
          <t>ÖREBRO LÄN</t>
        </is>
      </c>
      <c r="E145" t="inlineStr">
        <is>
          <t>DEGERFORS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12977-2022</t>
        </is>
      </c>
      <c r="B146" s="1" t="n">
        <v>44643</v>
      </c>
      <c r="C146" s="1" t="n">
        <v>45708</v>
      </c>
      <c r="D146" t="inlineStr">
        <is>
          <t>ÖREBRO LÄN</t>
        </is>
      </c>
      <c r="E146" t="inlineStr">
        <is>
          <t>DEGERFORS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14121-2022</t>
        </is>
      </c>
      <c r="B147" s="1" t="n">
        <v>44651</v>
      </c>
      <c r="C147" s="1" t="n">
        <v>45708</v>
      </c>
      <c r="D147" t="inlineStr">
        <is>
          <t>ÖREBRO LÄN</t>
        </is>
      </c>
      <c r="E147" t="inlineStr">
        <is>
          <t>DEGERFORS</t>
        </is>
      </c>
      <c r="G147" t="n">
        <v>4.4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16451-2022</t>
        </is>
      </c>
      <c r="B148" s="1" t="n">
        <v>44671</v>
      </c>
      <c r="C148" s="1" t="n">
        <v>45708</v>
      </c>
      <c r="D148" t="inlineStr">
        <is>
          <t>ÖREBRO LÄN</t>
        </is>
      </c>
      <c r="E148" t="inlineStr">
        <is>
          <t>DEGERFORS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19371-2022</t>
        </is>
      </c>
      <c r="B149" s="1" t="n">
        <v>44692</v>
      </c>
      <c r="C149" s="1" t="n">
        <v>45708</v>
      </c>
      <c r="D149" t="inlineStr">
        <is>
          <t>ÖREBRO LÄN</t>
        </is>
      </c>
      <c r="E149" t="inlineStr">
        <is>
          <t>DEGERFORS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21529-2022</t>
        </is>
      </c>
      <c r="B150" s="1" t="n">
        <v>44706</v>
      </c>
      <c r="C150" s="1" t="n">
        <v>45708</v>
      </c>
      <c r="D150" t="inlineStr">
        <is>
          <t>ÖREBRO LÄN</t>
        </is>
      </c>
      <c r="E150" t="inlineStr">
        <is>
          <t>DEGERFORS</t>
        </is>
      </c>
      <c r="F150" t="inlineStr">
        <is>
          <t>Sveaskog</t>
        </is>
      </c>
      <c r="G150" t="n">
        <v>10.2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21512-2022</t>
        </is>
      </c>
      <c r="B151" s="1" t="n">
        <v>44706</v>
      </c>
      <c r="C151" s="1" t="n">
        <v>45708</v>
      </c>
      <c r="D151" t="inlineStr">
        <is>
          <t>ÖREBRO LÄN</t>
        </is>
      </c>
      <c r="E151" t="inlineStr">
        <is>
          <t>DEGERFORS</t>
        </is>
      </c>
      <c r="F151" t="inlineStr">
        <is>
          <t>Sveaskog</t>
        </is>
      </c>
      <c r="G151" t="n">
        <v>7.9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23064-2022</t>
        </is>
      </c>
      <c r="B152" s="1" t="n">
        <v>44719</v>
      </c>
      <c r="C152" s="1" t="n">
        <v>45708</v>
      </c>
      <c r="D152" t="inlineStr">
        <is>
          <t>ÖREBRO LÄN</t>
        </is>
      </c>
      <c r="E152" t="inlineStr">
        <is>
          <t>DEGERFORS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23066-2022</t>
        </is>
      </c>
      <c r="B153" s="1" t="n">
        <v>44719</v>
      </c>
      <c r="C153" s="1" t="n">
        <v>45708</v>
      </c>
      <c r="D153" t="inlineStr">
        <is>
          <t>ÖREBRO LÄN</t>
        </is>
      </c>
      <c r="E153" t="inlineStr">
        <is>
          <t>DEGERFORS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23058-2022</t>
        </is>
      </c>
      <c r="B154" s="1" t="n">
        <v>44719</v>
      </c>
      <c r="C154" s="1" t="n">
        <v>45708</v>
      </c>
      <c r="D154" t="inlineStr">
        <is>
          <t>ÖREBRO LÄN</t>
        </is>
      </c>
      <c r="E154" t="inlineStr">
        <is>
          <t>DEGERFORS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29605-2022</t>
        </is>
      </c>
      <c r="B155" s="1" t="n">
        <v>44754</v>
      </c>
      <c r="C155" s="1" t="n">
        <v>45708</v>
      </c>
      <c r="D155" t="inlineStr">
        <is>
          <t>ÖREBRO LÄN</t>
        </is>
      </c>
      <c r="E155" t="inlineStr">
        <is>
          <t>DEGERFORS</t>
        </is>
      </c>
      <c r="F155" t="inlineStr">
        <is>
          <t>Sveaskog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29607-2022</t>
        </is>
      </c>
      <c r="B156" s="1" t="n">
        <v>44754</v>
      </c>
      <c r="C156" s="1" t="n">
        <v>45708</v>
      </c>
      <c r="D156" t="inlineStr">
        <is>
          <t>ÖREBRO LÄN</t>
        </is>
      </c>
      <c r="E156" t="inlineStr">
        <is>
          <t>DEGERFORS</t>
        </is>
      </c>
      <c r="F156" t="inlineStr">
        <is>
          <t>Sveaskog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32211-2022</t>
        </is>
      </c>
      <c r="B157" s="1" t="n">
        <v>44781</v>
      </c>
      <c r="C157" s="1" t="n">
        <v>45708</v>
      </c>
      <c r="D157" t="inlineStr">
        <is>
          <t>ÖREBRO LÄN</t>
        </is>
      </c>
      <c r="E157" t="inlineStr">
        <is>
          <t>DEGERFORS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34884-2022</t>
        </is>
      </c>
      <c r="B158" s="1" t="n">
        <v>44796</v>
      </c>
      <c r="C158" s="1" t="n">
        <v>45708</v>
      </c>
      <c r="D158" t="inlineStr">
        <is>
          <t>ÖREBRO LÄN</t>
        </is>
      </c>
      <c r="E158" t="inlineStr">
        <is>
          <t>DEGERFORS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35107-2022</t>
        </is>
      </c>
      <c r="B159" s="1" t="n">
        <v>44797</v>
      </c>
      <c r="C159" s="1" t="n">
        <v>45708</v>
      </c>
      <c r="D159" t="inlineStr">
        <is>
          <t>ÖREBRO LÄN</t>
        </is>
      </c>
      <c r="E159" t="inlineStr">
        <is>
          <t>DEGERFORS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36784-2022</t>
        </is>
      </c>
      <c r="B160" s="1" t="n">
        <v>44805</v>
      </c>
      <c r="C160" s="1" t="n">
        <v>45708</v>
      </c>
      <c r="D160" t="inlineStr">
        <is>
          <t>ÖREBRO LÄN</t>
        </is>
      </c>
      <c r="E160" t="inlineStr">
        <is>
          <t>DEGERFORS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36798-2022</t>
        </is>
      </c>
      <c r="B161" s="1" t="n">
        <v>44805</v>
      </c>
      <c r="C161" s="1" t="n">
        <v>45708</v>
      </c>
      <c r="D161" t="inlineStr">
        <is>
          <t>ÖREBRO LÄN</t>
        </is>
      </c>
      <c r="E161" t="inlineStr">
        <is>
          <t>DEGERFORS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38738-2022</t>
        </is>
      </c>
      <c r="B162" s="1" t="n">
        <v>44816</v>
      </c>
      <c r="C162" s="1" t="n">
        <v>45708</v>
      </c>
      <c r="D162" t="inlineStr">
        <is>
          <t>ÖREBRO LÄN</t>
        </is>
      </c>
      <c r="E162" t="inlineStr">
        <is>
          <t>DEGERFORS</t>
        </is>
      </c>
      <c r="F162" t="inlineStr">
        <is>
          <t>Sveaskog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38746-2022</t>
        </is>
      </c>
      <c r="B163" s="1" t="n">
        <v>44816</v>
      </c>
      <c r="C163" s="1" t="n">
        <v>45708</v>
      </c>
      <c r="D163" t="inlineStr">
        <is>
          <t>ÖREBRO LÄN</t>
        </is>
      </c>
      <c r="E163" t="inlineStr">
        <is>
          <t>DEGERFORS</t>
        </is>
      </c>
      <c r="F163" t="inlineStr">
        <is>
          <t>Sveaskog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38743-2022</t>
        </is>
      </c>
      <c r="B164" s="1" t="n">
        <v>44816</v>
      </c>
      <c r="C164" s="1" t="n">
        <v>45708</v>
      </c>
      <c r="D164" t="inlineStr">
        <is>
          <t>ÖREBRO LÄN</t>
        </is>
      </c>
      <c r="E164" t="inlineStr">
        <is>
          <t>DEGERFORS</t>
        </is>
      </c>
      <c r="F164" t="inlineStr">
        <is>
          <t>Sveaskog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38748-2022</t>
        </is>
      </c>
      <c r="B165" s="1" t="n">
        <v>44816</v>
      </c>
      <c r="C165" s="1" t="n">
        <v>45708</v>
      </c>
      <c r="D165" t="inlineStr">
        <is>
          <t>ÖREBRO LÄN</t>
        </is>
      </c>
      <c r="E165" t="inlineStr">
        <is>
          <t>DEGERFORS</t>
        </is>
      </c>
      <c r="F165" t="inlineStr">
        <is>
          <t>Sveaskog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38747-2022</t>
        </is>
      </c>
      <c r="B166" s="1" t="n">
        <v>44816</v>
      </c>
      <c r="C166" s="1" t="n">
        <v>45708</v>
      </c>
      <c r="D166" t="inlineStr">
        <is>
          <t>ÖREBRO LÄN</t>
        </is>
      </c>
      <c r="E166" t="inlineStr">
        <is>
          <t>DEGERFORS</t>
        </is>
      </c>
      <c r="F166" t="inlineStr">
        <is>
          <t>Sveaskog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44457-2022</t>
        </is>
      </c>
      <c r="B167" s="1" t="n">
        <v>44839</v>
      </c>
      <c r="C167" s="1" t="n">
        <v>45708</v>
      </c>
      <c r="D167" t="inlineStr">
        <is>
          <t>ÖREBRO LÄN</t>
        </is>
      </c>
      <c r="E167" t="inlineStr">
        <is>
          <t>DEGERFORS</t>
        </is>
      </c>
      <c r="G167" t="n">
        <v>6.8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45166-2022</t>
        </is>
      </c>
      <c r="B168" s="1" t="n">
        <v>44844</v>
      </c>
      <c r="C168" s="1" t="n">
        <v>45708</v>
      </c>
      <c r="D168" t="inlineStr">
        <is>
          <t>ÖREBRO LÄN</t>
        </is>
      </c>
      <c r="E168" t="inlineStr">
        <is>
          <t>DEGERFORS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45292-2022</t>
        </is>
      </c>
      <c r="B169" s="1" t="n">
        <v>44844</v>
      </c>
      <c r="C169" s="1" t="n">
        <v>45708</v>
      </c>
      <c r="D169" t="inlineStr">
        <is>
          <t>ÖREBRO LÄN</t>
        </is>
      </c>
      <c r="E169" t="inlineStr">
        <is>
          <t>DEGERFORS</t>
        </is>
      </c>
      <c r="F169" t="inlineStr">
        <is>
          <t>Sveaskog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45291-2022</t>
        </is>
      </c>
      <c r="B170" s="1" t="n">
        <v>44844</v>
      </c>
      <c r="C170" s="1" t="n">
        <v>45708</v>
      </c>
      <c r="D170" t="inlineStr">
        <is>
          <t>ÖREBRO LÄN</t>
        </is>
      </c>
      <c r="E170" t="inlineStr">
        <is>
          <t>DEGERFORS</t>
        </is>
      </c>
      <c r="F170" t="inlineStr">
        <is>
          <t>Sveaskog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45298-2022</t>
        </is>
      </c>
      <c r="B171" s="1" t="n">
        <v>44844</v>
      </c>
      <c r="C171" s="1" t="n">
        <v>45708</v>
      </c>
      <c r="D171" t="inlineStr">
        <is>
          <t>ÖREBRO LÄN</t>
        </is>
      </c>
      <c r="E171" t="inlineStr">
        <is>
          <t>DEGERFORS</t>
        </is>
      </c>
      <c r="F171" t="inlineStr">
        <is>
          <t>Sveaskog</t>
        </is>
      </c>
      <c r="G171" t="n">
        <v>6.5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45296-2022</t>
        </is>
      </c>
      <c r="B172" s="1" t="n">
        <v>44844</v>
      </c>
      <c r="C172" s="1" t="n">
        <v>45708</v>
      </c>
      <c r="D172" t="inlineStr">
        <is>
          <t>ÖREBRO LÄN</t>
        </is>
      </c>
      <c r="E172" t="inlineStr">
        <is>
          <t>DEGERFORS</t>
        </is>
      </c>
      <c r="F172" t="inlineStr">
        <is>
          <t>Sveaskog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48216-2022</t>
        </is>
      </c>
      <c r="B173" s="1" t="n">
        <v>44858</v>
      </c>
      <c r="C173" s="1" t="n">
        <v>45708</v>
      </c>
      <c r="D173" t="inlineStr">
        <is>
          <t>ÖREBRO LÄN</t>
        </is>
      </c>
      <c r="E173" t="inlineStr">
        <is>
          <t>DEGERFORS</t>
        </is>
      </c>
      <c r="F173" t="inlineStr">
        <is>
          <t>Sveaskog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49282-2022</t>
        </is>
      </c>
      <c r="B174" s="1" t="n">
        <v>44861</v>
      </c>
      <c r="C174" s="1" t="n">
        <v>45708</v>
      </c>
      <c r="D174" t="inlineStr">
        <is>
          <t>ÖREBRO LÄN</t>
        </is>
      </c>
      <c r="E174" t="inlineStr">
        <is>
          <t>DEGERFORS</t>
        </is>
      </c>
      <c r="F174" t="inlineStr">
        <is>
          <t>Sveaskog</t>
        </is>
      </c>
      <c r="G174" t="n">
        <v>12.2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50600-2022</t>
        </is>
      </c>
      <c r="B175" s="1" t="n">
        <v>44861</v>
      </c>
      <c r="C175" s="1" t="n">
        <v>45708</v>
      </c>
      <c r="D175" t="inlineStr">
        <is>
          <t>ÖREBRO LÄN</t>
        </is>
      </c>
      <c r="E175" t="inlineStr">
        <is>
          <t>DEGERFORS</t>
        </is>
      </c>
      <c r="G175" t="n">
        <v>5.6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50599-2022</t>
        </is>
      </c>
      <c r="B176" s="1" t="n">
        <v>44861</v>
      </c>
      <c r="C176" s="1" t="n">
        <v>45708</v>
      </c>
      <c r="D176" t="inlineStr">
        <is>
          <t>ÖREBRO LÄN</t>
        </is>
      </c>
      <c r="E176" t="inlineStr">
        <is>
          <t>DEGERFORS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50416-2022</t>
        </is>
      </c>
      <c r="B177" s="1" t="n">
        <v>44866</v>
      </c>
      <c r="C177" s="1" t="n">
        <v>45708</v>
      </c>
      <c r="D177" t="inlineStr">
        <is>
          <t>ÖREBRO LÄN</t>
        </is>
      </c>
      <c r="E177" t="inlineStr">
        <is>
          <t>DEGERFORS</t>
        </is>
      </c>
      <c r="F177" t="inlineStr">
        <is>
          <t>Sveaskog</t>
        </is>
      </c>
      <c r="G177" t="n">
        <v>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51468-2022</t>
        </is>
      </c>
      <c r="B178" s="1" t="n">
        <v>44869</v>
      </c>
      <c r="C178" s="1" t="n">
        <v>45708</v>
      </c>
      <c r="D178" t="inlineStr">
        <is>
          <t>ÖREBRO LÄN</t>
        </is>
      </c>
      <c r="E178" t="inlineStr">
        <is>
          <t>DEGERFORS</t>
        </is>
      </c>
      <c r="F178" t="inlineStr">
        <is>
          <t>Sveaskog</t>
        </is>
      </c>
      <c r="G178" t="n">
        <v>12.3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55443-2022</t>
        </is>
      </c>
      <c r="B179" s="1" t="n">
        <v>44887</v>
      </c>
      <c r="C179" s="1" t="n">
        <v>45708</v>
      </c>
      <c r="D179" t="inlineStr">
        <is>
          <t>ÖREBRO LÄN</t>
        </is>
      </c>
      <c r="E179" t="inlineStr">
        <is>
          <t>DEGERFORS</t>
        </is>
      </c>
      <c r="F179" t="inlineStr">
        <is>
          <t>Sveaskog</t>
        </is>
      </c>
      <c r="G179" t="n">
        <v>6.7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55446-2022</t>
        </is>
      </c>
      <c r="B180" s="1" t="n">
        <v>44887</v>
      </c>
      <c r="C180" s="1" t="n">
        <v>45708</v>
      </c>
      <c r="D180" t="inlineStr">
        <is>
          <t>ÖREBRO LÄN</t>
        </is>
      </c>
      <c r="E180" t="inlineStr">
        <is>
          <t>DEGERFORS</t>
        </is>
      </c>
      <c r="F180" t="inlineStr">
        <is>
          <t>Sveaskog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59158-2022</t>
        </is>
      </c>
      <c r="B181" s="1" t="n">
        <v>44904</v>
      </c>
      <c r="C181" s="1" t="n">
        <v>45708</v>
      </c>
      <c r="D181" t="inlineStr">
        <is>
          <t>ÖREBRO LÄN</t>
        </is>
      </c>
      <c r="E181" t="inlineStr">
        <is>
          <t>DEGERFORS</t>
        </is>
      </c>
      <c r="F181" t="inlineStr">
        <is>
          <t>Sveaskog</t>
        </is>
      </c>
      <c r="G181" t="n">
        <v>3.7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59390-2022</t>
        </is>
      </c>
      <c r="B182" s="1" t="n">
        <v>44906</v>
      </c>
      <c r="C182" s="1" t="n">
        <v>45708</v>
      </c>
      <c r="D182" t="inlineStr">
        <is>
          <t>ÖREBRO LÄN</t>
        </is>
      </c>
      <c r="E182" t="inlineStr">
        <is>
          <t>DEGERFORS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2997-2023</t>
        </is>
      </c>
      <c r="B183" s="1" t="n">
        <v>44945</v>
      </c>
      <c r="C183" s="1" t="n">
        <v>45708</v>
      </c>
      <c r="D183" t="inlineStr">
        <is>
          <t>ÖREBRO LÄN</t>
        </is>
      </c>
      <c r="E183" t="inlineStr">
        <is>
          <t>DEGERFORS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7909-2023</t>
        </is>
      </c>
      <c r="B184" s="1" t="n">
        <v>44973</v>
      </c>
      <c r="C184" s="1" t="n">
        <v>45708</v>
      </c>
      <c r="D184" t="inlineStr">
        <is>
          <t>ÖREBRO LÄN</t>
        </is>
      </c>
      <c r="E184" t="inlineStr">
        <is>
          <t>DEGERFORS</t>
        </is>
      </c>
      <c r="F184" t="inlineStr">
        <is>
          <t>Sveaskog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8993-2023</t>
        </is>
      </c>
      <c r="B185" s="1" t="n">
        <v>44979</v>
      </c>
      <c r="C185" s="1" t="n">
        <v>45708</v>
      </c>
      <c r="D185" t="inlineStr">
        <is>
          <t>ÖREBRO LÄN</t>
        </is>
      </c>
      <c r="E185" t="inlineStr">
        <is>
          <t>DEGERFORS</t>
        </is>
      </c>
      <c r="F185" t="inlineStr">
        <is>
          <t>Sveaskog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8992-2023</t>
        </is>
      </c>
      <c r="B186" s="1" t="n">
        <v>44979</v>
      </c>
      <c r="C186" s="1" t="n">
        <v>45708</v>
      </c>
      <c r="D186" t="inlineStr">
        <is>
          <t>ÖREBRO LÄN</t>
        </is>
      </c>
      <c r="E186" t="inlineStr">
        <is>
          <t>DEGERFORS</t>
        </is>
      </c>
      <c r="F186" t="inlineStr">
        <is>
          <t>Sveaskog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8994-2023</t>
        </is>
      </c>
      <c r="B187" s="1" t="n">
        <v>44979</v>
      </c>
      <c r="C187" s="1" t="n">
        <v>45708</v>
      </c>
      <c r="D187" t="inlineStr">
        <is>
          <t>ÖREBRO LÄN</t>
        </is>
      </c>
      <c r="E187" t="inlineStr">
        <is>
          <t>DEGERFORS</t>
        </is>
      </c>
      <c r="F187" t="inlineStr">
        <is>
          <t>Sveaskog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9501-2023</t>
        </is>
      </c>
      <c r="B188" s="1" t="n">
        <v>44981</v>
      </c>
      <c r="C188" s="1" t="n">
        <v>45708</v>
      </c>
      <c r="D188" t="inlineStr">
        <is>
          <t>ÖREBRO LÄN</t>
        </is>
      </c>
      <c r="E188" t="inlineStr">
        <is>
          <t>DEGERFORS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10321-2023</t>
        </is>
      </c>
      <c r="B189" s="1" t="n">
        <v>44987</v>
      </c>
      <c r="C189" s="1" t="n">
        <v>45708</v>
      </c>
      <c r="D189" t="inlineStr">
        <is>
          <t>ÖREBRO LÄN</t>
        </is>
      </c>
      <c r="E189" t="inlineStr">
        <is>
          <t>DEGERFORS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11085-2023</t>
        </is>
      </c>
      <c r="B190" s="1" t="n">
        <v>44986</v>
      </c>
      <c r="C190" s="1" t="n">
        <v>45708</v>
      </c>
      <c r="D190" t="inlineStr">
        <is>
          <t>ÖREBRO LÄN</t>
        </is>
      </c>
      <c r="E190" t="inlineStr">
        <is>
          <t>DEGERFORS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10320-2023</t>
        </is>
      </c>
      <c r="B191" s="1" t="n">
        <v>44986</v>
      </c>
      <c r="C191" s="1" t="n">
        <v>45708</v>
      </c>
      <c r="D191" t="inlineStr">
        <is>
          <t>ÖREBRO LÄN</t>
        </is>
      </c>
      <c r="E191" t="inlineStr">
        <is>
          <t>DEGERFORS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11084-2023</t>
        </is>
      </c>
      <c r="B192" s="1" t="n">
        <v>44986</v>
      </c>
      <c r="C192" s="1" t="n">
        <v>45708</v>
      </c>
      <c r="D192" t="inlineStr">
        <is>
          <t>ÖREBRO LÄN</t>
        </is>
      </c>
      <c r="E192" t="inlineStr">
        <is>
          <t>DEGERFORS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10322-2023</t>
        </is>
      </c>
      <c r="B193" s="1" t="n">
        <v>44986</v>
      </c>
      <c r="C193" s="1" t="n">
        <v>45708</v>
      </c>
      <c r="D193" t="inlineStr">
        <is>
          <t>ÖREBRO LÄN</t>
        </is>
      </c>
      <c r="E193" t="inlineStr">
        <is>
          <t>DEGERFORS</t>
        </is>
      </c>
      <c r="G193" t="n">
        <v>10.9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10765-2023</t>
        </is>
      </c>
      <c r="B194" s="1" t="n">
        <v>44988</v>
      </c>
      <c r="C194" s="1" t="n">
        <v>45708</v>
      </c>
      <c r="D194" t="inlineStr">
        <is>
          <t>ÖREBRO LÄN</t>
        </is>
      </c>
      <c r="E194" t="inlineStr">
        <is>
          <t>DEGERFORS</t>
        </is>
      </c>
      <c r="G194" t="n">
        <v>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10781-2023</t>
        </is>
      </c>
      <c r="B195" s="1" t="n">
        <v>44988</v>
      </c>
      <c r="C195" s="1" t="n">
        <v>45708</v>
      </c>
      <c r="D195" t="inlineStr">
        <is>
          <t>ÖREBRO LÄN</t>
        </is>
      </c>
      <c r="E195" t="inlineStr">
        <is>
          <t>DEGERFORS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10797-2023</t>
        </is>
      </c>
      <c r="B196" s="1" t="n">
        <v>44989</v>
      </c>
      <c r="C196" s="1" t="n">
        <v>45708</v>
      </c>
      <c r="D196" t="inlineStr">
        <is>
          <t>ÖREBRO LÄN</t>
        </is>
      </c>
      <c r="E196" t="inlineStr">
        <is>
          <t>DEGERFORS</t>
        </is>
      </c>
      <c r="G196" t="n">
        <v>9.5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10796-2023</t>
        </is>
      </c>
      <c r="B197" s="1" t="n">
        <v>44989</v>
      </c>
      <c r="C197" s="1" t="n">
        <v>45708</v>
      </c>
      <c r="D197" t="inlineStr">
        <is>
          <t>ÖREBRO LÄN</t>
        </is>
      </c>
      <c r="E197" t="inlineStr">
        <is>
          <t>DEGERFORS</t>
        </is>
      </c>
      <c r="G197" t="n">
        <v>5.9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12143-2023</t>
        </is>
      </c>
      <c r="B198" s="1" t="n">
        <v>44995</v>
      </c>
      <c r="C198" s="1" t="n">
        <v>45708</v>
      </c>
      <c r="D198" t="inlineStr">
        <is>
          <t>ÖREBRO LÄN</t>
        </is>
      </c>
      <c r="E198" t="inlineStr">
        <is>
          <t>DEGERFORS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12859-2023</t>
        </is>
      </c>
      <c r="B199" s="1" t="n">
        <v>45001</v>
      </c>
      <c r="C199" s="1" t="n">
        <v>45708</v>
      </c>
      <c r="D199" t="inlineStr">
        <is>
          <t>ÖREBRO LÄN</t>
        </is>
      </c>
      <c r="E199" t="inlineStr">
        <is>
          <t>DEGERFORS</t>
        </is>
      </c>
      <c r="G199" t="n">
        <v>5.4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14725-2023</t>
        </is>
      </c>
      <c r="B200" s="1" t="n">
        <v>45014</v>
      </c>
      <c r="C200" s="1" t="n">
        <v>45708</v>
      </c>
      <c r="D200" t="inlineStr">
        <is>
          <t>ÖREBRO LÄN</t>
        </is>
      </c>
      <c r="E200" t="inlineStr">
        <is>
          <t>DEGERFORS</t>
        </is>
      </c>
      <c r="F200" t="inlineStr">
        <is>
          <t>Sveaskog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14723-2023</t>
        </is>
      </c>
      <c r="B201" s="1" t="n">
        <v>45014</v>
      </c>
      <c r="C201" s="1" t="n">
        <v>45708</v>
      </c>
      <c r="D201" t="inlineStr">
        <is>
          <t>ÖREBRO LÄN</t>
        </is>
      </c>
      <c r="E201" t="inlineStr">
        <is>
          <t>DEGERFORS</t>
        </is>
      </c>
      <c r="F201" t="inlineStr">
        <is>
          <t>Sveaskog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16257-2023</t>
        </is>
      </c>
      <c r="B202" s="1" t="n">
        <v>45028</v>
      </c>
      <c r="C202" s="1" t="n">
        <v>45708</v>
      </c>
      <c r="D202" t="inlineStr">
        <is>
          <t>ÖREBRO LÄN</t>
        </is>
      </c>
      <c r="E202" t="inlineStr">
        <is>
          <t>DEGERFORS</t>
        </is>
      </c>
      <c r="F202" t="inlineStr">
        <is>
          <t>Sveaskog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19305-2023</t>
        </is>
      </c>
      <c r="B203" s="1" t="n">
        <v>45049</v>
      </c>
      <c r="C203" s="1" t="n">
        <v>45708</v>
      </c>
      <c r="D203" t="inlineStr">
        <is>
          <t>ÖREBRO LÄN</t>
        </is>
      </c>
      <c r="E203" t="inlineStr">
        <is>
          <t>DEGERFORS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20383-2023</t>
        </is>
      </c>
      <c r="B204" s="1" t="n">
        <v>45056</v>
      </c>
      <c r="C204" s="1" t="n">
        <v>45708</v>
      </c>
      <c r="D204" t="inlineStr">
        <is>
          <t>ÖREBRO LÄN</t>
        </is>
      </c>
      <c r="E204" t="inlineStr">
        <is>
          <t>DEGERFORS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20578-2023</t>
        </is>
      </c>
      <c r="B205" s="1" t="n">
        <v>45057</v>
      </c>
      <c r="C205" s="1" t="n">
        <v>45708</v>
      </c>
      <c r="D205" t="inlineStr">
        <is>
          <t>ÖREBRO LÄN</t>
        </is>
      </c>
      <c r="E205" t="inlineStr">
        <is>
          <t>DEGERFORS</t>
        </is>
      </c>
      <c r="F205" t="inlineStr">
        <is>
          <t>Sveaskog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20577-2023</t>
        </is>
      </c>
      <c r="B206" s="1" t="n">
        <v>45057</v>
      </c>
      <c r="C206" s="1" t="n">
        <v>45708</v>
      </c>
      <c r="D206" t="inlineStr">
        <is>
          <t>ÖREBRO LÄN</t>
        </is>
      </c>
      <c r="E206" t="inlineStr">
        <is>
          <t>DEGERFORS</t>
        </is>
      </c>
      <c r="F206" t="inlineStr">
        <is>
          <t>Sveaskog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20576-2023</t>
        </is>
      </c>
      <c r="B207" s="1" t="n">
        <v>45057</v>
      </c>
      <c r="C207" s="1" t="n">
        <v>45708</v>
      </c>
      <c r="D207" t="inlineStr">
        <is>
          <t>ÖREBRO LÄN</t>
        </is>
      </c>
      <c r="E207" t="inlineStr">
        <is>
          <t>DEGERFORS</t>
        </is>
      </c>
      <c r="F207" t="inlineStr">
        <is>
          <t>Sveaskog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20575-2023</t>
        </is>
      </c>
      <c r="B208" s="1" t="n">
        <v>45057</v>
      </c>
      <c r="C208" s="1" t="n">
        <v>45708</v>
      </c>
      <c r="D208" t="inlineStr">
        <is>
          <t>ÖREBRO LÄN</t>
        </is>
      </c>
      <c r="E208" t="inlineStr">
        <is>
          <t>DEGERFORS</t>
        </is>
      </c>
      <c r="F208" t="inlineStr">
        <is>
          <t>Sveaskog</t>
        </is>
      </c>
      <c r="G208" t="n">
        <v>12.5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22201-2023</t>
        </is>
      </c>
      <c r="B209" s="1" t="n">
        <v>45069</v>
      </c>
      <c r="C209" s="1" t="n">
        <v>45708</v>
      </c>
      <c r="D209" t="inlineStr">
        <is>
          <t>ÖREBRO LÄN</t>
        </is>
      </c>
      <c r="E209" t="inlineStr">
        <is>
          <t>DEGERFORS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22653-2023</t>
        </is>
      </c>
      <c r="B210" s="1" t="n">
        <v>45071</v>
      </c>
      <c r="C210" s="1" t="n">
        <v>45708</v>
      </c>
      <c r="D210" t="inlineStr">
        <is>
          <t>ÖREBRO LÄN</t>
        </is>
      </c>
      <c r="E210" t="inlineStr">
        <is>
          <t>DEGERFORS</t>
        </is>
      </c>
      <c r="F210" t="inlineStr">
        <is>
          <t>Sveaskog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22652-2023</t>
        </is>
      </c>
      <c r="B211" s="1" t="n">
        <v>45071</v>
      </c>
      <c r="C211" s="1" t="n">
        <v>45708</v>
      </c>
      <c r="D211" t="inlineStr">
        <is>
          <t>ÖREBRO LÄN</t>
        </is>
      </c>
      <c r="E211" t="inlineStr">
        <is>
          <t>DEGERFORS</t>
        </is>
      </c>
      <c r="F211" t="inlineStr">
        <is>
          <t>Sveaskog</t>
        </is>
      </c>
      <c r="G211" t="n">
        <v>7.9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23082-2023</t>
        </is>
      </c>
      <c r="B212" s="1" t="n">
        <v>45075</v>
      </c>
      <c r="C212" s="1" t="n">
        <v>45708</v>
      </c>
      <c r="D212" t="inlineStr">
        <is>
          <t>ÖREBRO LÄN</t>
        </is>
      </c>
      <c r="E212" t="inlineStr">
        <is>
          <t>DEGERFORS</t>
        </is>
      </c>
      <c r="F212" t="inlineStr">
        <is>
          <t>Sveaskog</t>
        </is>
      </c>
      <c r="G212" t="n">
        <v>5.9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23076-2023</t>
        </is>
      </c>
      <c r="B213" s="1" t="n">
        <v>45075</v>
      </c>
      <c r="C213" s="1" t="n">
        <v>45708</v>
      </c>
      <c r="D213" t="inlineStr">
        <is>
          <t>ÖREBRO LÄN</t>
        </is>
      </c>
      <c r="E213" t="inlineStr">
        <is>
          <t>DEGERFORS</t>
        </is>
      </c>
      <c r="F213" t="inlineStr">
        <is>
          <t>Sveaskog</t>
        </is>
      </c>
      <c r="G213" t="n">
        <v>5.6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23081-2023</t>
        </is>
      </c>
      <c r="B214" s="1" t="n">
        <v>45075</v>
      </c>
      <c r="C214" s="1" t="n">
        <v>45708</v>
      </c>
      <c r="D214" t="inlineStr">
        <is>
          <t>ÖREBRO LÄN</t>
        </is>
      </c>
      <c r="E214" t="inlineStr">
        <is>
          <t>DEGERFORS</t>
        </is>
      </c>
      <c r="F214" t="inlineStr">
        <is>
          <t>Sveaskog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29108-2023</t>
        </is>
      </c>
      <c r="B215" s="1" t="n">
        <v>45105</v>
      </c>
      <c r="C215" s="1" t="n">
        <v>45708</v>
      </c>
      <c r="D215" t="inlineStr">
        <is>
          <t>ÖREBRO LÄN</t>
        </is>
      </c>
      <c r="E215" t="inlineStr">
        <is>
          <t>DEGERFORS</t>
        </is>
      </c>
      <c r="G215" t="n">
        <v>5.8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29482-2023</t>
        </is>
      </c>
      <c r="B216" s="1" t="n">
        <v>45106</v>
      </c>
      <c r="C216" s="1" t="n">
        <v>45708</v>
      </c>
      <c r="D216" t="inlineStr">
        <is>
          <t>ÖREBRO LÄN</t>
        </is>
      </c>
      <c r="E216" t="inlineStr">
        <is>
          <t>DEGERFORS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33293-2023</t>
        </is>
      </c>
      <c r="B217" s="1" t="n">
        <v>45116</v>
      </c>
      <c r="C217" s="1" t="n">
        <v>45708</v>
      </c>
      <c r="D217" t="inlineStr">
        <is>
          <t>ÖREBRO LÄN</t>
        </is>
      </c>
      <c r="E217" t="inlineStr">
        <is>
          <t>DEGERFORS</t>
        </is>
      </c>
      <c r="G217" t="n">
        <v>17.2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33297-2023</t>
        </is>
      </c>
      <c r="B218" s="1" t="n">
        <v>45116</v>
      </c>
      <c r="C218" s="1" t="n">
        <v>45708</v>
      </c>
      <c r="D218" t="inlineStr">
        <is>
          <t>ÖREBRO LÄN</t>
        </is>
      </c>
      <c r="E218" t="inlineStr">
        <is>
          <t>DEGERFORS</t>
        </is>
      </c>
      <c r="G218" t="n">
        <v>7.2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32154-2023</t>
        </is>
      </c>
      <c r="B219" s="1" t="n">
        <v>45119</v>
      </c>
      <c r="C219" s="1" t="n">
        <v>45708</v>
      </c>
      <c r="D219" t="inlineStr">
        <is>
          <t>ÖREBRO LÄN</t>
        </is>
      </c>
      <c r="E219" t="inlineStr">
        <is>
          <t>DEGERFORS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32885-2023</t>
        </is>
      </c>
      <c r="B220" s="1" t="n">
        <v>45124</v>
      </c>
      <c r="C220" s="1" t="n">
        <v>45708</v>
      </c>
      <c r="D220" t="inlineStr">
        <is>
          <t>ÖREBRO LÄN</t>
        </is>
      </c>
      <c r="E220" t="inlineStr">
        <is>
          <t>DEGERFORS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34301-2023</t>
        </is>
      </c>
      <c r="B221" s="1" t="n">
        <v>45138</v>
      </c>
      <c r="C221" s="1" t="n">
        <v>45708</v>
      </c>
      <c r="D221" t="inlineStr">
        <is>
          <t>ÖREBRO LÄN</t>
        </is>
      </c>
      <c r="E221" t="inlineStr">
        <is>
          <t>DEGERFORS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35907-2023</t>
        </is>
      </c>
      <c r="B222" s="1" t="n">
        <v>45148</v>
      </c>
      <c r="C222" s="1" t="n">
        <v>45708</v>
      </c>
      <c r="D222" t="inlineStr">
        <is>
          <t>ÖREBRO LÄN</t>
        </is>
      </c>
      <c r="E222" t="inlineStr">
        <is>
          <t>DEGERFORS</t>
        </is>
      </c>
      <c r="F222" t="inlineStr">
        <is>
          <t>Sveaskog</t>
        </is>
      </c>
      <c r="G222" t="n">
        <v>6.7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37895-2023</t>
        </is>
      </c>
      <c r="B223" s="1" t="n">
        <v>45160</v>
      </c>
      <c r="C223" s="1" t="n">
        <v>45708</v>
      </c>
      <c r="D223" t="inlineStr">
        <is>
          <t>ÖREBRO LÄN</t>
        </is>
      </c>
      <c r="E223" t="inlineStr">
        <is>
          <t>DEGERFORS</t>
        </is>
      </c>
      <c r="F223" t="inlineStr">
        <is>
          <t>Sveaskog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37896-2023</t>
        </is>
      </c>
      <c r="B224" s="1" t="n">
        <v>45160</v>
      </c>
      <c r="C224" s="1" t="n">
        <v>45708</v>
      </c>
      <c r="D224" t="inlineStr">
        <is>
          <t>ÖREBRO LÄN</t>
        </is>
      </c>
      <c r="E224" t="inlineStr">
        <is>
          <t>DEGERFORS</t>
        </is>
      </c>
      <c r="F224" t="inlineStr">
        <is>
          <t>Sveaskog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38233-2023</t>
        </is>
      </c>
      <c r="B225" s="1" t="n">
        <v>45160</v>
      </c>
      <c r="C225" s="1" t="n">
        <v>45708</v>
      </c>
      <c r="D225" t="inlineStr">
        <is>
          <t>ÖREBRO LÄN</t>
        </is>
      </c>
      <c r="E225" t="inlineStr">
        <is>
          <t>DEGERFORS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38891-2023</t>
        </is>
      </c>
      <c r="B226" s="1" t="n">
        <v>45163</v>
      </c>
      <c r="C226" s="1" t="n">
        <v>45708</v>
      </c>
      <c r="D226" t="inlineStr">
        <is>
          <t>ÖREBRO LÄN</t>
        </is>
      </c>
      <c r="E226" t="inlineStr">
        <is>
          <t>DEGERFORS</t>
        </is>
      </c>
      <c r="F226" t="inlineStr">
        <is>
          <t>Sveaskog</t>
        </is>
      </c>
      <c r="G226" t="n">
        <v>9.4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38903-2023</t>
        </is>
      </c>
      <c r="B227" s="1" t="n">
        <v>45163</v>
      </c>
      <c r="C227" s="1" t="n">
        <v>45708</v>
      </c>
      <c r="D227" t="inlineStr">
        <is>
          <t>ÖREBRO LÄN</t>
        </is>
      </c>
      <c r="E227" t="inlineStr">
        <is>
          <t>DEGERFORS</t>
        </is>
      </c>
      <c r="F227" t="inlineStr">
        <is>
          <t>Sveaskog</t>
        </is>
      </c>
      <c r="G227" t="n">
        <v>9.1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38917-2023</t>
        </is>
      </c>
      <c r="B228" s="1" t="n">
        <v>45163</v>
      </c>
      <c r="C228" s="1" t="n">
        <v>45708</v>
      </c>
      <c r="D228" t="inlineStr">
        <is>
          <t>ÖREBRO LÄN</t>
        </is>
      </c>
      <c r="E228" t="inlineStr">
        <is>
          <t>DEGERFORS</t>
        </is>
      </c>
      <c r="F228" t="inlineStr">
        <is>
          <t>Sveaskog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38887-2023</t>
        </is>
      </c>
      <c r="B229" s="1" t="n">
        <v>45163</v>
      </c>
      <c r="C229" s="1" t="n">
        <v>45708</v>
      </c>
      <c r="D229" t="inlineStr">
        <is>
          <t>ÖREBRO LÄN</t>
        </is>
      </c>
      <c r="E229" t="inlineStr">
        <is>
          <t>DEGERFORS</t>
        </is>
      </c>
      <c r="F229" t="inlineStr">
        <is>
          <t>Sveaskog</t>
        </is>
      </c>
      <c r="G229" t="n">
        <v>5.3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38896-2023</t>
        </is>
      </c>
      <c r="B230" s="1" t="n">
        <v>45163</v>
      </c>
      <c r="C230" s="1" t="n">
        <v>45708</v>
      </c>
      <c r="D230" t="inlineStr">
        <is>
          <t>ÖREBRO LÄN</t>
        </is>
      </c>
      <c r="E230" t="inlineStr">
        <is>
          <t>DEGERFORS</t>
        </is>
      </c>
      <c r="F230" t="inlineStr">
        <is>
          <t>Sveaskog</t>
        </is>
      </c>
      <c r="G230" t="n">
        <v>4.4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38904-2023</t>
        </is>
      </c>
      <c r="B231" s="1" t="n">
        <v>45163</v>
      </c>
      <c r="C231" s="1" t="n">
        <v>45708</v>
      </c>
      <c r="D231" t="inlineStr">
        <is>
          <t>ÖREBRO LÄN</t>
        </is>
      </c>
      <c r="E231" t="inlineStr">
        <is>
          <t>DEGERFORS</t>
        </is>
      </c>
      <c r="F231" t="inlineStr">
        <is>
          <t>Sveaskog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38901-2023</t>
        </is>
      </c>
      <c r="B232" s="1" t="n">
        <v>45163</v>
      </c>
      <c r="C232" s="1" t="n">
        <v>45708</v>
      </c>
      <c r="D232" t="inlineStr">
        <is>
          <t>ÖREBRO LÄN</t>
        </is>
      </c>
      <c r="E232" t="inlineStr">
        <is>
          <t>DEGERFORS</t>
        </is>
      </c>
      <c r="F232" t="inlineStr">
        <is>
          <t>Sveaskog</t>
        </is>
      </c>
      <c r="G232" t="n">
        <v>4.8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38914-2023</t>
        </is>
      </c>
      <c r="B233" s="1" t="n">
        <v>45163</v>
      </c>
      <c r="C233" s="1" t="n">
        <v>45708</v>
      </c>
      <c r="D233" t="inlineStr">
        <is>
          <t>ÖREBRO LÄN</t>
        </is>
      </c>
      <c r="E233" t="inlineStr">
        <is>
          <t>DEGERFORS</t>
        </is>
      </c>
      <c r="F233" t="inlineStr">
        <is>
          <t>Sveaskog</t>
        </is>
      </c>
      <c r="G233" t="n">
        <v>5.4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38910-2023</t>
        </is>
      </c>
      <c r="B234" s="1" t="n">
        <v>45163</v>
      </c>
      <c r="C234" s="1" t="n">
        <v>45708</v>
      </c>
      <c r="D234" t="inlineStr">
        <is>
          <t>ÖREBRO LÄN</t>
        </is>
      </c>
      <c r="E234" t="inlineStr">
        <is>
          <t>DEGERFORS</t>
        </is>
      </c>
      <c r="F234" t="inlineStr">
        <is>
          <t>Sveaskog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38915-2023</t>
        </is>
      </c>
      <c r="B235" s="1" t="n">
        <v>45163</v>
      </c>
      <c r="C235" s="1" t="n">
        <v>45708</v>
      </c>
      <c r="D235" t="inlineStr">
        <is>
          <t>ÖREBRO LÄN</t>
        </is>
      </c>
      <c r="E235" t="inlineStr">
        <is>
          <t>DEGERFORS</t>
        </is>
      </c>
      <c r="F235" t="inlineStr">
        <is>
          <t>Sveaskog</t>
        </is>
      </c>
      <c r="G235" t="n">
        <v>4.5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38907-2023</t>
        </is>
      </c>
      <c r="B236" s="1" t="n">
        <v>45163</v>
      </c>
      <c r="C236" s="1" t="n">
        <v>45708</v>
      </c>
      <c r="D236" t="inlineStr">
        <is>
          <t>ÖREBRO LÄN</t>
        </is>
      </c>
      <c r="E236" t="inlineStr">
        <is>
          <t>DEGERFORS</t>
        </is>
      </c>
      <c r="F236" t="inlineStr">
        <is>
          <t>Sveaskog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38912-2023</t>
        </is>
      </c>
      <c r="B237" s="1" t="n">
        <v>45163</v>
      </c>
      <c r="C237" s="1" t="n">
        <v>45708</v>
      </c>
      <c r="D237" t="inlineStr">
        <is>
          <t>ÖREBRO LÄN</t>
        </is>
      </c>
      <c r="E237" t="inlineStr">
        <is>
          <t>DEGERFORS</t>
        </is>
      </c>
      <c r="F237" t="inlineStr">
        <is>
          <t>Sveaskog</t>
        </is>
      </c>
      <c r="G237" t="n">
        <v>5.4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38921-2023</t>
        </is>
      </c>
      <c r="B238" s="1" t="n">
        <v>45163</v>
      </c>
      <c r="C238" s="1" t="n">
        <v>45708</v>
      </c>
      <c r="D238" t="inlineStr">
        <is>
          <t>ÖREBRO LÄN</t>
        </is>
      </c>
      <c r="E238" t="inlineStr">
        <is>
          <t>DEGERFORS</t>
        </is>
      </c>
      <c r="F238" t="inlineStr">
        <is>
          <t>Sveaskog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39593-2023</t>
        </is>
      </c>
      <c r="B239" s="1" t="n">
        <v>45163</v>
      </c>
      <c r="C239" s="1" t="n">
        <v>45708</v>
      </c>
      <c r="D239" t="inlineStr">
        <is>
          <t>ÖREBRO LÄN</t>
        </is>
      </c>
      <c r="E239" t="inlineStr">
        <is>
          <t>DEGERFORS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39600-2023</t>
        </is>
      </c>
      <c r="B240" s="1" t="n">
        <v>45163</v>
      </c>
      <c r="C240" s="1" t="n">
        <v>45708</v>
      </c>
      <c r="D240" t="inlineStr">
        <is>
          <t>ÖREBRO LÄN</t>
        </is>
      </c>
      <c r="E240" t="inlineStr">
        <is>
          <t>DEGERFORS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40596-2023</t>
        </is>
      </c>
      <c r="B241" s="1" t="n">
        <v>45170</v>
      </c>
      <c r="C241" s="1" t="n">
        <v>45708</v>
      </c>
      <c r="D241" t="inlineStr">
        <is>
          <t>ÖREBRO LÄN</t>
        </is>
      </c>
      <c r="E241" t="inlineStr">
        <is>
          <t>DEGERFORS</t>
        </is>
      </c>
      <c r="F241" t="inlineStr">
        <is>
          <t>Sveaskog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41286-2023</t>
        </is>
      </c>
      <c r="B242" s="1" t="n">
        <v>45174</v>
      </c>
      <c r="C242" s="1" t="n">
        <v>45708</v>
      </c>
      <c r="D242" t="inlineStr">
        <is>
          <t>ÖREBRO LÄN</t>
        </is>
      </c>
      <c r="E242" t="inlineStr">
        <is>
          <t>DEGERFORS</t>
        </is>
      </c>
      <c r="F242" t="inlineStr">
        <is>
          <t>Sveaskog</t>
        </is>
      </c>
      <c r="G242" t="n">
        <v>5.2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41518-2023</t>
        </is>
      </c>
      <c r="B243" s="1" t="n">
        <v>45175</v>
      </c>
      <c r="C243" s="1" t="n">
        <v>45708</v>
      </c>
      <c r="D243" t="inlineStr">
        <is>
          <t>ÖREBRO LÄN</t>
        </is>
      </c>
      <c r="E243" t="inlineStr">
        <is>
          <t>DEGERFORS</t>
        </is>
      </c>
      <c r="F243" t="inlineStr">
        <is>
          <t>Sveaskog</t>
        </is>
      </c>
      <c r="G243" t="n">
        <v>5.8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43587-2023</t>
        </is>
      </c>
      <c r="B244" s="1" t="n">
        <v>45181</v>
      </c>
      <c r="C244" s="1" t="n">
        <v>45708</v>
      </c>
      <c r="D244" t="inlineStr">
        <is>
          <t>ÖREBRO LÄN</t>
        </is>
      </c>
      <c r="E244" t="inlineStr">
        <is>
          <t>DEGERFORS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43331-2023</t>
        </is>
      </c>
      <c r="B245" s="1" t="n">
        <v>45183</v>
      </c>
      <c r="C245" s="1" t="n">
        <v>45708</v>
      </c>
      <c r="D245" t="inlineStr">
        <is>
          <t>ÖREBRO LÄN</t>
        </is>
      </c>
      <c r="E245" t="inlineStr">
        <is>
          <t>DEGERFORS</t>
        </is>
      </c>
      <c r="F245" t="inlineStr">
        <is>
          <t>Sveaskog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43330-2023</t>
        </is>
      </c>
      <c r="B246" s="1" t="n">
        <v>45183</v>
      </c>
      <c r="C246" s="1" t="n">
        <v>45708</v>
      </c>
      <c r="D246" t="inlineStr">
        <is>
          <t>ÖREBRO LÄN</t>
        </is>
      </c>
      <c r="E246" t="inlineStr">
        <is>
          <t>DEGERFORS</t>
        </is>
      </c>
      <c r="F246" t="inlineStr">
        <is>
          <t>Sveaskog</t>
        </is>
      </c>
      <c r="G246" t="n">
        <v>4.4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44807-2023</t>
        </is>
      </c>
      <c r="B247" s="1" t="n">
        <v>45190</v>
      </c>
      <c r="C247" s="1" t="n">
        <v>45708</v>
      </c>
      <c r="D247" t="inlineStr">
        <is>
          <t>ÖREBRO LÄN</t>
        </is>
      </c>
      <c r="E247" t="inlineStr">
        <is>
          <t>DEGERFORS</t>
        </is>
      </c>
      <c r="F247" t="inlineStr">
        <is>
          <t>Sveaskog</t>
        </is>
      </c>
      <c r="G247" t="n">
        <v>5.4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44841-2023</t>
        </is>
      </c>
      <c r="B248" s="1" t="n">
        <v>45190</v>
      </c>
      <c r="C248" s="1" t="n">
        <v>45708</v>
      </c>
      <c r="D248" t="inlineStr">
        <is>
          <t>ÖREBRO LÄN</t>
        </is>
      </c>
      <c r="E248" t="inlineStr">
        <is>
          <t>DEGERFORS</t>
        </is>
      </c>
      <c r="F248" t="inlineStr">
        <is>
          <t>Sveaskog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44862-2023</t>
        </is>
      </c>
      <c r="B249" s="1" t="n">
        <v>45190</v>
      </c>
      <c r="C249" s="1" t="n">
        <v>45708</v>
      </c>
      <c r="D249" t="inlineStr">
        <is>
          <t>ÖREBRO LÄN</t>
        </is>
      </c>
      <c r="E249" t="inlineStr">
        <is>
          <t>DEGERFORS</t>
        </is>
      </c>
      <c r="F249" t="inlineStr">
        <is>
          <t>Sveaskog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44806-2023</t>
        </is>
      </c>
      <c r="B250" s="1" t="n">
        <v>45190</v>
      </c>
      <c r="C250" s="1" t="n">
        <v>45708</v>
      </c>
      <c r="D250" t="inlineStr">
        <is>
          <t>ÖREBRO LÄN</t>
        </is>
      </c>
      <c r="E250" t="inlineStr">
        <is>
          <t>DEGERFORS</t>
        </is>
      </c>
      <c r="F250" t="inlineStr">
        <is>
          <t>Sveaskog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44840-2023</t>
        </is>
      </c>
      <c r="B251" s="1" t="n">
        <v>45190</v>
      </c>
      <c r="C251" s="1" t="n">
        <v>45708</v>
      </c>
      <c r="D251" t="inlineStr">
        <is>
          <t>ÖREBRO LÄN</t>
        </is>
      </c>
      <c r="E251" t="inlineStr">
        <is>
          <t>DEGERFORS</t>
        </is>
      </c>
      <c r="F251" t="inlineStr">
        <is>
          <t>Sveaskog</t>
        </is>
      </c>
      <c r="G251" t="n">
        <v>5.4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45365-2023</t>
        </is>
      </c>
      <c r="B252" s="1" t="n">
        <v>45192</v>
      </c>
      <c r="C252" s="1" t="n">
        <v>45708</v>
      </c>
      <c r="D252" t="inlineStr">
        <is>
          <t>ÖREBRO LÄN</t>
        </is>
      </c>
      <c r="E252" t="inlineStr">
        <is>
          <t>DEGERFORS</t>
        </is>
      </c>
      <c r="G252" t="n">
        <v>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45861-2023</t>
        </is>
      </c>
      <c r="B253" s="1" t="n">
        <v>45195</v>
      </c>
      <c r="C253" s="1" t="n">
        <v>45708</v>
      </c>
      <c r="D253" t="inlineStr">
        <is>
          <t>ÖREBRO LÄN</t>
        </is>
      </c>
      <c r="E253" t="inlineStr">
        <is>
          <t>DEGERFORS</t>
        </is>
      </c>
      <c r="F253" t="inlineStr">
        <is>
          <t>Sveaskog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48118-2023</t>
        </is>
      </c>
      <c r="B254" s="1" t="n">
        <v>45205</v>
      </c>
      <c r="C254" s="1" t="n">
        <v>45708</v>
      </c>
      <c r="D254" t="inlineStr">
        <is>
          <t>ÖREBRO LÄN</t>
        </is>
      </c>
      <c r="E254" t="inlineStr">
        <is>
          <t>DEGERFORS</t>
        </is>
      </c>
      <c r="F254" t="inlineStr">
        <is>
          <t>Sveaskog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48232-2023</t>
        </is>
      </c>
      <c r="B255" s="1" t="n">
        <v>45205</v>
      </c>
      <c r="C255" s="1" t="n">
        <v>45708</v>
      </c>
      <c r="D255" t="inlineStr">
        <is>
          <t>ÖREBRO LÄN</t>
        </is>
      </c>
      <c r="E255" t="inlineStr">
        <is>
          <t>DEGERFORS</t>
        </is>
      </c>
      <c r="F255" t="inlineStr">
        <is>
          <t>Sveaskog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48240-2023</t>
        </is>
      </c>
      <c r="B256" s="1" t="n">
        <v>45205</v>
      </c>
      <c r="C256" s="1" t="n">
        <v>45708</v>
      </c>
      <c r="D256" t="inlineStr">
        <is>
          <t>ÖREBRO LÄN</t>
        </is>
      </c>
      <c r="E256" t="inlineStr">
        <is>
          <t>DEGERFORS</t>
        </is>
      </c>
      <c r="F256" t="inlineStr">
        <is>
          <t>Sveaskog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48234-2023</t>
        </is>
      </c>
      <c r="B257" s="1" t="n">
        <v>45205</v>
      </c>
      <c r="C257" s="1" t="n">
        <v>45708</v>
      </c>
      <c r="D257" t="inlineStr">
        <is>
          <t>ÖREBRO LÄN</t>
        </is>
      </c>
      <c r="E257" t="inlineStr">
        <is>
          <t>DEGERFORS</t>
        </is>
      </c>
      <c r="F257" t="inlineStr">
        <is>
          <t>Sveaskog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48285-2023</t>
        </is>
      </c>
      <c r="B258" s="1" t="n">
        <v>45205</v>
      </c>
      <c r="C258" s="1" t="n">
        <v>45708</v>
      </c>
      <c r="D258" t="inlineStr">
        <is>
          <t>ÖREBRO LÄN</t>
        </is>
      </c>
      <c r="E258" t="inlineStr">
        <is>
          <t>DEGERFORS</t>
        </is>
      </c>
      <c r="F258" t="inlineStr">
        <is>
          <t>Sveaskog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48238-2023</t>
        </is>
      </c>
      <c r="B259" s="1" t="n">
        <v>45205</v>
      </c>
      <c r="C259" s="1" t="n">
        <v>45708</v>
      </c>
      <c r="D259" t="inlineStr">
        <is>
          <t>ÖREBRO LÄN</t>
        </is>
      </c>
      <c r="E259" t="inlineStr">
        <is>
          <t>DEGERFORS</t>
        </is>
      </c>
      <c r="F259" t="inlineStr">
        <is>
          <t>Sveaskog</t>
        </is>
      </c>
      <c r="G259" t="n">
        <v>6.3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48278-2023</t>
        </is>
      </c>
      <c r="B260" s="1" t="n">
        <v>45205</v>
      </c>
      <c r="C260" s="1" t="n">
        <v>45708</v>
      </c>
      <c r="D260" t="inlineStr">
        <is>
          <t>ÖREBRO LÄN</t>
        </is>
      </c>
      <c r="E260" t="inlineStr">
        <is>
          <t>DEGERFORS</t>
        </is>
      </c>
      <c r="F260" t="inlineStr">
        <is>
          <t>Sveaskog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48286-2023</t>
        </is>
      </c>
      <c r="B261" s="1" t="n">
        <v>45205</v>
      </c>
      <c r="C261" s="1" t="n">
        <v>45708</v>
      </c>
      <c r="D261" t="inlineStr">
        <is>
          <t>ÖREBRO LÄN</t>
        </is>
      </c>
      <c r="E261" t="inlineStr">
        <is>
          <t>DEGERFORS</t>
        </is>
      </c>
      <c r="F261" t="inlineStr">
        <is>
          <t>Sveaskog</t>
        </is>
      </c>
      <c r="G261" t="n">
        <v>3.9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50102-2023</t>
        </is>
      </c>
      <c r="B262" s="1" t="n">
        <v>45215</v>
      </c>
      <c r="C262" s="1" t="n">
        <v>45708</v>
      </c>
      <c r="D262" t="inlineStr">
        <is>
          <t>ÖREBRO LÄN</t>
        </is>
      </c>
      <c r="E262" t="inlineStr">
        <is>
          <t>DEGERFORS</t>
        </is>
      </c>
      <c r="F262" t="inlineStr">
        <is>
          <t>Sveaskog</t>
        </is>
      </c>
      <c r="G262" t="n">
        <v>3.9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52566-2023</t>
        </is>
      </c>
      <c r="B263" s="1" t="n">
        <v>45219</v>
      </c>
      <c r="C263" s="1" t="n">
        <v>45708</v>
      </c>
      <c r="D263" t="inlineStr">
        <is>
          <t>ÖREBRO LÄN</t>
        </is>
      </c>
      <c r="E263" t="inlineStr">
        <is>
          <t>DEGERFORS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51635-2023</t>
        </is>
      </c>
      <c r="B264" s="1" t="n">
        <v>45222</v>
      </c>
      <c r="C264" s="1" t="n">
        <v>45708</v>
      </c>
      <c r="D264" t="inlineStr">
        <is>
          <t>ÖREBRO LÄN</t>
        </is>
      </c>
      <c r="E264" t="inlineStr">
        <is>
          <t>DEGERFORS</t>
        </is>
      </c>
      <c r="F264" t="inlineStr">
        <is>
          <t>Sveaskog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51632-2023</t>
        </is>
      </c>
      <c r="B265" s="1" t="n">
        <v>45222</v>
      </c>
      <c r="C265" s="1" t="n">
        <v>45708</v>
      </c>
      <c r="D265" t="inlineStr">
        <is>
          <t>ÖREBRO LÄN</t>
        </is>
      </c>
      <c r="E265" t="inlineStr">
        <is>
          <t>DEGERFORS</t>
        </is>
      </c>
      <c r="F265" t="inlineStr">
        <is>
          <t>Sveaskog</t>
        </is>
      </c>
      <c r="G265" t="n">
        <v>5.9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51636-2023</t>
        </is>
      </c>
      <c r="B266" s="1" t="n">
        <v>45222</v>
      </c>
      <c r="C266" s="1" t="n">
        <v>45708</v>
      </c>
      <c r="D266" t="inlineStr">
        <is>
          <t>ÖREBRO LÄN</t>
        </is>
      </c>
      <c r="E266" t="inlineStr">
        <is>
          <t>DEGERFORS</t>
        </is>
      </c>
      <c r="F266" t="inlineStr">
        <is>
          <t>Sveaskog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51652-2023</t>
        </is>
      </c>
      <c r="B267" s="1" t="n">
        <v>45222</v>
      </c>
      <c r="C267" s="1" t="n">
        <v>45708</v>
      </c>
      <c r="D267" t="inlineStr">
        <is>
          <t>ÖREBRO LÄN</t>
        </is>
      </c>
      <c r="E267" t="inlineStr">
        <is>
          <t>DEGERFORS</t>
        </is>
      </c>
      <c r="F267" t="inlineStr">
        <is>
          <t>Sveaskog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51634-2023</t>
        </is>
      </c>
      <c r="B268" s="1" t="n">
        <v>45222</v>
      </c>
      <c r="C268" s="1" t="n">
        <v>45708</v>
      </c>
      <c r="D268" t="inlineStr">
        <is>
          <t>ÖREBRO LÄN</t>
        </is>
      </c>
      <c r="E268" t="inlineStr">
        <is>
          <t>DEGERFORS</t>
        </is>
      </c>
      <c r="F268" t="inlineStr">
        <is>
          <t>Sveaskog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51653-2023</t>
        </is>
      </c>
      <c r="B269" s="1" t="n">
        <v>45222</v>
      </c>
      <c r="C269" s="1" t="n">
        <v>45708</v>
      </c>
      <c r="D269" t="inlineStr">
        <is>
          <t>ÖREBRO LÄN</t>
        </is>
      </c>
      <c r="E269" t="inlineStr">
        <is>
          <t>DEGERFORS</t>
        </is>
      </c>
      <c r="F269" t="inlineStr">
        <is>
          <t>Sveaskog</t>
        </is>
      </c>
      <c r="G269" t="n">
        <v>3.9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51992-2023</t>
        </is>
      </c>
      <c r="B270" s="1" t="n">
        <v>45223</v>
      </c>
      <c r="C270" s="1" t="n">
        <v>45708</v>
      </c>
      <c r="D270" t="inlineStr">
        <is>
          <t>ÖREBRO LÄN</t>
        </is>
      </c>
      <c r="E270" t="inlineStr">
        <is>
          <t>DEGERFORS</t>
        </is>
      </c>
      <c r="F270" t="inlineStr">
        <is>
          <t>Sveaskog</t>
        </is>
      </c>
      <c r="G270" t="n">
        <v>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51996-2023</t>
        </is>
      </c>
      <c r="B271" s="1" t="n">
        <v>45223</v>
      </c>
      <c r="C271" s="1" t="n">
        <v>45708</v>
      </c>
      <c r="D271" t="inlineStr">
        <is>
          <t>ÖREBRO LÄN</t>
        </is>
      </c>
      <c r="E271" t="inlineStr">
        <is>
          <t>DEGERFORS</t>
        </is>
      </c>
      <c r="F271" t="inlineStr">
        <is>
          <t>Sveaskog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51991-2023</t>
        </is>
      </c>
      <c r="B272" s="1" t="n">
        <v>45223</v>
      </c>
      <c r="C272" s="1" t="n">
        <v>45708</v>
      </c>
      <c r="D272" t="inlineStr">
        <is>
          <t>ÖREBRO LÄN</t>
        </is>
      </c>
      <c r="E272" t="inlineStr">
        <is>
          <t>DEGERFORS</t>
        </is>
      </c>
      <c r="F272" t="inlineStr">
        <is>
          <t>Sveaskog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51995-2023</t>
        </is>
      </c>
      <c r="B273" s="1" t="n">
        <v>45223</v>
      </c>
      <c r="C273" s="1" t="n">
        <v>45708</v>
      </c>
      <c r="D273" t="inlineStr">
        <is>
          <t>ÖREBRO LÄN</t>
        </is>
      </c>
      <c r="E273" t="inlineStr">
        <is>
          <t>DEGERFORS</t>
        </is>
      </c>
      <c r="F273" t="inlineStr">
        <is>
          <t>Sveaskog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54517-2023</t>
        </is>
      </c>
      <c r="B274" s="1" t="n">
        <v>45233</v>
      </c>
      <c r="C274" s="1" t="n">
        <v>45708</v>
      </c>
      <c r="D274" t="inlineStr">
        <is>
          <t>ÖREBRO LÄN</t>
        </is>
      </c>
      <c r="E274" t="inlineStr">
        <is>
          <t>DEGERFORS</t>
        </is>
      </c>
      <c r="G274" t="n">
        <v>14.6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54515-2023</t>
        </is>
      </c>
      <c r="B275" s="1" t="n">
        <v>45233</v>
      </c>
      <c r="C275" s="1" t="n">
        <v>45708</v>
      </c>
      <c r="D275" t="inlineStr">
        <is>
          <t>ÖREBRO LÄN</t>
        </is>
      </c>
      <c r="E275" t="inlineStr">
        <is>
          <t>DEGERFORS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56566-2023</t>
        </is>
      </c>
      <c r="B276" s="1" t="n">
        <v>45238</v>
      </c>
      <c r="C276" s="1" t="n">
        <v>45708</v>
      </c>
      <c r="D276" t="inlineStr">
        <is>
          <t>ÖREBRO LÄN</t>
        </is>
      </c>
      <c r="E276" t="inlineStr">
        <is>
          <t>DEGERFORS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55595-2023</t>
        </is>
      </c>
      <c r="B277" s="1" t="n">
        <v>45238</v>
      </c>
      <c r="C277" s="1" t="n">
        <v>45708</v>
      </c>
      <c r="D277" t="inlineStr">
        <is>
          <t>ÖREBRO LÄN</t>
        </is>
      </c>
      <c r="E277" t="inlineStr">
        <is>
          <t>DEGERFORS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59131-2023</t>
        </is>
      </c>
      <c r="B278" s="1" t="n">
        <v>45253</v>
      </c>
      <c r="C278" s="1" t="n">
        <v>45708</v>
      </c>
      <c r="D278" t="inlineStr">
        <is>
          <t>ÖREBRO LÄN</t>
        </is>
      </c>
      <c r="E278" t="inlineStr">
        <is>
          <t>DEGERFORS</t>
        </is>
      </c>
      <c r="F278" t="inlineStr">
        <is>
          <t>Kommuner</t>
        </is>
      </c>
      <c r="G278" t="n">
        <v>9.199999999999999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60135-2023</t>
        </is>
      </c>
      <c r="B279" s="1" t="n">
        <v>45258</v>
      </c>
      <c r="C279" s="1" t="n">
        <v>45708</v>
      </c>
      <c r="D279" t="inlineStr">
        <is>
          <t>ÖREBRO LÄN</t>
        </is>
      </c>
      <c r="E279" t="inlineStr">
        <is>
          <t>DEGERFORS</t>
        </is>
      </c>
      <c r="F279" t="inlineStr">
        <is>
          <t>Sveaskog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60137-2023</t>
        </is>
      </c>
      <c r="B280" s="1" t="n">
        <v>45258</v>
      </c>
      <c r="C280" s="1" t="n">
        <v>45708</v>
      </c>
      <c r="D280" t="inlineStr">
        <is>
          <t>ÖREBRO LÄN</t>
        </is>
      </c>
      <c r="E280" t="inlineStr">
        <is>
          <t>DEGERFORS</t>
        </is>
      </c>
      <c r="F280" t="inlineStr">
        <is>
          <t>Sveaskog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60145-2023</t>
        </is>
      </c>
      <c r="B281" s="1" t="n">
        <v>45258</v>
      </c>
      <c r="C281" s="1" t="n">
        <v>45708</v>
      </c>
      <c r="D281" t="inlineStr">
        <is>
          <t>ÖREBRO LÄN</t>
        </is>
      </c>
      <c r="E281" t="inlineStr">
        <is>
          <t>DEGERFORS</t>
        </is>
      </c>
      <c r="F281" t="inlineStr">
        <is>
          <t>Sveaskog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60146-2023</t>
        </is>
      </c>
      <c r="B282" s="1" t="n">
        <v>45258</v>
      </c>
      <c r="C282" s="1" t="n">
        <v>45708</v>
      </c>
      <c r="D282" t="inlineStr">
        <is>
          <t>ÖREBRO LÄN</t>
        </is>
      </c>
      <c r="E282" t="inlineStr">
        <is>
          <t>DEGERFORS</t>
        </is>
      </c>
      <c r="F282" t="inlineStr">
        <is>
          <t>Sveaskog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60907-2023</t>
        </is>
      </c>
      <c r="B283" s="1" t="n">
        <v>45261</v>
      </c>
      <c r="C283" s="1" t="n">
        <v>45708</v>
      </c>
      <c r="D283" t="inlineStr">
        <is>
          <t>ÖREBRO LÄN</t>
        </is>
      </c>
      <c r="E283" t="inlineStr">
        <is>
          <t>DEGERFORS</t>
        </is>
      </c>
      <c r="F283" t="inlineStr">
        <is>
          <t>Sveaskog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62211-2023</t>
        </is>
      </c>
      <c r="B284" s="1" t="n">
        <v>45267</v>
      </c>
      <c r="C284" s="1" t="n">
        <v>45708</v>
      </c>
      <c r="D284" t="inlineStr">
        <is>
          <t>ÖREBRO LÄN</t>
        </is>
      </c>
      <c r="E284" t="inlineStr">
        <is>
          <t>DEGERFORS</t>
        </is>
      </c>
      <c r="F284" t="inlineStr">
        <is>
          <t>Sveaskog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62982-2023</t>
        </is>
      </c>
      <c r="B285" s="1" t="n">
        <v>45272</v>
      </c>
      <c r="C285" s="1" t="n">
        <v>45708</v>
      </c>
      <c r="D285" t="inlineStr">
        <is>
          <t>ÖREBRO LÄN</t>
        </is>
      </c>
      <c r="E285" t="inlineStr">
        <is>
          <t>DEGERFORS</t>
        </is>
      </c>
      <c r="G285" t="n">
        <v>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62972-2023</t>
        </is>
      </c>
      <c r="B286" s="1" t="n">
        <v>45272</v>
      </c>
      <c r="C286" s="1" t="n">
        <v>45708</v>
      </c>
      <c r="D286" t="inlineStr">
        <is>
          <t>ÖREBRO LÄN</t>
        </is>
      </c>
      <c r="E286" t="inlineStr">
        <is>
          <t>DEGERFORS</t>
        </is>
      </c>
      <c r="G286" t="n">
        <v>0.3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63914-2023</t>
        </is>
      </c>
      <c r="B287" s="1" t="n">
        <v>45278</v>
      </c>
      <c r="C287" s="1" t="n">
        <v>45708</v>
      </c>
      <c r="D287" t="inlineStr">
        <is>
          <t>ÖREBRO LÄN</t>
        </is>
      </c>
      <c r="E287" t="inlineStr">
        <is>
          <t>DEGERFORS</t>
        </is>
      </c>
      <c r="F287" t="inlineStr">
        <is>
          <t>Kommuner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63912-2023</t>
        </is>
      </c>
      <c r="B288" s="1" t="n">
        <v>45278</v>
      </c>
      <c r="C288" s="1" t="n">
        <v>45708</v>
      </c>
      <c r="D288" t="inlineStr">
        <is>
          <t>ÖREBRO LÄN</t>
        </is>
      </c>
      <c r="E288" t="inlineStr">
        <is>
          <t>DEGERFORS</t>
        </is>
      </c>
      <c r="F288" t="inlineStr">
        <is>
          <t>Kommuner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64076-2023</t>
        </is>
      </c>
      <c r="B289" s="1" t="n">
        <v>45279</v>
      </c>
      <c r="C289" s="1" t="n">
        <v>45708</v>
      </c>
      <c r="D289" t="inlineStr">
        <is>
          <t>ÖREBRO LÄN</t>
        </is>
      </c>
      <c r="E289" t="inlineStr">
        <is>
          <t>DEGERFORS</t>
        </is>
      </c>
      <c r="F289" t="inlineStr">
        <is>
          <t>Sveaskog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65110-2023</t>
        </is>
      </c>
      <c r="B290" s="1" t="n">
        <v>45287</v>
      </c>
      <c r="C290" s="1" t="n">
        <v>45708</v>
      </c>
      <c r="D290" t="inlineStr">
        <is>
          <t>ÖREBRO LÄN</t>
        </is>
      </c>
      <c r="E290" t="inlineStr">
        <is>
          <t>DEGERFORS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1302-2024</t>
        </is>
      </c>
      <c r="B291" s="1" t="n">
        <v>45303</v>
      </c>
      <c r="C291" s="1" t="n">
        <v>45708</v>
      </c>
      <c r="D291" t="inlineStr">
        <is>
          <t>ÖREBRO LÄN</t>
        </is>
      </c>
      <c r="E291" t="inlineStr">
        <is>
          <t>DEGERFORS</t>
        </is>
      </c>
      <c r="G291" t="n">
        <v>5.4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2873-2024</t>
        </is>
      </c>
      <c r="B292" s="1" t="n">
        <v>45315</v>
      </c>
      <c r="C292" s="1" t="n">
        <v>45708</v>
      </c>
      <c r="D292" t="inlineStr">
        <is>
          <t>ÖREBRO LÄN</t>
        </is>
      </c>
      <c r="E292" t="inlineStr">
        <is>
          <t>DEGERFORS</t>
        </is>
      </c>
      <c r="F292" t="inlineStr">
        <is>
          <t>Sveaskog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4280-2024</t>
        </is>
      </c>
      <c r="B293" s="1" t="n">
        <v>45324</v>
      </c>
      <c r="C293" s="1" t="n">
        <v>45708</v>
      </c>
      <c r="D293" t="inlineStr">
        <is>
          <t>ÖREBRO LÄN</t>
        </is>
      </c>
      <c r="E293" t="inlineStr">
        <is>
          <t>DEGERFORS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5276-2024</t>
        </is>
      </c>
      <c r="B294" s="1" t="n">
        <v>45330</v>
      </c>
      <c r="C294" s="1" t="n">
        <v>45708</v>
      </c>
      <c r="D294" t="inlineStr">
        <is>
          <t>ÖREBRO LÄN</t>
        </is>
      </c>
      <c r="E294" t="inlineStr">
        <is>
          <t>DEGERFORS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5219-2024</t>
        </is>
      </c>
      <c r="B295" s="1" t="n">
        <v>45330</v>
      </c>
      <c r="C295" s="1" t="n">
        <v>45708</v>
      </c>
      <c r="D295" t="inlineStr">
        <is>
          <t>ÖREBRO LÄN</t>
        </is>
      </c>
      <c r="E295" t="inlineStr">
        <is>
          <t>DEGERFORS</t>
        </is>
      </c>
      <c r="F295" t="inlineStr">
        <is>
          <t>Sveaskog</t>
        </is>
      </c>
      <c r="G295" t="n">
        <v>5.9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5218-2024</t>
        </is>
      </c>
      <c r="B296" s="1" t="n">
        <v>45330</v>
      </c>
      <c r="C296" s="1" t="n">
        <v>45708</v>
      </c>
      <c r="D296" t="inlineStr">
        <is>
          <t>ÖREBRO LÄN</t>
        </is>
      </c>
      <c r="E296" t="inlineStr">
        <is>
          <t>DEGERFORS</t>
        </is>
      </c>
      <c r="F296" t="inlineStr">
        <is>
          <t>Sveaskog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5277-2024</t>
        </is>
      </c>
      <c r="B297" s="1" t="n">
        <v>45330</v>
      </c>
      <c r="C297" s="1" t="n">
        <v>45708</v>
      </c>
      <c r="D297" t="inlineStr">
        <is>
          <t>ÖREBRO LÄN</t>
        </is>
      </c>
      <c r="E297" t="inlineStr">
        <is>
          <t>DEGERFORS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6195-2024</t>
        </is>
      </c>
      <c r="B298" s="1" t="n">
        <v>45337</v>
      </c>
      <c r="C298" s="1" t="n">
        <v>45708</v>
      </c>
      <c r="D298" t="inlineStr">
        <is>
          <t>ÖREBRO LÄN</t>
        </is>
      </c>
      <c r="E298" t="inlineStr">
        <is>
          <t>DEGERFORS</t>
        </is>
      </c>
      <c r="F298" t="inlineStr">
        <is>
          <t>Sveaskog</t>
        </is>
      </c>
      <c r="G298" t="n">
        <v>4.2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6240-2024</t>
        </is>
      </c>
      <c r="B299" s="1" t="n">
        <v>45337</v>
      </c>
      <c r="C299" s="1" t="n">
        <v>45708</v>
      </c>
      <c r="D299" t="inlineStr">
        <is>
          <t>ÖREBRO LÄN</t>
        </is>
      </c>
      <c r="E299" t="inlineStr">
        <is>
          <t>DEGERFORS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6387-2024</t>
        </is>
      </c>
      <c r="B300" s="1" t="n">
        <v>45338</v>
      </c>
      <c r="C300" s="1" t="n">
        <v>45708</v>
      </c>
      <c r="D300" t="inlineStr">
        <is>
          <t>ÖREBRO LÄN</t>
        </is>
      </c>
      <c r="E300" t="inlineStr">
        <is>
          <t>DEGERFORS</t>
        </is>
      </c>
      <c r="F300" t="inlineStr">
        <is>
          <t>Sveaskog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6394-2024</t>
        </is>
      </c>
      <c r="B301" s="1" t="n">
        <v>45338</v>
      </c>
      <c r="C301" s="1" t="n">
        <v>45708</v>
      </c>
      <c r="D301" t="inlineStr">
        <is>
          <t>ÖREBRO LÄN</t>
        </is>
      </c>
      <c r="E301" t="inlineStr">
        <is>
          <t>DEGERFORS</t>
        </is>
      </c>
      <c r="F301" t="inlineStr">
        <is>
          <t>Sveaskog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8072-2024</t>
        </is>
      </c>
      <c r="B302" s="1" t="n">
        <v>45351</v>
      </c>
      <c r="C302" s="1" t="n">
        <v>45708</v>
      </c>
      <c r="D302" t="inlineStr">
        <is>
          <t>ÖREBRO LÄN</t>
        </is>
      </c>
      <c r="E302" t="inlineStr">
        <is>
          <t>DEGERFORS</t>
        </is>
      </c>
      <c r="F302" t="inlineStr">
        <is>
          <t>Sveaskog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8104-2024</t>
        </is>
      </c>
      <c r="B303" s="1" t="n">
        <v>45351</v>
      </c>
      <c r="C303" s="1" t="n">
        <v>45708</v>
      </c>
      <c r="D303" t="inlineStr">
        <is>
          <t>ÖREBRO LÄN</t>
        </is>
      </c>
      <c r="E303" t="inlineStr">
        <is>
          <t>DEGERFORS</t>
        </is>
      </c>
      <c r="F303" t="inlineStr">
        <is>
          <t>Sveaskog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8062-2024</t>
        </is>
      </c>
      <c r="B304" s="1" t="n">
        <v>45351</v>
      </c>
      <c r="C304" s="1" t="n">
        <v>45708</v>
      </c>
      <c r="D304" t="inlineStr">
        <is>
          <t>ÖREBRO LÄN</t>
        </is>
      </c>
      <c r="E304" t="inlineStr">
        <is>
          <t>DEGERFORS</t>
        </is>
      </c>
      <c r="F304" t="inlineStr">
        <is>
          <t>Sveaskog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8059-2024</t>
        </is>
      </c>
      <c r="B305" s="1" t="n">
        <v>45351</v>
      </c>
      <c r="C305" s="1" t="n">
        <v>45708</v>
      </c>
      <c r="D305" t="inlineStr">
        <is>
          <t>ÖREBRO LÄN</t>
        </is>
      </c>
      <c r="E305" t="inlineStr">
        <is>
          <t>DEGERFORS</t>
        </is>
      </c>
      <c r="F305" t="inlineStr">
        <is>
          <t>Sveaskog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8063-2024</t>
        </is>
      </c>
      <c r="B306" s="1" t="n">
        <v>45351</v>
      </c>
      <c r="C306" s="1" t="n">
        <v>45708</v>
      </c>
      <c r="D306" t="inlineStr">
        <is>
          <t>ÖREBRO LÄN</t>
        </is>
      </c>
      <c r="E306" t="inlineStr">
        <is>
          <t>DEGERFORS</t>
        </is>
      </c>
      <c r="F306" t="inlineStr">
        <is>
          <t>Sveaskog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8075-2024</t>
        </is>
      </c>
      <c r="B307" s="1" t="n">
        <v>45351</v>
      </c>
      <c r="C307" s="1" t="n">
        <v>45708</v>
      </c>
      <c r="D307" t="inlineStr">
        <is>
          <t>ÖREBRO LÄN</t>
        </is>
      </c>
      <c r="E307" t="inlineStr">
        <is>
          <t>DEGERFORS</t>
        </is>
      </c>
      <c r="F307" t="inlineStr">
        <is>
          <t>Sveaskog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8105-2024</t>
        </is>
      </c>
      <c r="B308" s="1" t="n">
        <v>45351</v>
      </c>
      <c r="C308" s="1" t="n">
        <v>45708</v>
      </c>
      <c r="D308" t="inlineStr">
        <is>
          <t>ÖREBRO LÄN</t>
        </is>
      </c>
      <c r="E308" t="inlineStr">
        <is>
          <t>DEGERFORS</t>
        </is>
      </c>
      <c r="F308" t="inlineStr">
        <is>
          <t>Sveaskog</t>
        </is>
      </c>
      <c r="G308" t="n">
        <v>4.4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8074-2024</t>
        </is>
      </c>
      <c r="B309" s="1" t="n">
        <v>45351</v>
      </c>
      <c r="C309" s="1" t="n">
        <v>45708</v>
      </c>
      <c r="D309" t="inlineStr">
        <is>
          <t>ÖREBRO LÄN</t>
        </is>
      </c>
      <c r="E309" t="inlineStr">
        <is>
          <t>DEGERFORS</t>
        </is>
      </c>
      <c r="F309" t="inlineStr">
        <is>
          <t>Sveaskog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8106-2024</t>
        </is>
      </c>
      <c r="B310" s="1" t="n">
        <v>45351</v>
      </c>
      <c r="C310" s="1" t="n">
        <v>45708</v>
      </c>
      <c r="D310" t="inlineStr">
        <is>
          <t>ÖREBRO LÄN</t>
        </is>
      </c>
      <c r="E310" t="inlineStr">
        <is>
          <t>DEGERFORS</t>
        </is>
      </c>
      <c r="F310" t="inlineStr">
        <is>
          <t>Sveaskog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10672-2024</t>
        </is>
      </c>
      <c r="B311" s="1" t="n">
        <v>45369</v>
      </c>
      <c r="C311" s="1" t="n">
        <v>45708</v>
      </c>
      <c r="D311" t="inlineStr">
        <is>
          <t>ÖREBRO LÄN</t>
        </is>
      </c>
      <c r="E311" t="inlineStr">
        <is>
          <t>DEGERFORS</t>
        </is>
      </c>
      <c r="F311" t="inlineStr">
        <is>
          <t>Sveaskog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10676-2024</t>
        </is>
      </c>
      <c r="B312" s="1" t="n">
        <v>45369</v>
      </c>
      <c r="C312" s="1" t="n">
        <v>45708</v>
      </c>
      <c r="D312" t="inlineStr">
        <is>
          <t>ÖREBRO LÄN</t>
        </is>
      </c>
      <c r="E312" t="inlineStr">
        <is>
          <t>DEGERFORS</t>
        </is>
      </c>
      <c r="F312" t="inlineStr">
        <is>
          <t>Sveaskog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10674-2024</t>
        </is>
      </c>
      <c r="B313" s="1" t="n">
        <v>45369</v>
      </c>
      <c r="C313" s="1" t="n">
        <v>45708</v>
      </c>
      <c r="D313" t="inlineStr">
        <is>
          <t>ÖREBRO LÄN</t>
        </is>
      </c>
      <c r="E313" t="inlineStr">
        <is>
          <t>DEGERFORS</t>
        </is>
      </c>
      <c r="F313" t="inlineStr">
        <is>
          <t>Sveaskog</t>
        </is>
      </c>
      <c r="G313" t="n">
        <v>0.3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12089-2024</t>
        </is>
      </c>
      <c r="B314" s="1" t="n">
        <v>45376</v>
      </c>
      <c r="C314" s="1" t="n">
        <v>45708</v>
      </c>
      <c r="D314" t="inlineStr">
        <is>
          <t>ÖREBRO LÄN</t>
        </is>
      </c>
      <c r="E314" t="inlineStr">
        <is>
          <t>DEGERFORS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12100-2024</t>
        </is>
      </c>
      <c r="B315" s="1" t="n">
        <v>45376</v>
      </c>
      <c r="C315" s="1" t="n">
        <v>45708</v>
      </c>
      <c r="D315" t="inlineStr">
        <is>
          <t>ÖREBRO LÄN</t>
        </is>
      </c>
      <c r="E315" t="inlineStr">
        <is>
          <t>DEGERFORS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12108-2024</t>
        </is>
      </c>
      <c r="B316" s="1" t="n">
        <v>45376</v>
      </c>
      <c r="C316" s="1" t="n">
        <v>45708</v>
      </c>
      <c r="D316" t="inlineStr">
        <is>
          <t>ÖREBRO LÄN</t>
        </is>
      </c>
      <c r="E316" t="inlineStr">
        <is>
          <t>DEGERFORS</t>
        </is>
      </c>
      <c r="G316" t="n">
        <v>7.7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12117-2024</t>
        </is>
      </c>
      <c r="B317" s="1" t="n">
        <v>45376</v>
      </c>
      <c r="C317" s="1" t="n">
        <v>45708</v>
      </c>
      <c r="D317" t="inlineStr">
        <is>
          <t>ÖREBRO LÄN</t>
        </is>
      </c>
      <c r="E317" t="inlineStr">
        <is>
          <t>DEGERFORS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12067-2024</t>
        </is>
      </c>
      <c r="B318" s="1" t="n">
        <v>45377</v>
      </c>
      <c r="C318" s="1" t="n">
        <v>45708</v>
      </c>
      <c r="D318" t="inlineStr">
        <is>
          <t>ÖREBRO LÄN</t>
        </is>
      </c>
      <c r="E318" t="inlineStr">
        <is>
          <t>DEGERFORS</t>
        </is>
      </c>
      <c r="F318" t="inlineStr">
        <is>
          <t>Sveaskog</t>
        </is>
      </c>
      <c r="G318" t="n">
        <v>7.2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12724-2024</t>
        </is>
      </c>
      <c r="B319" s="1" t="n">
        <v>45384</v>
      </c>
      <c r="C319" s="1" t="n">
        <v>45708</v>
      </c>
      <c r="D319" t="inlineStr">
        <is>
          <t>ÖREBRO LÄN</t>
        </is>
      </c>
      <c r="E319" t="inlineStr">
        <is>
          <t>DEGERFORS</t>
        </is>
      </c>
      <c r="F319" t="inlineStr">
        <is>
          <t>Sveaskog</t>
        </is>
      </c>
      <c r="G319" t="n">
        <v>7.2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12732-2024</t>
        </is>
      </c>
      <c r="B320" s="1" t="n">
        <v>45384</v>
      </c>
      <c r="C320" s="1" t="n">
        <v>45708</v>
      </c>
      <c r="D320" t="inlineStr">
        <is>
          <t>ÖREBRO LÄN</t>
        </is>
      </c>
      <c r="E320" t="inlineStr">
        <is>
          <t>DEGERFORS</t>
        </is>
      </c>
      <c r="F320" t="inlineStr">
        <is>
          <t>Sveaskog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12730-2024</t>
        </is>
      </c>
      <c r="B321" s="1" t="n">
        <v>45384</v>
      </c>
      <c r="C321" s="1" t="n">
        <v>45708</v>
      </c>
      <c r="D321" t="inlineStr">
        <is>
          <t>ÖREBRO LÄN</t>
        </is>
      </c>
      <c r="E321" t="inlineStr">
        <is>
          <t>DEGERFORS</t>
        </is>
      </c>
      <c r="F321" t="inlineStr">
        <is>
          <t>Sveaskog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12725-2024</t>
        </is>
      </c>
      <c r="B322" s="1" t="n">
        <v>45384</v>
      </c>
      <c r="C322" s="1" t="n">
        <v>45708</v>
      </c>
      <c r="D322" t="inlineStr">
        <is>
          <t>ÖREBRO LÄN</t>
        </is>
      </c>
      <c r="E322" t="inlineStr">
        <is>
          <t>DEGERFORS</t>
        </is>
      </c>
      <c r="F322" t="inlineStr">
        <is>
          <t>Sveaskog</t>
        </is>
      </c>
      <c r="G322" t="n">
        <v>8.4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12729-2024</t>
        </is>
      </c>
      <c r="B323" s="1" t="n">
        <v>45384</v>
      </c>
      <c r="C323" s="1" t="n">
        <v>45708</v>
      </c>
      <c r="D323" t="inlineStr">
        <is>
          <t>ÖREBRO LÄN</t>
        </is>
      </c>
      <c r="E323" t="inlineStr">
        <is>
          <t>DEGERFORS</t>
        </is>
      </c>
      <c r="F323" t="inlineStr">
        <is>
          <t>Sveaskog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12731-2024</t>
        </is>
      </c>
      <c r="B324" s="1" t="n">
        <v>45384</v>
      </c>
      <c r="C324" s="1" t="n">
        <v>45708</v>
      </c>
      <c r="D324" t="inlineStr">
        <is>
          <t>ÖREBRO LÄN</t>
        </is>
      </c>
      <c r="E324" t="inlineStr">
        <is>
          <t>DEGERFORS</t>
        </is>
      </c>
      <c r="F324" t="inlineStr">
        <is>
          <t>Sveaskog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13405-2024</t>
        </is>
      </c>
      <c r="B325" s="1" t="n">
        <v>45387</v>
      </c>
      <c r="C325" s="1" t="n">
        <v>45708</v>
      </c>
      <c r="D325" t="inlineStr">
        <is>
          <t>ÖREBRO LÄN</t>
        </is>
      </c>
      <c r="E325" t="inlineStr">
        <is>
          <t>DEGERFORS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15833-2024</t>
        </is>
      </c>
      <c r="B326" s="1" t="n">
        <v>45404</v>
      </c>
      <c r="C326" s="1" t="n">
        <v>45708</v>
      </c>
      <c r="D326" t="inlineStr">
        <is>
          <t>ÖREBRO LÄN</t>
        </is>
      </c>
      <c r="E326" t="inlineStr">
        <is>
          <t>DEGERFORS</t>
        </is>
      </c>
      <c r="F326" t="inlineStr">
        <is>
          <t>Sveaskog</t>
        </is>
      </c>
      <c r="G326" t="n">
        <v>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16440-2024</t>
        </is>
      </c>
      <c r="B327" s="1" t="n">
        <v>45407</v>
      </c>
      <c r="C327" s="1" t="n">
        <v>45708</v>
      </c>
      <c r="D327" t="inlineStr">
        <is>
          <t>ÖREBRO LÄN</t>
        </is>
      </c>
      <c r="E327" t="inlineStr">
        <is>
          <t>DEGERFORS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18074-2024</t>
        </is>
      </c>
      <c r="B328" s="1" t="n">
        <v>45420</v>
      </c>
      <c r="C328" s="1" t="n">
        <v>45708</v>
      </c>
      <c r="D328" t="inlineStr">
        <is>
          <t>ÖREBRO LÄN</t>
        </is>
      </c>
      <c r="E328" t="inlineStr">
        <is>
          <t>DEGERFORS</t>
        </is>
      </c>
      <c r="F328" t="inlineStr">
        <is>
          <t>Sveaskog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18077-2024</t>
        </is>
      </c>
      <c r="B329" s="1" t="n">
        <v>45420</v>
      </c>
      <c r="C329" s="1" t="n">
        <v>45708</v>
      </c>
      <c r="D329" t="inlineStr">
        <is>
          <t>ÖREBRO LÄN</t>
        </is>
      </c>
      <c r="E329" t="inlineStr">
        <is>
          <t>DEGERFORS</t>
        </is>
      </c>
      <c r="F329" t="inlineStr">
        <is>
          <t>Sveaskog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19106-2024</t>
        </is>
      </c>
      <c r="B330" s="1" t="n">
        <v>45428</v>
      </c>
      <c r="C330" s="1" t="n">
        <v>45708</v>
      </c>
      <c r="D330" t="inlineStr">
        <is>
          <t>ÖREBRO LÄN</t>
        </is>
      </c>
      <c r="E330" t="inlineStr">
        <is>
          <t>DEGERFORS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20727-2024</t>
        </is>
      </c>
      <c r="B331" s="1" t="n">
        <v>45436</v>
      </c>
      <c r="C331" s="1" t="n">
        <v>45708</v>
      </c>
      <c r="D331" t="inlineStr">
        <is>
          <t>ÖREBRO LÄN</t>
        </is>
      </c>
      <c r="E331" t="inlineStr">
        <is>
          <t>DEGERFORS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20650-2024</t>
        </is>
      </c>
      <c r="B332" s="1" t="n">
        <v>45436</v>
      </c>
      <c r="C332" s="1" t="n">
        <v>45708</v>
      </c>
      <c r="D332" t="inlineStr">
        <is>
          <t>ÖREBRO LÄN</t>
        </is>
      </c>
      <c r="E332" t="inlineStr">
        <is>
          <t>DEGERFORS</t>
        </is>
      </c>
      <c r="F332" t="inlineStr">
        <is>
          <t>Sveaskog</t>
        </is>
      </c>
      <c r="G332" t="n">
        <v>5.5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21561-2024</t>
        </is>
      </c>
      <c r="B333" s="1" t="n">
        <v>45441</v>
      </c>
      <c r="C333" s="1" t="n">
        <v>45708</v>
      </c>
      <c r="D333" t="inlineStr">
        <is>
          <t>ÖREBRO LÄN</t>
        </is>
      </c>
      <c r="E333" t="inlineStr">
        <is>
          <t>DEGERFORS</t>
        </is>
      </c>
      <c r="F333" t="inlineStr">
        <is>
          <t>Sveaskog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21558-2024</t>
        </is>
      </c>
      <c r="B334" s="1" t="n">
        <v>45441</v>
      </c>
      <c r="C334" s="1" t="n">
        <v>45708</v>
      </c>
      <c r="D334" t="inlineStr">
        <is>
          <t>ÖREBRO LÄN</t>
        </is>
      </c>
      <c r="E334" t="inlineStr">
        <is>
          <t>DEGERFORS</t>
        </is>
      </c>
      <c r="F334" t="inlineStr">
        <is>
          <t>Sveaskog</t>
        </is>
      </c>
      <c r="G334" t="n">
        <v>6.1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21562-2024</t>
        </is>
      </c>
      <c r="B335" s="1" t="n">
        <v>45441</v>
      </c>
      <c r="C335" s="1" t="n">
        <v>45708</v>
      </c>
      <c r="D335" t="inlineStr">
        <is>
          <t>ÖREBRO LÄN</t>
        </is>
      </c>
      <c r="E335" t="inlineStr">
        <is>
          <t>DEGERFORS</t>
        </is>
      </c>
      <c r="F335" t="inlineStr">
        <is>
          <t>Sveaskog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21408-2024</t>
        </is>
      </c>
      <c r="B336" s="1" t="n">
        <v>45441</v>
      </c>
      <c r="C336" s="1" t="n">
        <v>45708</v>
      </c>
      <c r="D336" t="inlineStr">
        <is>
          <t>ÖREBRO LÄN</t>
        </is>
      </c>
      <c r="E336" t="inlineStr">
        <is>
          <t>DEGERFORS</t>
        </is>
      </c>
      <c r="F336" t="inlineStr">
        <is>
          <t>Sveaskog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21411-2024</t>
        </is>
      </c>
      <c r="B337" s="1" t="n">
        <v>45441</v>
      </c>
      <c r="C337" s="1" t="n">
        <v>45708</v>
      </c>
      <c r="D337" t="inlineStr">
        <is>
          <t>ÖREBRO LÄN</t>
        </is>
      </c>
      <c r="E337" t="inlineStr">
        <is>
          <t>DEGERFORS</t>
        </is>
      </c>
      <c r="F337" t="inlineStr">
        <is>
          <t>Sveaskog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21649-2024</t>
        </is>
      </c>
      <c r="B338" s="1" t="n">
        <v>45442</v>
      </c>
      <c r="C338" s="1" t="n">
        <v>45708</v>
      </c>
      <c r="D338" t="inlineStr">
        <is>
          <t>ÖREBRO LÄN</t>
        </is>
      </c>
      <c r="E338" t="inlineStr">
        <is>
          <t>DEGERFORS</t>
        </is>
      </c>
      <c r="F338" t="inlineStr">
        <is>
          <t>Sveaskog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21929-2024</t>
        </is>
      </c>
      <c r="B339" s="1" t="n">
        <v>45443</v>
      </c>
      <c r="C339" s="1" t="n">
        <v>45708</v>
      </c>
      <c r="D339" t="inlineStr">
        <is>
          <t>ÖREBRO LÄN</t>
        </is>
      </c>
      <c r="E339" t="inlineStr">
        <is>
          <t>DEGERFORS</t>
        </is>
      </c>
      <c r="F339" t="inlineStr">
        <is>
          <t>Sveaskog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21933-2024</t>
        </is>
      </c>
      <c r="B340" s="1" t="n">
        <v>45443</v>
      </c>
      <c r="C340" s="1" t="n">
        <v>45708</v>
      </c>
      <c r="D340" t="inlineStr">
        <is>
          <t>ÖREBRO LÄN</t>
        </is>
      </c>
      <c r="E340" t="inlineStr">
        <is>
          <t>DEGERFORS</t>
        </is>
      </c>
      <c r="F340" t="inlineStr">
        <is>
          <t>Sveaskog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21931-2024</t>
        </is>
      </c>
      <c r="B341" s="1" t="n">
        <v>45443</v>
      </c>
      <c r="C341" s="1" t="n">
        <v>45708</v>
      </c>
      <c r="D341" t="inlineStr">
        <is>
          <t>ÖREBRO LÄN</t>
        </is>
      </c>
      <c r="E341" t="inlineStr">
        <is>
          <t>DEGERFORS</t>
        </is>
      </c>
      <c r="F341" t="inlineStr">
        <is>
          <t>Sveaskog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21935-2024</t>
        </is>
      </c>
      <c r="B342" s="1" t="n">
        <v>45443</v>
      </c>
      <c r="C342" s="1" t="n">
        <v>45708</v>
      </c>
      <c r="D342" t="inlineStr">
        <is>
          <t>ÖREBRO LÄN</t>
        </is>
      </c>
      <c r="E342" t="inlineStr">
        <is>
          <t>DEGERFORS</t>
        </is>
      </c>
      <c r="F342" t="inlineStr">
        <is>
          <t>Sveaskog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21953-2024</t>
        </is>
      </c>
      <c r="B343" s="1" t="n">
        <v>45443</v>
      </c>
      <c r="C343" s="1" t="n">
        <v>45708</v>
      </c>
      <c r="D343" t="inlineStr">
        <is>
          <t>ÖREBRO LÄN</t>
        </is>
      </c>
      <c r="E343" t="inlineStr">
        <is>
          <t>DEGERFORS</t>
        </is>
      </c>
      <c r="F343" t="inlineStr">
        <is>
          <t>Sveaskog</t>
        </is>
      </c>
      <c r="G343" t="n">
        <v>4.2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21928-2024</t>
        </is>
      </c>
      <c r="B344" s="1" t="n">
        <v>45443</v>
      </c>
      <c r="C344" s="1" t="n">
        <v>45708</v>
      </c>
      <c r="D344" t="inlineStr">
        <is>
          <t>ÖREBRO LÄN</t>
        </is>
      </c>
      <c r="E344" t="inlineStr">
        <is>
          <t>DEGERFORS</t>
        </is>
      </c>
      <c r="F344" t="inlineStr">
        <is>
          <t>Sveaskog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21952-2024</t>
        </is>
      </c>
      <c r="B345" s="1" t="n">
        <v>45443</v>
      </c>
      <c r="C345" s="1" t="n">
        <v>45708</v>
      </c>
      <c r="D345" t="inlineStr">
        <is>
          <t>ÖREBRO LÄN</t>
        </is>
      </c>
      <c r="E345" t="inlineStr">
        <is>
          <t>DEGERFORS</t>
        </is>
      </c>
      <c r="F345" t="inlineStr">
        <is>
          <t>Sveaskog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21948-2024</t>
        </is>
      </c>
      <c r="B346" s="1" t="n">
        <v>45443</v>
      </c>
      <c r="C346" s="1" t="n">
        <v>45708</v>
      </c>
      <c r="D346" t="inlineStr">
        <is>
          <t>ÖREBRO LÄN</t>
        </is>
      </c>
      <c r="E346" t="inlineStr">
        <is>
          <t>DEGERFORS</t>
        </is>
      </c>
      <c r="F346" t="inlineStr">
        <is>
          <t>Sveaskog</t>
        </is>
      </c>
      <c r="G346" t="n">
        <v>17.3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22659-2024</t>
        </is>
      </c>
      <c r="B347" s="1" t="n">
        <v>45447</v>
      </c>
      <c r="C347" s="1" t="n">
        <v>45708</v>
      </c>
      <c r="D347" t="inlineStr">
        <is>
          <t>ÖREBRO LÄN</t>
        </is>
      </c>
      <c r="E347" t="inlineStr">
        <is>
          <t>DEGERFORS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23460-2024</t>
        </is>
      </c>
      <c r="B348" s="1" t="n">
        <v>45453</v>
      </c>
      <c r="C348" s="1" t="n">
        <v>45708</v>
      </c>
      <c r="D348" t="inlineStr">
        <is>
          <t>ÖREBRO LÄN</t>
        </is>
      </c>
      <c r="E348" t="inlineStr">
        <is>
          <t>DEGERFORS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23786-2024</t>
        </is>
      </c>
      <c r="B349" s="1" t="n">
        <v>45455</v>
      </c>
      <c r="C349" s="1" t="n">
        <v>45708</v>
      </c>
      <c r="D349" t="inlineStr">
        <is>
          <t>ÖREBRO LÄN</t>
        </is>
      </c>
      <c r="E349" t="inlineStr">
        <is>
          <t>DEGERFORS</t>
        </is>
      </c>
      <c r="F349" t="inlineStr">
        <is>
          <t>Sveaskog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24750-2024</t>
        </is>
      </c>
      <c r="B350" s="1" t="n">
        <v>45460</v>
      </c>
      <c r="C350" s="1" t="n">
        <v>45708</v>
      </c>
      <c r="D350" t="inlineStr">
        <is>
          <t>ÖREBRO LÄN</t>
        </is>
      </c>
      <c r="E350" t="inlineStr">
        <is>
          <t>DEGERFORS</t>
        </is>
      </c>
      <c r="F350" t="inlineStr">
        <is>
          <t>Sveaskog</t>
        </is>
      </c>
      <c r="G350" t="n">
        <v>8.6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24749-2024</t>
        </is>
      </c>
      <c r="B351" s="1" t="n">
        <v>45460</v>
      </c>
      <c r="C351" s="1" t="n">
        <v>45708</v>
      </c>
      <c r="D351" t="inlineStr">
        <is>
          <t>ÖREBRO LÄN</t>
        </is>
      </c>
      <c r="E351" t="inlineStr">
        <is>
          <t>DEGERFORS</t>
        </is>
      </c>
      <c r="F351" t="inlineStr">
        <is>
          <t>Sveaskog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24753-2024</t>
        </is>
      </c>
      <c r="B352" s="1" t="n">
        <v>45460</v>
      </c>
      <c r="C352" s="1" t="n">
        <v>45708</v>
      </c>
      <c r="D352" t="inlineStr">
        <is>
          <t>ÖREBRO LÄN</t>
        </is>
      </c>
      <c r="E352" t="inlineStr">
        <is>
          <t>DEGERFORS</t>
        </is>
      </c>
      <c r="F352" t="inlineStr">
        <is>
          <t>Sveaskog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25177-2024</t>
        </is>
      </c>
      <c r="B353" s="1" t="n">
        <v>45462</v>
      </c>
      <c r="C353" s="1" t="n">
        <v>45708</v>
      </c>
      <c r="D353" t="inlineStr">
        <is>
          <t>ÖREBRO LÄN</t>
        </is>
      </c>
      <c r="E353" t="inlineStr">
        <is>
          <t>DEGERFORS</t>
        </is>
      </c>
      <c r="F353" t="inlineStr">
        <is>
          <t>Sveaskog</t>
        </is>
      </c>
      <c r="G353" t="n">
        <v>6.5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25169-2024</t>
        </is>
      </c>
      <c r="B354" s="1" t="n">
        <v>45462</v>
      </c>
      <c r="C354" s="1" t="n">
        <v>45708</v>
      </c>
      <c r="D354" t="inlineStr">
        <is>
          <t>ÖREBRO LÄN</t>
        </is>
      </c>
      <c r="E354" t="inlineStr">
        <is>
          <t>DEGERFORS</t>
        </is>
      </c>
      <c r="F354" t="inlineStr">
        <is>
          <t>Sveaskog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25175-2024</t>
        </is>
      </c>
      <c r="B355" s="1" t="n">
        <v>45462</v>
      </c>
      <c r="C355" s="1" t="n">
        <v>45708</v>
      </c>
      <c r="D355" t="inlineStr">
        <is>
          <t>ÖREBRO LÄN</t>
        </is>
      </c>
      <c r="E355" t="inlineStr">
        <is>
          <t>DEGERFORS</t>
        </is>
      </c>
      <c r="F355" t="inlineStr">
        <is>
          <t>Sveaskog</t>
        </is>
      </c>
      <c r="G355" t="n">
        <v>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25167-2024</t>
        </is>
      </c>
      <c r="B356" s="1" t="n">
        <v>45462</v>
      </c>
      <c r="C356" s="1" t="n">
        <v>45708</v>
      </c>
      <c r="D356" t="inlineStr">
        <is>
          <t>ÖREBRO LÄN</t>
        </is>
      </c>
      <c r="E356" t="inlineStr">
        <is>
          <t>DEGERFORS</t>
        </is>
      </c>
      <c r="F356" t="inlineStr">
        <is>
          <t>Sveaskog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26182-2024</t>
        </is>
      </c>
      <c r="B357" s="1" t="n">
        <v>45468</v>
      </c>
      <c r="C357" s="1" t="n">
        <v>45708</v>
      </c>
      <c r="D357" t="inlineStr">
        <is>
          <t>ÖREBRO LÄN</t>
        </is>
      </c>
      <c r="E357" t="inlineStr">
        <is>
          <t>DEGERFORS</t>
        </is>
      </c>
      <c r="F357" t="inlineStr">
        <is>
          <t>Sveaskog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26177-2024</t>
        </is>
      </c>
      <c r="B358" s="1" t="n">
        <v>45468</v>
      </c>
      <c r="C358" s="1" t="n">
        <v>45708</v>
      </c>
      <c r="D358" t="inlineStr">
        <is>
          <t>ÖREBRO LÄN</t>
        </is>
      </c>
      <c r="E358" t="inlineStr">
        <is>
          <t>DEGERFORS</t>
        </is>
      </c>
      <c r="F358" t="inlineStr">
        <is>
          <t>Sveaskog</t>
        </is>
      </c>
      <c r="G358" t="n">
        <v>5.5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26173-2024</t>
        </is>
      </c>
      <c r="B359" s="1" t="n">
        <v>45468</v>
      </c>
      <c r="C359" s="1" t="n">
        <v>45708</v>
      </c>
      <c r="D359" t="inlineStr">
        <is>
          <t>ÖREBRO LÄN</t>
        </is>
      </c>
      <c r="E359" t="inlineStr">
        <is>
          <t>DEGERFORS</t>
        </is>
      </c>
      <c r="F359" t="inlineStr">
        <is>
          <t>Sveaskog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26169-2024</t>
        </is>
      </c>
      <c r="B360" s="1" t="n">
        <v>45468</v>
      </c>
      <c r="C360" s="1" t="n">
        <v>45708</v>
      </c>
      <c r="D360" t="inlineStr">
        <is>
          <t>ÖREBRO LÄN</t>
        </is>
      </c>
      <c r="E360" t="inlineStr">
        <is>
          <t>DEGERFORS</t>
        </is>
      </c>
      <c r="F360" t="inlineStr">
        <is>
          <t>Sveaskog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26151-2024</t>
        </is>
      </c>
      <c r="B361" s="1" t="n">
        <v>45468</v>
      </c>
      <c r="C361" s="1" t="n">
        <v>45708</v>
      </c>
      <c r="D361" t="inlineStr">
        <is>
          <t>ÖREBRO LÄN</t>
        </is>
      </c>
      <c r="E361" t="inlineStr">
        <is>
          <t>DEGERFORS</t>
        </is>
      </c>
      <c r="F361" t="inlineStr">
        <is>
          <t>Sveaskog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26180-2024</t>
        </is>
      </c>
      <c r="B362" s="1" t="n">
        <v>45468</v>
      </c>
      <c r="C362" s="1" t="n">
        <v>45708</v>
      </c>
      <c r="D362" t="inlineStr">
        <is>
          <t>ÖREBRO LÄN</t>
        </is>
      </c>
      <c r="E362" t="inlineStr">
        <is>
          <t>DEGERFORS</t>
        </is>
      </c>
      <c r="F362" t="inlineStr">
        <is>
          <t>Sveaskog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26176-2024</t>
        </is>
      </c>
      <c r="B363" s="1" t="n">
        <v>45468</v>
      </c>
      <c r="C363" s="1" t="n">
        <v>45708</v>
      </c>
      <c r="D363" t="inlineStr">
        <is>
          <t>ÖREBRO LÄN</t>
        </is>
      </c>
      <c r="E363" t="inlineStr">
        <is>
          <t>DEGERFORS</t>
        </is>
      </c>
      <c r="F363" t="inlineStr">
        <is>
          <t>Sveaskog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26185-2024</t>
        </is>
      </c>
      <c r="B364" s="1" t="n">
        <v>45468</v>
      </c>
      <c r="C364" s="1" t="n">
        <v>45708</v>
      </c>
      <c r="D364" t="inlineStr">
        <is>
          <t>ÖREBRO LÄN</t>
        </is>
      </c>
      <c r="E364" t="inlineStr">
        <is>
          <t>DEGERFORS</t>
        </is>
      </c>
      <c r="F364" t="inlineStr">
        <is>
          <t>Sveaskog</t>
        </is>
      </c>
      <c r="G364" t="n">
        <v>4.6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26171-2024</t>
        </is>
      </c>
      <c r="B365" s="1" t="n">
        <v>45468</v>
      </c>
      <c r="C365" s="1" t="n">
        <v>45708</v>
      </c>
      <c r="D365" t="inlineStr">
        <is>
          <t>ÖREBRO LÄN</t>
        </is>
      </c>
      <c r="E365" t="inlineStr">
        <is>
          <t>DEGERFORS</t>
        </is>
      </c>
      <c r="F365" t="inlineStr">
        <is>
          <t>Sveaskog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26153-2024</t>
        </is>
      </c>
      <c r="B366" s="1" t="n">
        <v>45468</v>
      </c>
      <c r="C366" s="1" t="n">
        <v>45708</v>
      </c>
      <c r="D366" t="inlineStr">
        <is>
          <t>ÖREBRO LÄN</t>
        </is>
      </c>
      <c r="E366" t="inlineStr">
        <is>
          <t>DEGERFORS</t>
        </is>
      </c>
      <c r="F366" t="inlineStr">
        <is>
          <t>Sveaskog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26168-2024</t>
        </is>
      </c>
      <c r="B367" s="1" t="n">
        <v>45468</v>
      </c>
      <c r="C367" s="1" t="n">
        <v>45708</v>
      </c>
      <c r="D367" t="inlineStr">
        <is>
          <t>ÖREBRO LÄN</t>
        </is>
      </c>
      <c r="E367" t="inlineStr">
        <is>
          <t>DEGERFORS</t>
        </is>
      </c>
      <c r="F367" t="inlineStr">
        <is>
          <t>Sveaskog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26154-2024</t>
        </is>
      </c>
      <c r="B368" s="1" t="n">
        <v>45468</v>
      </c>
      <c r="C368" s="1" t="n">
        <v>45708</v>
      </c>
      <c r="D368" t="inlineStr">
        <is>
          <t>ÖREBRO LÄN</t>
        </is>
      </c>
      <c r="E368" t="inlineStr">
        <is>
          <t>DEGERFORS</t>
        </is>
      </c>
      <c r="F368" t="inlineStr">
        <is>
          <t>Sveaskog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26150-2024</t>
        </is>
      </c>
      <c r="B369" s="1" t="n">
        <v>45468</v>
      </c>
      <c r="C369" s="1" t="n">
        <v>45708</v>
      </c>
      <c r="D369" t="inlineStr">
        <is>
          <t>ÖREBRO LÄN</t>
        </is>
      </c>
      <c r="E369" t="inlineStr">
        <is>
          <t>DEGERFORS</t>
        </is>
      </c>
      <c r="F369" t="inlineStr">
        <is>
          <t>Sveaskog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26174-2024</t>
        </is>
      </c>
      <c r="B370" s="1" t="n">
        <v>45468</v>
      </c>
      <c r="C370" s="1" t="n">
        <v>45708</v>
      </c>
      <c r="D370" t="inlineStr">
        <is>
          <t>ÖREBRO LÄN</t>
        </is>
      </c>
      <c r="E370" t="inlineStr">
        <is>
          <t>DEGERFORS</t>
        </is>
      </c>
      <c r="F370" t="inlineStr">
        <is>
          <t>Sveaskog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26152-2024</t>
        </is>
      </c>
      <c r="B371" s="1" t="n">
        <v>45468</v>
      </c>
      <c r="C371" s="1" t="n">
        <v>45708</v>
      </c>
      <c r="D371" t="inlineStr">
        <is>
          <t>ÖREBRO LÄN</t>
        </is>
      </c>
      <c r="E371" t="inlineStr">
        <is>
          <t>DEGERFORS</t>
        </is>
      </c>
      <c r="F371" t="inlineStr">
        <is>
          <t>Sveaskog</t>
        </is>
      </c>
      <c r="G371" t="n">
        <v>4.6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27438-2024</t>
        </is>
      </c>
      <c r="B372" s="1" t="n">
        <v>45474</v>
      </c>
      <c r="C372" s="1" t="n">
        <v>45708</v>
      </c>
      <c r="D372" t="inlineStr">
        <is>
          <t>ÖREBRO LÄN</t>
        </is>
      </c>
      <c r="E372" t="inlineStr">
        <is>
          <t>DEGERFORS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29945-2024</t>
        </is>
      </c>
      <c r="B373" s="1" t="n">
        <v>45488</v>
      </c>
      <c r="C373" s="1" t="n">
        <v>45708</v>
      </c>
      <c r="D373" t="inlineStr">
        <is>
          <t>ÖREBRO LÄN</t>
        </is>
      </c>
      <c r="E373" t="inlineStr">
        <is>
          <t>DEGERFORS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29949-2024</t>
        </is>
      </c>
      <c r="B374" s="1" t="n">
        <v>45488</v>
      </c>
      <c r="C374" s="1" t="n">
        <v>45708</v>
      </c>
      <c r="D374" t="inlineStr">
        <is>
          <t>ÖREBRO LÄN</t>
        </is>
      </c>
      <c r="E374" t="inlineStr">
        <is>
          <t>DEGERFORS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30813-2024</t>
        </is>
      </c>
      <c r="B375" s="1" t="n">
        <v>45497</v>
      </c>
      <c r="C375" s="1" t="n">
        <v>45708</v>
      </c>
      <c r="D375" t="inlineStr">
        <is>
          <t>ÖREBRO LÄN</t>
        </is>
      </c>
      <c r="E375" t="inlineStr">
        <is>
          <t>DEGERFORS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30811-2024</t>
        </is>
      </c>
      <c r="B376" s="1" t="n">
        <v>45497</v>
      </c>
      <c r="C376" s="1" t="n">
        <v>45708</v>
      </c>
      <c r="D376" t="inlineStr">
        <is>
          <t>ÖREBRO LÄN</t>
        </is>
      </c>
      <c r="E376" t="inlineStr">
        <is>
          <t>DEGERFORS</t>
        </is>
      </c>
      <c r="G376" t="n">
        <v>3.9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31598-2024</t>
        </is>
      </c>
      <c r="B377" s="1" t="n">
        <v>45506</v>
      </c>
      <c r="C377" s="1" t="n">
        <v>45708</v>
      </c>
      <c r="D377" t="inlineStr">
        <is>
          <t>ÖREBRO LÄN</t>
        </is>
      </c>
      <c r="E377" t="inlineStr">
        <is>
          <t>DEGERFORS</t>
        </is>
      </c>
      <c r="G377" t="n">
        <v>4.3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32551-2024</t>
        </is>
      </c>
      <c r="B378" s="1" t="n">
        <v>45513</v>
      </c>
      <c r="C378" s="1" t="n">
        <v>45708</v>
      </c>
      <c r="D378" t="inlineStr">
        <is>
          <t>ÖREBRO LÄN</t>
        </is>
      </c>
      <c r="E378" t="inlineStr">
        <is>
          <t>DEGERFORS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32824-2024</t>
        </is>
      </c>
      <c r="B379" s="1" t="n">
        <v>45516</v>
      </c>
      <c r="C379" s="1" t="n">
        <v>45708</v>
      </c>
      <c r="D379" t="inlineStr">
        <is>
          <t>ÖREBRO LÄN</t>
        </is>
      </c>
      <c r="E379" t="inlineStr">
        <is>
          <t>DEGERFORS</t>
        </is>
      </c>
      <c r="G379" t="n">
        <v>13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32816-2024</t>
        </is>
      </c>
      <c r="B380" s="1" t="n">
        <v>45516</v>
      </c>
      <c r="C380" s="1" t="n">
        <v>45708</v>
      </c>
      <c r="D380" t="inlineStr">
        <is>
          <t>ÖREBRO LÄN</t>
        </is>
      </c>
      <c r="E380" t="inlineStr">
        <is>
          <t>DEGERFORS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33658-2024</t>
        </is>
      </c>
      <c r="B381" s="1" t="n">
        <v>45520</v>
      </c>
      <c r="C381" s="1" t="n">
        <v>45708</v>
      </c>
      <c r="D381" t="inlineStr">
        <is>
          <t>ÖREBRO LÄN</t>
        </is>
      </c>
      <c r="E381" t="inlineStr">
        <is>
          <t>DEGERFORS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36437-2024</t>
        </is>
      </c>
      <c r="B382" s="1" t="n">
        <v>45535</v>
      </c>
      <c r="C382" s="1" t="n">
        <v>45708</v>
      </c>
      <c r="D382" t="inlineStr">
        <is>
          <t>ÖREBRO LÄN</t>
        </is>
      </c>
      <c r="E382" t="inlineStr">
        <is>
          <t>DEGERFORS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36439-2024</t>
        </is>
      </c>
      <c r="B383" s="1" t="n">
        <v>45535</v>
      </c>
      <c r="C383" s="1" t="n">
        <v>45708</v>
      </c>
      <c r="D383" t="inlineStr">
        <is>
          <t>ÖREBRO LÄN</t>
        </is>
      </c>
      <c r="E383" t="inlineStr">
        <is>
          <t>DEGERFORS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37672-2024</t>
        </is>
      </c>
      <c r="B384" s="1" t="n">
        <v>45541</v>
      </c>
      <c r="C384" s="1" t="n">
        <v>45708</v>
      </c>
      <c r="D384" t="inlineStr">
        <is>
          <t>ÖREBRO LÄN</t>
        </is>
      </c>
      <c r="E384" t="inlineStr">
        <is>
          <t>DEGERFORS</t>
        </is>
      </c>
      <c r="F384" t="inlineStr">
        <is>
          <t>Sveaskog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38574-2024</t>
        </is>
      </c>
      <c r="B385" s="1" t="n">
        <v>45546</v>
      </c>
      <c r="C385" s="1" t="n">
        <v>45708</v>
      </c>
      <c r="D385" t="inlineStr">
        <is>
          <t>ÖREBRO LÄN</t>
        </is>
      </c>
      <c r="E385" t="inlineStr">
        <is>
          <t>DEGERFORS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40389-2024</t>
        </is>
      </c>
      <c r="B386" s="1" t="n">
        <v>45555</v>
      </c>
      <c r="C386" s="1" t="n">
        <v>45708</v>
      </c>
      <c r="D386" t="inlineStr">
        <is>
          <t>ÖREBRO LÄN</t>
        </is>
      </c>
      <c r="E386" t="inlineStr">
        <is>
          <t>DEGERFORS</t>
        </is>
      </c>
      <c r="F386" t="inlineStr">
        <is>
          <t>Sveaskog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40393-2024</t>
        </is>
      </c>
      <c r="B387" s="1" t="n">
        <v>45555</v>
      </c>
      <c r="C387" s="1" t="n">
        <v>45708</v>
      </c>
      <c r="D387" t="inlineStr">
        <is>
          <t>ÖREBRO LÄN</t>
        </is>
      </c>
      <c r="E387" t="inlineStr">
        <is>
          <t>DEGERFORS</t>
        </is>
      </c>
      <c r="F387" t="inlineStr">
        <is>
          <t>Sveaskog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40391-2024</t>
        </is>
      </c>
      <c r="B388" s="1" t="n">
        <v>45555</v>
      </c>
      <c r="C388" s="1" t="n">
        <v>45708</v>
      </c>
      <c r="D388" t="inlineStr">
        <is>
          <t>ÖREBRO LÄN</t>
        </is>
      </c>
      <c r="E388" t="inlineStr">
        <is>
          <t>DEGERFORS</t>
        </is>
      </c>
      <c r="F388" t="inlineStr">
        <is>
          <t>Sveaskog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40390-2024</t>
        </is>
      </c>
      <c r="B389" s="1" t="n">
        <v>45555</v>
      </c>
      <c r="C389" s="1" t="n">
        <v>45708</v>
      </c>
      <c r="D389" t="inlineStr">
        <is>
          <t>ÖREBRO LÄN</t>
        </is>
      </c>
      <c r="E389" t="inlineStr">
        <is>
          <t>DEGERFORS</t>
        </is>
      </c>
      <c r="F389" t="inlineStr">
        <is>
          <t>Sveaskog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40406-2024</t>
        </is>
      </c>
      <c r="B390" s="1" t="n">
        <v>45555</v>
      </c>
      <c r="C390" s="1" t="n">
        <v>45708</v>
      </c>
      <c r="D390" t="inlineStr">
        <is>
          <t>ÖREBRO LÄN</t>
        </is>
      </c>
      <c r="E390" t="inlineStr">
        <is>
          <t>DEGERFORS</t>
        </is>
      </c>
      <c r="G390" t="n">
        <v>11.5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40870-2024</t>
        </is>
      </c>
      <c r="B391" s="1" t="n">
        <v>45558</v>
      </c>
      <c r="C391" s="1" t="n">
        <v>45708</v>
      </c>
      <c r="D391" t="inlineStr">
        <is>
          <t>ÖREBRO LÄN</t>
        </is>
      </c>
      <c r="E391" t="inlineStr">
        <is>
          <t>DEGERFORS</t>
        </is>
      </c>
      <c r="F391" t="inlineStr">
        <is>
          <t>Sveaskog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41566-2024</t>
        </is>
      </c>
      <c r="B392" s="1" t="n">
        <v>45560</v>
      </c>
      <c r="C392" s="1" t="n">
        <v>45708</v>
      </c>
      <c r="D392" t="inlineStr">
        <is>
          <t>ÖREBRO LÄN</t>
        </is>
      </c>
      <c r="E392" t="inlineStr">
        <is>
          <t>DEGERFORS</t>
        </is>
      </c>
      <c r="F392" t="inlineStr">
        <is>
          <t>Sveaskog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41568-2024</t>
        </is>
      </c>
      <c r="B393" s="1" t="n">
        <v>45560</v>
      </c>
      <c r="C393" s="1" t="n">
        <v>45708</v>
      </c>
      <c r="D393" t="inlineStr">
        <is>
          <t>ÖREBRO LÄN</t>
        </is>
      </c>
      <c r="E393" t="inlineStr">
        <is>
          <t>DEGERFORS</t>
        </is>
      </c>
      <c r="F393" t="inlineStr">
        <is>
          <t>Sveaskog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41565-2024</t>
        </is>
      </c>
      <c r="B394" s="1" t="n">
        <v>45560</v>
      </c>
      <c r="C394" s="1" t="n">
        <v>45708</v>
      </c>
      <c r="D394" t="inlineStr">
        <is>
          <t>ÖREBRO LÄN</t>
        </is>
      </c>
      <c r="E394" t="inlineStr">
        <is>
          <t>DEGERFORS</t>
        </is>
      </c>
      <c r="F394" t="inlineStr">
        <is>
          <t>Sveaskog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41569-2024</t>
        </is>
      </c>
      <c r="B395" s="1" t="n">
        <v>45560</v>
      </c>
      <c r="C395" s="1" t="n">
        <v>45708</v>
      </c>
      <c r="D395" t="inlineStr">
        <is>
          <t>ÖREBRO LÄN</t>
        </is>
      </c>
      <c r="E395" t="inlineStr">
        <is>
          <t>DEGERFORS</t>
        </is>
      </c>
      <c r="F395" t="inlineStr">
        <is>
          <t>Sveaskog</t>
        </is>
      </c>
      <c r="G395" t="n">
        <v>4.9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41567-2024</t>
        </is>
      </c>
      <c r="B396" s="1" t="n">
        <v>45560</v>
      </c>
      <c r="C396" s="1" t="n">
        <v>45708</v>
      </c>
      <c r="D396" t="inlineStr">
        <is>
          <t>ÖREBRO LÄN</t>
        </is>
      </c>
      <c r="E396" t="inlineStr">
        <is>
          <t>DEGERFORS</t>
        </is>
      </c>
      <c r="F396" t="inlineStr">
        <is>
          <t>Sveaskog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42367-2024</t>
        </is>
      </c>
      <c r="B397" s="1" t="n">
        <v>45564</v>
      </c>
      <c r="C397" s="1" t="n">
        <v>45708</v>
      </c>
      <c r="D397" t="inlineStr">
        <is>
          <t>ÖREBRO LÄN</t>
        </is>
      </c>
      <c r="E397" t="inlineStr">
        <is>
          <t>DEGERFORS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43768-2024</t>
        </is>
      </c>
      <c r="B398" s="1" t="n">
        <v>45569</v>
      </c>
      <c r="C398" s="1" t="n">
        <v>45708</v>
      </c>
      <c r="D398" t="inlineStr">
        <is>
          <t>ÖREBRO LÄN</t>
        </is>
      </c>
      <c r="E398" t="inlineStr">
        <is>
          <t>DEGERFORS</t>
        </is>
      </c>
      <c r="G398" t="n">
        <v>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43769-2024</t>
        </is>
      </c>
      <c r="B399" s="1" t="n">
        <v>45569</v>
      </c>
      <c r="C399" s="1" t="n">
        <v>45708</v>
      </c>
      <c r="D399" t="inlineStr">
        <is>
          <t>ÖREBRO LÄN</t>
        </is>
      </c>
      <c r="E399" t="inlineStr">
        <is>
          <t>DEGERFORS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43943-2024</t>
        </is>
      </c>
      <c r="B400" s="1" t="n">
        <v>45572</v>
      </c>
      <c r="C400" s="1" t="n">
        <v>45708</v>
      </c>
      <c r="D400" t="inlineStr">
        <is>
          <t>ÖREBRO LÄN</t>
        </is>
      </c>
      <c r="E400" t="inlineStr">
        <is>
          <t>DEGERFORS</t>
        </is>
      </c>
      <c r="G400" t="n">
        <v>8.699999999999999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45384-2024</t>
        </is>
      </c>
      <c r="B401" s="1" t="n">
        <v>45576</v>
      </c>
      <c r="C401" s="1" t="n">
        <v>45708</v>
      </c>
      <c r="D401" t="inlineStr">
        <is>
          <t>ÖREBRO LÄN</t>
        </is>
      </c>
      <c r="E401" t="inlineStr">
        <is>
          <t>DEGERFORS</t>
        </is>
      </c>
      <c r="G401" t="n">
        <v>9.9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46288-2024</t>
        </is>
      </c>
      <c r="B402" s="1" t="n">
        <v>45581</v>
      </c>
      <c r="C402" s="1" t="n">
        <v>45708</v>
      </c>
      <c r="D402" t="inlineStr">
        <is>
          <t>ÖREBRO LÄN</t>
        </is>
      </c>
      <c r="E402" t="inlineStr">
        <is>
          <t>DEGERFORS</t>
        </is>
      </c>
      <c r="F402" t="inlineStr">
        <is>
          <t>Sveaskog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46148-2024</t>
        </is>
      </c>
      <c r="B403" s="1" t="n">
        <v>45581</v>
      </c>
      <c r="C403" s="1" t="n">
        <v>45708</v>
      </c>
      <c r="D403" t="inlineStr">
        <is>
          <t>ÖREBRO LÄN</t>
        </is>
      </c>
      <c r="E403" t="inlineStr">
        <is>
          <t>DEGERFORS</t>
        </is>
      </c>
      <c r="F403" t="inlineStr">
        <is>
          <t>Sveaskog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46213-2024</t>
        </is>
      </c>
      <c r="B404" s="1" t="n">
        <v>45581</v>
      </c>
      <c r="C404" s="1" t="n">
        <v>45708</v>
      </c>
      <c r="D404" t="inlineStr">
        <is>
          <t>ÖREBRO LÄN</t>
        </is>
      </c>
      <c r="E404" t="inlineStr">
        <is>
          <t>DEGERFORS</t>
        </is>
      </c>
      <c r="F404" t="inlineStr">
        <is>
          <t>Sveaskog</t>
        </is>
      </c>
      <c r="G404" t="n">
        <v>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46219-2024</t>
        </is>
      </c>
      <c r="B405" s="1" t="n">
        <v>45581</v>
      </c>
      <c r="C405" s="1" t="n">
        <v>45708</v>
      </c>
      <c r="D405" t="inlineStr">
        <is>
          <t>ÖREBRO LÄN</t>
        </is>
      </c>
      <c r="E405" t="inlineStr">
        <is>
          <t>DEGERFORS</t>
        </is>
      </c>
      <c r="F405" t="inlineStr">
        <is>
          <t>Sveaskog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46220-2024</t>
        </is>
      </c>
      <c r="B406" s="1" t="n">
        <v>45581</v>
      </c>
      <c r="C406" s="1" t="n">
        <v>45708</v>
      </c>
      <c r="D406" t="inlineStr">
        <is>
          <t>ÖREBRO LÄN</t>
        </is>
      </c>
      <c r="E406" t="inlineStr">
        <is>
          <t>DEGERFORS</t>
        </is>
      </c>
      <c r="F406" t="inlineStr">
        <is>
          <t>Sveaskog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46216-2024</t>
        </is>
      </c>
      <c r="B407" s="1" t="n">
        <v>45581</v>
      </c>
      <c r="C407" s="1" t="n">
        <v>45708</v>
      </c>
      <c r="D407" t="inlineStr">
        <is>
          <t>ÖREBRO LÄN</t>
        </is>
      </c>
      <c r="E407" t="inlineStr">
        <is>
          <t>DEGERFORS</t>
        </is>
      </c>
      <c r="F407" t="inlineStr">
        <is>
          <t>Sveaskog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46222-2024</t>
        </is>
      </c>
      <c r="B408" s="1" t="n">
        <v>45581</v>
      </c>
      <c r="C408" s="1" t="n">
        <v>45708</v>
      </c>
      <c r="D408" t="inlineStr">
        <is>
          <t>ÖREBRO LÄN</t>
        </is>
      </c>
      <c r="E408" t="inlineStr">
        <is>
          <t>DEGERFORS</t>
        </is>
      </c>
      <c r="F408" t="inlineStr">
        <is>
          <t>Sveaskog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46158-2024</t>
        </is>
      </c>
      <c r="B409" s="1" t="n">
        <v>45581</v>
      </c>
      <c r="C409" s="1" t="n">
        <v>45708</v>
      </c>
      <c r="D409" t="inlineStr">
        <is>
          <t>ÖREBRO LÄN</t>
        </is>
      </c>
      <c r="E409" t="inlineStr">
        <is>
          <t>DEGERFORS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46154-2024</t>
        </is>
      </c>
      <c r="B410" s="1" t="n">
        <v>45581</v>
      </c>
      <c r="C410" s="1" t="n">
        <v>45708</v>
      </c>
      <c r="D410" t="inlineStr">
        <is>
          <t>ÖREBRO LÄN</t>
        </is>
      </c>
      <c r="E410" t="inlineStr">
        <is>
          <t>DEGERFORS</t>
        </is>
      </c>
      <c r="F410" t="inlineStr">
        <is>
          <t>Sveaskog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46147-2024</t>
        </is>
      </c>
      <c r="B411" s="1" t="n">
        <v>45581</v>
      </c>
      <c r="C411" s="1" t="n">
        <v>45708</v>
      </c>
      <c r="D411" t="inlineStr">
        <is>
          <t>ÖREBRO LÄN</t>
        </is>
      </c>
      <c r="E411" t="inlineStr">
        <is>
          <t>DEGERFORS</t>
        </is>
      </c>
      <c r="F411" t="inlineStr">
        <is>
          <t>Sveaskog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46150-2024</t>
        </is>
      </c>
      <c r="B412" s="1" t="n">
        <v>45581</v>
      </c>
      <c r="C412" s="1" t="n">
        <v>45708</v>
      </c>
      <c r="D412" t="inlineStr">
        <is>
          <t>ÖREBRO LÄN</t>
        </is>
      </c>
      <c r="E412" t="inlineStr">
        <is>
          <t>DEGERFORS</t>
        </is>
      </c>
      <c r="F412" t="inlineStr">
        <is>
          <t>Sveaskog</t>
        </is>
      </c>
      <c r="G412" t="n">
        <v>3.8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46289-2024</t>
        </is>
      </c>
      <c r="B413" s="1" t="n">
        <v>45581</v>
      </c>
      <c r="C413" s="1" t="n">
        <v>45708</v>
      </c>
      <c r="D413" t="inlineStr">
        <is>
          <t>ÖREBRO LÄN</t>
        </is>
      </c>
      <c r="E413" t="inlineStr">
        <is>
          <t>DEGERFORS</t>
        </is>
      </c>
      <c r="F413" t="inlineStr">
        <is>
          <t>Sveaskog</t>
        </is>
      </c>
      <c r="G413" t="n">
        <v>3.7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46290-2024</t>
        </is>
      </c>
      <c r="B414" s="1" t="n">
        <v>45581</v>
      </c>
      <c r="C414" s="1" t="n">
        <v>45708</v>
      </c>
      <c r="D414" t="inlineStr">
        <is>
          <t>ÖREBRO LÄN</t>
        </is>
      </c>
      <c r="E414" t="inlineStr">
        <is>
          <t>DEGERFORS</t>
        </is>
      </c>
      <c r="F414" t="inlineStr">
        <is>
          <t>Sveaskog</t>
        </is>
      </c>
      <c r="G414" t="n">
        <v>8.199999999999999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46287-2024</t>
        </is>
      </c>
      <c r="B415" s="1" t="n">
        <v>45581</v>
      </c>
      <c r="C415" s="1" t="n">
        <v>45708</v>
      </c>
      <c r="D415" t="inlineStr">
        <is>
          <t>ÖREBRO LÄN</t>
        </is>
      </c>
      <c r="E415" t="inlineStr">
        <is>
          <t>DEGERFORS</t>
        </is>
      </c>
      <c r="F415" t="inlineStr">
        <is>
          <t>Sveaskog</t>
        </is>
      </c>
      <c r="G415" t="n">
        <v>7.6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47216-2024</t>
        </is>
      </c>
      <c r="B416" s="1" t="n">
        <v>45586</v>
      </c>
      <c r="C416" s="1" t="n">
        <v>45708</v>
      </c>
      <c r="D416" t="inlineStr">
        <is>
          <t>ÖREBRO LÄN</t>
        </is>
      </c>
      <c r="E416" t="inlineStr">
        <is>
          <t>DEGERFORS</t>
        </is>
      </c>
      <c r="F416" t="inlineStr">
        <is>
          <t>Sveaskog</t>
        </is>
      </c>
      <c r="G416" t="n">
        <v>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47930-2024</t>
        </is>
      </c>
      <c r="B417" s="1" t="n">
        <v>45589</v>
      </c>
      <c r="C417" s="1" t="n">
        <v>45708</v>
      </c>
      <c r="D417" t="inlineStr">
        <is>
          <t>ÖREBRO LÄN</t>
        </is>
      </c>
      <c r="E417" t="inlineStr">
        <is>
          <t>DEGERFORS</t>
        </is>
      </c>
      <c r="F417" t="inlineStr">
        <is>
          <t>Sveaskog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47941-2024</t>
        </is>
      </c>
      <c r="B418" s="1" t="n">
        <v>45589</v>
      </c>
      <c r="C418" s="1" t="n">
        <v>45708</v>
      </c>
      <c r="D418" t="inlineStr">
        <is>
          <t>ÖREBRO LÄN</t>
        </is>
      </c>
      <c r="E418" t="inlineStr">
        <is>
          <t>DEGERFORS</t>
        </is>
      </c>
      <c r="F418" t="inlineStr">
        <is>
          <t>Sveaskog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47937-2024</t>
        </is>
      </c>
      <c r="B419" s="1" t="n">
        <v>45589</v>
      </c>
      <c r="C419" s="1" t="n">
        <v>45708</v>
      </c>
      <c r="D419" t="inlineStr">
        <is>
          <t>ÖREBRO LÄN</t>
        </is>
      </c>
      <c r="E419" t="inlineStr">
        <is>
          <t>DEGERFORS</t>
        </is>
      </c>
      <c r="F419" t="inlineStr">
        <is>
          <t>Sveaskog</t>
        </is>
      </c>
      <c r="G419" t="n">
        <v>4.7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47933-2024</t>
        </is>
      </c>
      <c r="B420" s="1" t="n">
        <v>45589</v>
      </c>
      <c r="C420" s="1" t="n">
        <v>45708</v>
      </c>
      <c r="D420" t="inlineStr">
        <is>
          <t>ÖREBRO LÄN</t>
        </is>
      </c>
      <c r="E420" t="inlineStr">
        <is>
          <t>DEGERFORS</t>
        </is>
      </c>
      <c r="F420" t="inlineStr">
        <is>
          <t>Sveaskog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47925-2024</t>
        </is>
      </c>
      <c r="B421" s="1" t="n">
        <v>45589</v>
      </c>
      <c r="C421" s="1" t="n">
        <v>45708</v>
      </c>
      <c r="D421" t="inlineStr">
        <is>
          <t>ÖREBRO LÄN</t>
        </is>
      </c>
      <c r="E421" t="inlineStr">
        <is>
          <t>DEGERFORS</t>
        </is>
      </c>
      <c r="F421" t="inlineStr">
        <is>
          <t>Sveaskog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47939-2024</t>
        </is>
      </c>
      <c r="B422" s="1" t="n">
        <v>45589</v>
      </c>
      <c r="C422" s="1" t="n">
        <v>45708</v>
      </c>
      <c r="D422" t="inlineStr">
        <is>
          <t>ÖREBRO LÄN</t>
        </is>
      </c>
      <c r="E422" t="inlineStr">
        <is>
          <t>DEGERFORS</t>
        </is>
      </c>
      <c r="F422" t="inlineStr">
        <is>
          <t>Sveaskog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47935-2024</t>
        </is>
      </c>
      <c r="B423" s="1" t="n">
        <v>45589</v>
      </c>
      <c r="C423" s="1" t="n">
        <v>45708</v>
      </c>
      <c r="D423" t="inlineStr">
        <is>
          <t>ÖREBRO LÄN</t>
        </is>
      </c>
      <c r="E423" t="inlineStr">
        <is>
          <t>DEGERFORS</t>
        </is>
      </c>
      <c r="F423" t="inlineStr">
        <is>
          <t>Sveaskog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50207-2024</t>
        </is>
      </c>
      <c r="B424" s="1" t="n">
        <v>45600</v>
      </c>
      <c r="C424" s="1" t="n">
        <v>45708</v>
      </c>
      <c r="D424" t="inlineStr">
        <is>
          <t>ÖREBRO LÄN</t>
        </is>
      </c>
      <c r="E424" t="inlineStr">
        <is>
          <t>DEGERFORS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50208-2024</t>
        </is>
      </c>
      <c r="B425" s="1" t="n">
        <v>45600</v>
      </c>
      <c r="C425" s="1" t="n">
        <v>45708</v>
      </c>
      <c r="D425" t="inlineStr">
        <is>
          <t>ÖREBRO LÄN</t>
        </is>
      </c>
      <c r="E425" t="inlineStr">
        <is>
          <t>DEGERFORS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50378-2024</t>
        </is>
      </c>
      <c r="B426" s="1" t="n">
        <v>45601</v>
      </c>
      <c r="C426" s="1" t="n">
        <v>45708</v>
      </c>
      <c r="D426" t="inlineStr">
        <is>
          <t>ÖREBRO LÄN</t>
        </is>
      </c>
      <c r="E426" t="inlineStr">
        <is>
          <t>DEGERFORS</t>
        </is>
      </c>
      <c r="F426" t="inlineStr">
        <is>
          <t>Sveaskog</t>
        </is>
      </c>
      <c r="G426" t="n">
        <v>4.9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50377-2024</t>
        </is>
      </c>
      <c r="B427" s="1" t="n">
        <v>45601</v>
      </c>
      <c r="C427" s="1" t="n">
        <v>45708</v>
      </c>
      <c r="D427" t="inlineStr">
        <is>
          <t>ÖREBRO LÄN</t>
        </is>
      </c>
      <c r="E427" t="inlineStr">
        <is>
          <t>DEGERFORS</t>
        </is>
      </c>
      <c r="F427" t="inlineStr">
        <is>
          <t>Sveaskog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50764-2024</t>
        </is>
      </c>
      <c r="B428" s="1" t="n">
        <v>45602</v>
      </c>
      <c r="C428" s="1" t="n">
        <v>45708</v>
      </c>
      <c r="D428" t="inlineStr">
        <is>
          <t>ÖREBRO LÄN</t>
        </is>
      </c>
      <c r="E428" t="inlineStr">
        <is>
          <t>DEGERFORS</t>
        </is>
      </c>
      <c r="F428" t="inlineStr">
        <is>
          <t>Sveaskog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50766-2024</t>
        </is>
      </c>
      <c r="B429" s="1" t="n">
        <v>45602</v>
      </c>
      <c r="C429" s="1" t="n">
        <v>45708</v>
      </c>
      <c r="D429" t="inlineStr">
        <is>
          <t>ÖREBRO LÄN</t>
        </is>
      </c>
      <c r="E429" t="inlineStr">
        <is>
          <t>DEGERFORS</t>
        </is>
      </c>
      <c r="F429" t="inlineStr">
        <is>
          <t>Sveaskog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52508-2024</t>
        </is>
      </c>
      <c r="B430" s="1" t="n">
        <v>45609</v>
      </c>
      <c r="C430" s="1" t="n">
        <v>45708</v>
      </c>
      <c r="D430" t="inlineStr">
        <is>
          <t>ÖREBRO LÄN</t>
        </is>
      </c>
      <c r="E430" t="inlineStr">
        <is>
          <t>DEGERFORS</t>
        </is>
      </c>
      <c r="F430" t="inlineStr">
        <is>
          <t>Sveaskog</t>
        </is>
      </c>
      <c r="G430" t="n">
        <v>4.2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52528-2024</t>
        </is>
      </c>
      <c r="B431" s="1" t="n">
        <v>45609</v>
      </c>
      <c r="C431" s="1" t="n">
        <v>45708</v>
      </c>
      <c r="D431" t="inlineStr">
        <is>
          <t>ÖREBRO LÄN</t>
        </is>
      </c>
      <c r="E431" t="inlineStr">
        <is>
          <t>DEGERFORS</t>
        </is>
      </c>
      <c r="F431" t="inlineStr">
        <is>
          <t>Sveaskog</t>
        </is>
      </c>
      <c r="G431" t="n">
        <v>4.5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52490-2024</t>
        </is>
      </c>
      <c r="B432" s="1" t="n">
        <v>45609</v>
      </c>
      <c r="C432" s="1" t="n">
        <v>45708</v>
      </c>
      <c r="D432" t="inlineStr">
        <is>
          <t>ÖREBRO LÄN</t>
        </is>
      </c>
      <c r="E432" t="inlineStr">
        <is>
          <t>DEGERFORS</t>
        </is>
      </c>
      <c r="F432" t="inlineStr">
        <is>
          <t>Sveaskog</t>
        </is>
      </c>
      <c r="G432" t="n">
        <v>6.4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52506-2024</t>
        </is>
      </c>
      <c r="B433" s="1" t="n">
        <v>45609</v>
      </c>
      <c r="C433" s="1" t="n">
        <v>45708</v>
      </c>
      <c r="D433" t="inlineStr">
        <is>
          <t>ÖREBRO LÄN</t>
        </is>
      </c>
      <c r="E433" t="inlineStr">
        <is>
          <t>DEGERFORS</t>
        </is>
      </c>
      <c r="F433" t="inlineStr">
        <is>
          <t>Sveaskog</t>
        </is>
      </c>
      <c r="G433" t="n">
        <v>3.9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52523-2024</t>
        </is>
      </c>
      <c r="B434" s="1" t="n">
        <v>45609</v>
      </c>
      <c r="C434" s="1" t="n">
        <v>45708</v>
      </c>
      <c r="D434" t="inlineStr">
        <is>
          <t>ÖREBRO LÄN</t>
        </is>
      </c>
      <c r="E434" t="inlineStr">
        <is>
          <t>DEGERFORS</t>
        </is>
      </c>
      <c r="F434" t="inlineStr">
        <is>
          <t>Sveaskog</t>
        </is>
      </c>
      <c r="G434" t="n">
        <v>4.4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53838-2024</t>
        </is>
      </c>
      <c r="B435" s="1" t="n">
        <v>45614</v>
      </c>
      <c r="C435" s="1" t="n">
        <v>45708</v>
      </c>
      <c r="D435" t="inlineStr">
        <is>
          <t>ÖREBRO LÄN</t>
        </is>
      </c>
      <c r="E435" t="inlineStr">
        <is>
          <t>DEGERFORS</t>
        </is>
      </c>
      <c r="G435" t="n">
        <v>4.3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53406-2024</t>
        </is>
      </c>
      <c r="B436" s="1" t="n">
        <v>45614</v>
      </c>
      <c r="C436" s="1" t="n">
        <v>45708</v>
      </c>
      <c r="D436" t="inlineStr">
        <is>
          <t>ÖREBRO LÄN</t>
        </is>
      </c>
      <c r="E436" t="inlineStr">
        <is>
          <t>DEGERFORS</t>
        </is>
      </c>
      <c r="F436" t="inlineStr">
        <is>
          <t>Sveaskog</t>
        </is>
      </c>
      <c r="G436" t="n">
        <v>4.5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54018-2024</t>
        </is>
      </c>
      <c r="B437" s="1" t="n">
        <v>45616</v>
      </c>
      <c r="C437" s="1" t="n">
        <v>45708</v>
      </c>
      <c r="D437" t="inlineStr">
        <is>
          <t>ÖREBRO LÄN</t>
        </is>
      </c>
      <c r="E437" t="inlineStr">
        <is>
          <t>DEGERFORS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54082-2024</t>
        </is>
      </c>
      <c r="B438" s="1" t="n">
        <v>45616</v>
      </c>
      <c r="C438" s="1" t="n">
        <v>45708</v>
      </c>
      <c r="D438" t="inlineStr">
        <is>
          <t>ÖREBRO LÄN</t>
        </is>
      </c>
      <c r="E438" t="inlineStr">
        <is>
          <t>DEGERFORS</t>
        </is>
      </c>
      <c r="G438" t="n">
        <v>6.3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55185-2024</t>
        </is>
      </c>
      <c r="B439" s="1" t="n">
        <v>45619</v>
      </c>
      <c r="C439" s="1" t="n">
        <v>45708</v>
      </c>
      <c r="D439" t="inlineStr">
        <is>
          <t>ÖREBRO LÄN</t>
        </is>
      </c>
      <c r="E439" t="inlineStr">
        <is>
          <t>DEGERFORS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54994-2024</t>
        </is>
      </c>
      <c r="B440" s="1" t="n">
        <v>45621</v>
      </c>
      <c r="C440" s="1" t="n">
        <v>45708</v>
      </c>
      <c r="D440" t="inlineStr">
        <is>
          <t>ÖREBRO LÄN</t>
        </is>
      </c>
      <c r="E440" t="inlineStr">
        <is>
          <t>DEGERFORS</t>
        </is>
      </c>
      <c r="F440" t="inlineStr">
        <is>
          <t>Sveaskog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55052-2024</t>
        </is>
      </c>
      <c r="B441" s="1" t="n">
        <v>45621</v>
      </c>
      <c r="C441" s="1" t="n">
        <v>45708</v>
      </c>
      <c r="D441" t="inlineStr">
        <is>
          <t>ÖREBRO LÄN</t>
        </is>
      </c>
      <c r="E441" t="inlineStr">
        <is>
          <t>DEGERFORS</t>
        </is>
      </c>
      <c r="F441" t="inlineStr">
        <is>
          <t>Sveaskog</t>
        </is>
      </c>
      <c r="G441" t="n">
        <v>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55009-2024</t>
        </is>
      </c>
      <c r="B442" s="1" t="n">
        <v>45621</v>
      </c>
      <c r="C442" s="1" t="n">
        <v>45708</v>
      </c>
      <c r="D442" t="inlineStr">
        <is>
          <t>ÖREBRO LÄN</t>
        </is>
      </c>
      <c r="E442" t="inlineStr">
        <is>
          <t>DEGERFORS</t>
        </is>
      </c>
      <c r="F442" t="inlineStr">
        <is>
          <t>Sveaskog</t>
        </is>
      </c>
      <c r="G442" t="n">
        <v>5.6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55098-2024</t>
        </is>
      </c>
      <c r="B443" s="1" t="n">
        <v>45621</v>
      </c>
      <c r="C443" s="1" t="n">
        <v>45708</v>
      </c>
      <c r="D443" t="inlineStr">
        <is>
          <t>ÖREBRO LÄN</t>
        </is>
      </c>
      <c r="E443" t="inlineStr">
        <is>
          <t>DEGERFORS</t>
        </is>
      </c>
      <c r="F443" t="inlineStr">
        <is>
          <t>Sveaskog</t>
        </is>
      </c>
      <c r="G443" t="n">
        <v>5.6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55008-2024</t>
        </is>
      </c>
      <c r="B444" s="1" t="n">
        <v>45621</v>
      </c>
      <c r="C444" s="1" t="n">
        <v>45708</v>
      </c>
      <c r="D444" t="inlineStr">
        <is>
          <t>ÖREBRO LÄN</t>
        </is>
      </c>
      <c r="E444" t="inlineStr">
        <is>
          <t>DEGERFORS</t>
        </is>
      </c>
      <c r="F444" t="inlineStr">
        <is>
          <t>Sveaskog</t>
        </is>
      </c>
      <c r="G444" t="n">
        <v>4.3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56428-2024</t>
        </is>
      </c>
      <c r="B445" s="1" t="n">
        <v>45624</v>
      </c>
      <c r="C445" s="1" t="n">
        <v>45708</v>
      </c>
      <c r="D445" t="inlineStr">
        <is>
          <t>ÖREBRO LÄN</t>
        </is>
      </c>
      <c r="E445" t="inlineStr">
        <is>
          <t>DEGERFORS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56478-2024</t>
        </is>
      </c>
      <c r="B446" s="1" t="n">
        <v>45624</v>
      </c>
      <c r="C446" s="1" t="n">
        <v>45708</v>
      </c>
      <c r="D446" t="inlineStr">
        <is>
          <t>ÖREBRO LÄN</t>
        </is>
      </c>
      <c r="E446" t="inlineStr">
        <is>
          <t>DEGERFORS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56464-2024</t>
        </is>
      </c>
      <c r="B447" s="1" t="n">
        <v>45624</v>
      </c>
      <c r="C447" s="1" t="n">
        <v>45708</v>
      </c>
      <c r="D447" t="inlineStr">
        <is>
          <t>ÖREBRO LÄN</t>
        </is>
      </c>
      <c r="E447" t="inlineStr">
        <is>
          <t>DEGERFORS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56886-2024</t>
        </is>
      </c>
      <c r="B448" s="1" t="n">
        <v>45628</v>
      </c>
      <c r="C448" s="1" t="n">
        <v>45708</v>
      </c>
      <c r="D448" t="inlineStr">
        <is>
          <t>ÖREBRO LÄN</t>
        </is>
      </c>
      <c r="E448" t="inlineStr">
        <is>
          <t>DEGERFORS</t>
        </is>
      </c>
      <c r="F448" t="inlineStr">
        <is>
          <t>Sveaskog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57234-2024</t>
        </is>
      </c>
      <c r="B449" s="1" t="n">
        <v>45629</v>
      </c>
      <c r="C449" s="1" t="n">
        <v>45708</v>
      </c>
      <c r="D449" t="inlineStr">
        <is>
          <t>ÖREBRO LÄN</t>
        </is>
      </c>
      <c r="E449" t="inlineStr">
        <is>
          <t>DEGERFORS</t>
        </is>
      </c>
      <c r="F449" t="inlineStr">
        <is>
          <t>Sveaskog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57861-2024</t>
        </is>
      </c>
      <c r="B450" s="1" t="n">
        <v>45631</v>
      </c>
      <c r="C450" s="1" t="n">
        <v>45708</v>
      </c>
      <c r="D450" t="inlineStr">
        <is>
          <t>ÖREBRO LÄN</t>
        </is>
      </c>
      <c r="E450" t="inlineStr">
        <is>
          <t>DEGERFORS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57860-2024</t>
        </is>
      </c>
      <c r="B451" s="1" t="n">
        <v>45631</v>
      </c>
      <c r="C451" s="1" t="n">
        <v>45708</v>
      </c>
      <c r="D451" t="inlineStr">
        <is>
          <t>ÖREBRO LÄN</t>
        </is>
      </c>
      <c r="E451" t="inlineStr">
        <is>
          <t>DEGERFORS</t>
        </is>
      </c>
      <c r="G451" t="n">
        <v>4.3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58125-2024</t>
        </is>
      </c>
      <c r="B452" s="1" t="n">
        <v>45632</v>
      </c>
      <c r="C452" s="1" t="n">
        <v>45708</v>
      </c>
      <c r="D452" t="inlineStr">
        <is>
          <t>ÖREBRO LÄN</t>
        </is>
      </c>
      <c r="E452" t="inlineStr">
        <is>
          <t>DEGERFORS</t>
        </is>
      </c>
      <c r="F452" t="inlineStr">
        <is>
          <t>Sveaskog</t>
        </is>
      </c>
      <c r="G452" t="n">
        <v>8.9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58120-2024</t>
        </is>
      </c>
      <c r="B453" s="1" t="n">
        <v>45632</v>
      </c>
      <c r="C453" s="1" t="n">
        <v>45708</v>
      </c>
      <c r="D453" t="inlineStr">
        <is>
          <t>ÖREBRO LÄN</t>
        </is>
      </c>
      <c r="E453" t="inlineStr">
        <is>
          <t>DEGERFORS</t>
        </is>
      </c>
      <c r="F453" t="inlineStr">
        <is>
          <t>Sveaskog</t>
        </is>
      </c>
      <c r="G453" t="n">
        <v>4.1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58197-2024</t>
        </is>
      </c>
      <c r="B454" s="1" t="n">
        <v>45632</v>
      </c>
      <c r="C454" s="1" t="n">
        <v>45708</v>
      </c>
      <c r="D454" t="inlineStr">
        <is>
          <t>ÖREBRO LÄN</t>
        </is>
      </c>
      <c r="E454" t="inlineStr">
        <is>
          <t>DEGERFORS</t>
        </is>
      </c>
      <c r="F454" t="inlineStr">
        <is>
          <t>Sveaskog</t>
        </is>
      </c>
      <c r="G454" t="n">
        <v>4.9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58164-2024</t>
        </is>
      </c>
      <c r="B455" s="1" t="n">
        <v>45632</v>
      </c>
      <c r="C455" s="1" t="n">
        <v>45708</v>
      </c>
      <c r="D455" t="inlineStr">
        <is>
          <t>ÖREBRO LÄN</t>
        </is>
      </c>
      <c r="E455" t="inlineStr">
        <is>
          <t>DEGERFORS</t>
        </is>
      </c>
      <c r="F455" t="inlineStr">
        <is>
          <t>Sveaskog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58628-2024</t>
        </is>
      </c>
      <c r="B456" s="1" t="n">
        <v>45635</v>
      </c>
      <c r="C456" s="1" t="n">
        <v>45708</v>
      </c>
      <c r="D456" t="inlineStr">
        <is>
          <t>ÖREBRO LÄN</t>
        </is>
      </c>
      <c r="E456" t="inlineStr">
        <is>
          <t>DEGERFORS</t>
        </is>
      </c>
      <c r="F456" t="inlineStr">
        <is>
          <t>Sveaskog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58477-2024</t>
        </is>
      </c>
      <c r="B457" s="1" t="n">
        <v>45635</v>
      </c>
      <c r="C457" s="1" t="n">
        <v>45708</v>
      </c>
      <c r="D457" t="inlineStr">
        <is>
          <t>ÖREBRO LÄN</t>
        </is>
      </c>
      <c r="E457" t="inlineStr">
        <is>
          <t>DEGERFORS</t>
        </is>
      </c>
      <c r="F457" t="inlineStr">
        <is>
          <t>Sveaskog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58629-2024</t>
        </is>
      </c>
      <c r="B458" s="1" t="n">
        <v>45635</v>
      </c>
      <c r="C458" s="1" t="n">
        <v>45708</v>
      </c>
      <c r="D458" t="inlineStr">
        <is>
          <t>ÖREBRO LÄN</t>
        </is>
      </c>
      <c r="E458" t="inlineStr">
        <is>
          <t>DEGERFORS</t>
        </is>
      </c>
      <c r="F458" t="inlineStr">
        <is>
          <t>Sveaskog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58471-2024</t>
        </is>
      </c>
      <c r="B459" s="1" t="n">
        <v>45635</v>
      </c>
      <c r="C459" s="1" t="n">
        <v>45708</v>
      </c>
      <c r="D459" t="inlineStr">
        <is>
          <t>ÖREBRO LÄN</t>
        </is>
      </c>
      <c r="E459" t="inlineStr">
        <is>
          <t>DEGERFORS</t>
        </is>
      </c>
      <c r="F459" t="inlineStr">
        <is>
          <t>Sveaskog</t>
        </is>
      </c>
      <c r="G459" t="n">
        <v>6.2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58479-2024</t>
        </is>
      </c>
      <c r="B460" s="1" t="n">
        <v>45635</v>
      </c>
      <c r="C460" s="1" t="n">
        <v>45708</v>
      </c>
      <c r="D460" t="inlineStr">
        <is>
          <t>ÖREBRO LÄN</t>
        </is>
      </c>
      <c r="E460" t="inlineStr">
        <is>
          <t>DEGERFORS</t>
        </is>
      </c>
      <c r="F460" t="inlineStr">
        <is>
          <t>Sveaskog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59206-2024</t>
        </is>
      </c>
      <c r="B461" s="1" t="n">
        <v>45636</v>
      </c>
      <c r="C461" s="1" t="n">
        <v>45708</v>
      </c>
      <c r="D461" t="inlineStr">
        <is>
          <t>ÖREBRO LÄN</t>
        </is>
      </c>
      <c r="E461" t="inlineStr">
        <is>
          <t>DEGERFORS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59863-2024</t>
        </is>
      </c>
      <c r="B462" s="1" t="n">
        <v>45639</v>
      </c>
      <c r="C462" s="1" t="n">
        <v>45708</v>
      </c>
      <c r="D462" t="inlineStr">
        <is>
          <t>ÖREBRO LÄN</t>
        </is>
      </c>
      <c r="E462" t="inlineStr">
        <is>
          <t>DEGERFORS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60933-2024</t>
        </is>
      </c>
      <c r="B463" s="1" t="n">
        <v>45645</v>
      </c>
      <c r="C463" s="1" t="n">
        <v>45708</v>
      </c>
      <c r="D463" t="inlineStr">
        <is>
          <t>ÖREBRO LÄN</t>
        </is>
      </c>
      <c r="E463" t="inlineStr">
        <is>
          <t>DEGERFORS</t>
        </is>
      </c>
      <c r="F463" t="inlineStr">
        <is>
          <t>Sveaskog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60937-2024</t>
        </is>
      </c>
      <c r="B464" s="1" t="n">
        <v>45645</v>
      </c>
      <c r="C464" s="1" t="n">
        <v>45708</v>
      </c>
      <c r="D464" t="inlineStr">
        <is>
          <t>ÖREBRO LÄN</t>
        </is>
      </c>
      <c r="E464" t="inlineStr">
        <is>
          <t>DEGERFORS</t>
        </is>
      </c>
      <c r="F464" t="inlineStr">
        <is>
          <t>Sveaskog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61196-2024</t>
        </is>
      </c>
      <c r="B465" s="1" t="n">
        <v>45645</v>
      </c>
      <c r="C465" s="1" t="n">
        <v>45708</v>
      </c>
      <c r="D465" t="inlineStr">
        <is>
          <t>ÖREBRO LÄN</t>
        </is>
      </c>
      <c r="E465" t="inlineStr">
        <is>
          <t>DEGERFORS</t>
        </is>
      </c>
      <c r="F465" t="inlineStr">
        <is>
          <t>Sveaskog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60940-2024</t>
        </is>
      </c>
      <c r="B466" s="1" t="n">
        <v>45645</v>
      </c>
      <c r="C466" s="1" t="n">
        <v>45708</v>
      </c>
      <c r="D466" t="inlineStr">
        <is>
          <t>ÖREBRO LÄN</t>
        </is>
      </c>
      <c r="E466" t="inlineStr">
        <is>
          <t>DEGERFORS</t>
        </is>
      </c>
      <c r="F466" t="inlineStr">
        <is>
          <t>Sveaskog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61171-2024</t>
        </is>
      </c>
      <c r="B467" s="1" t="n">
        <v>45645</v>
      </c>
      <c r="C467" s="1" t="n">
        <v>45708</v>
      </c>
      <c r="D467" t="inlineStr">
        <is>
          <t>ÖREBRO LÄN</t>
        </is>
      </c>
      <c r="E467" t="inlineStr">
        <is>
          <t>DEGERFORS</t>
        </is>
      </c>
      <c r="F467" t="inlineStr">
        <is>
          <t>Sveaskog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61177-2024</t>
        </is>
      </c>
      <c r="B468" s="1" t="n">
        <v>45645</v>
      </c>
      <c r="C468" s="1" t="n">
        <v>45708</v>
      </c>
      <c r="D468" t="inlineStr">
        <is>
          <t>ÖREBRO LÄN</t>
        </is>
      </c>
      <c r="E468" t="inlineStr">
        <is>
          <t>DEGERFORS</t>
        </is>
      </c>
      <c r="F468" t="inlineStr">
        <is>
          <t>Sveaskog</t>
        </is>
      </c>
      <c r="G468" t="n">
        <v>2.7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62091-2024</t>
        </is>
      </c>
      <c r="B469" s="1" t="n">
        <v>45656</v>
      </c>
      <c r="C469" s="1" t="n">
        <v>45708</v>
      </c>
      <c r="D469" t="inlineStr">
        <is>
          <t>ÖREBRO LÄN</t>
        </is>
      </c>
      <c r="E469" t="inlineStr">
        <is>
          <t>DEGERFORS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7472-2025</t>
        </is>
      </c>
      <c r="B470" s="1" t="n">
        <v>45705</v>
      </c>
      <c r="C470" s="1" t="n">
        <v>45708</v>
      </c>
      <c r="D470" t="inlineStr">
        <is>
          <t>ÖREBRO LÄN</t>
        </is>
      </c>
      <c r="E470" t="inlineStr">
        <is>
          <t>DEGERFORS</t>
        </is>
      </c>
      <c r="F470" t="inlineStr">
        <is>
          <t>Sveaskog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>
      <c r="A471" t="inlineStr">
        <is>
          <t>A 7975-2025</t>
        </is>
      </c>
      <c r="B471" s="1" t="n">
        <v>45707</v>
      </c>
      <c r="C471" s="1" t="n">
        <v>45708</v>
      </c>
      <c r="D471" t="inlineStr">
        <is>
          <t>ÖREBRO LÄN</t>
        </is>
      </c>
      <c r="E471" t="inlineStr">
        <is>
          <t>DEGERFORS</t>
        </is>
      </c>
      <c r="F471" t="inlineStr">
        <is>
          <t>Sveaskog</t>
        </is>
      </c>
      <c r="G471" t="n">
        <v>5.3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2025-02-20T17:10:34Z</dcterms:created>
  <dcterms:modified xmlns:dcterms="http://purl.org/dc/terms/" xmlns:xsi="http://www.w3.org/2001/XMLSchema-instance" xsi:type="dcterms:W3CDTF">2025-02-20T17:10:34Z</dcterms:modified>
</cp:coreProperties>
</file>