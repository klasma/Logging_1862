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46281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46281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46281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46281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46281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46281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46281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46281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46281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46281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46281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46281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46281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46281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46281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46281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46281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46281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46281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46281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46281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46281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46281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46281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46281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46281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46281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46281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46281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46281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46281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46281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46281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46281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46281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33297-2023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46281</v>
      </c>
      <c r="F37" t="inlineStr">
        <is>
          <t>ÖREBRO LÄN</t>
        </is>
      </c>
      <c r="G37" t="inlineStr">
        <is>
          <t>DEGERFORS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HYPERLINK("https://klasma.github.io/Logging_1862/artfynd/A 33297-2023 artfynd.xlsx", "A 33297-2023")</f>
        <v/>
      </c>
      <c r="X37">
        <f>HYPERLINK("https://klasma.github.io/Logging_1862/kartor/A 33297-2023 karta.png", "A 33297-2023")</f>
        <v/>
      </c>
      <c r="Y37">
        <f>HYPERLINK("https://klasma.github.io/Logging_1862/kartor_geotiff/A 33297-2023 georefererad karta.tif", "A 33297-2023")</f>
        <v/>
      </c>
      <c r="AA37">
        <f>HYPERLINK("https://klasma.github.io/Logging_1862/klagomål/A 33297-2023 FSC-klagomål.docx", "A 33297-2023")</f>
        <v/>
      </c>
      <c r="AB37">
        <f>HYPERLINK("https://klasma.github.io/Logging_1862/klagomålsmail/A 33297-2023 FSC-klagomål mail.docx", "A 33297-2023")</f>
        <v/>
      </c>
      <c r="AC37">
        <f>HYPERLINK("https://klasma.github.io/Logging_1862/tillsyn/A 33297-2023 tillsynsbegäran.docx", "A 33297-2023")</f>
        <v/>
      </c>
      <c r="AD37">
        <f>HYPERLINK("https://klasma.github.io/Logging_1862/tillsynsmail/A 33297-2023 tillsynsbegäran mail.docx", "A 33297-2023")</f>
        <v/>
      </c>
    </row>
    <row r="38" ht="15" customHeight="1">
      <c r="A38" t="inlineStr">
        <is>
          <t>A 14177-2026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46281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HYPERLINK("https://klasma.github.io/Logging_1862/artfynd/A 14177-2026 artfynd.xlsx", "A 14177-2026")</f>
        <v/>
      </c>
      <c r="X38">
        <f>HYPERLINK("https://klasma.github.io/Logging_1862/kartor/A 14177-2026 karta.png", "A 14177-2026")</f>
        <v/>
      </c>
      <c r="Y38">
        <f>HYPERLINK("https://klasma.github.io/Logging_1862/kartor_geotiff/A 14177-2026 georefererad karta.tif", "A 14177-2026")</f>
        <v/>
      </c>
      <c r="AA38">
        <f>HYPERLINK("https://klasma.github.io/Logging_1862/klagomål/A 14177-2026 FSC-klagomål.docx", "A 14177-2026")</f>
        <v/>
      </c>
      <c r="AB38">
        <f>HYPERLINK("https://klasma.github.io/Logging_1862/klagomålsmail/A 14177-2026 FSC-klagomål mail.docx", "A 14177-2026")</f>
        <v/>
      </c>
      <c r="AC38">
        <f>HYPERLINK("https://klasma.github.io/Logging_1862/tillsyn/A 14177-2026 tillsynsbegäran.docx", "A 14177-2026")</f>
        <v/>
      </c>
      <c r="AD38">
        <f>HYPERLINK("https://klasma.github.io/Logging_1862/tillsynsmail/A 14177-2026 tillsynsbegäran mail.docx", "A 14177-2026")</f>
        <v/>
      </c>
    </row>
    <row r="39" ht="15" customHeight="1">
      <c r="A39" t="inlineStr">
        <is>
          <t>A 49306-2025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45938</v>
      </c>
      <c r="E39" s="1" t="n">
        <v>46281</v>
      </c>
      <c r="F39" t="inlineStr">
        <is>
          <t>ÖREBRO LÄN</t>
        </is>
      </c>
      <c r="G39" t="inlineStr">
        <is>
          <t>DEGERFORS</t>
        </is>
      </c>
      <c r="I39" t="n">
        <v>5.8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HYPERLINK("https://klasma.github.io/Logging_1862/artfynd/A 49306-2025 artfynd.xlsx", "A 49306-2025")</f>
        <v/>
      </c>
      <c r="X39">
        <f>HYPERLINK("https://klasma.github.io/Logging_1862/kartor/A 49306-2025 karta.png", "A 49306-2025")</f>
        <v/>
      </c>
      <c r="Y39">
        <f>HYPERLINK("https://klasma.github.io/Logging_1862/kartor_geotiff/A 49306-2025 georefererad karta.tif", "A 49306-2025")</f>
        <v/>
      </c>
      <c r="AA39">
        <f>HYPERLINK("https://klasma.github.io/Logging_1862/klagomål/A 49306-2025 FSC-klagomål.docx", "A 49306-2025")</f>
        <v/>
      </c>
      <c r="AB39">
        <f>HYPERLINK("https://klasma.github.io/Logging_1862/klagomålsmail/A 49306-2025 FSC-klagomål mail.docx", "A 49306-2025")</f>
        <v/>
      </c>
      <c r="AC39">
        <f>HYPERLINK("https://klasma.github.io/Logging_1862/tillsyn/A 49306-2025 tillsynsbegäran.docx", "A 49306-2025")</f>
        <v/>
      </c>
      <c r="AD39">
        <f>HYPERLINK("https://klasma.github.io/Logging_1862/tillsynsmail/A 49306-2025 tillsynsbegäran mail.docx", "A 49306-2025")</f>
        <v/>
      </c>
    </row>
    <row r="40" ht="15" customHeight="1">
      <c r="A40" t="inlineStr">
        <is>
          <t>A 47915-2024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45589</v>
      </c>
      <c r="E40" s="1" t="n">
        <v>46281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HYPERLINK("https://klasma.github.io/Logging_1862/artfynd/A 47915-2024 artfynd.xlsx", "A 47915-2024")</f>
        <v/>
      </c>
      <c r="X40">
        <f>HYPERLINK("https://klasma.github.io/Logging_1862/kartor/A 47915-2024 karta.png", "A 47915-2024")</f>
        <v/>
      </c>
      <c r="Y40">
        <f>HYPERLINK("https://klasma.github.io/Logging_1862/kartor_geotiff/A 47915-2024 georefererad karta.tif", "A 47915-2024")</f>
        <v/>
      </c>
      <c r="AA40">
        <f>HYPERLINK("https://klasma.github.io/Logging_1862/klagomål/A 47915-2024 FSC-klagomål.docx", "A 47915-2024")</f>
        <v/>
      </c>
      <c r="AB40">
        <f>HYPERLINK("https://klasma.github.io/Logging_1862/klagomålsmail/A 47915-2024 FSC-klagomål mail.docx", "A 47915-2024")</f>
        <v/>
      </c>
      <c r="AC40">
        <f>HYPERLINK("https://klasma.github.io/Logging_1862/tillsyn/A 47915-2024 tillsynsbegäran.docx", "A 47915-2024")</f>
        <v/>
      </c>
      <c r="AD40">
        <f>HYPERLINK("https://klasma.github.io/Logging_1862/tillsynsmail/A 47915-2024 tillsynsbegäran mail.docx", "A 47915-2024")</f>
        <v/>
      </c>
    </row>
    <row r="41" ht="15" customHeight="1">
      <c r="A41" t="inlineStr">
        <is>
          <t>A 47787-2025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45931</v>
      </c>
      <c r="E41" s="1" t="n">
        <v>46281</v>
      </c>
      <c r="F41" t="inlineStr">
        <is>
          <t>ÖREBRO LÄN</t>
        </is>
      </c>
      <c r="G41" t="inlineStr">
        <is>
          <t>DEGERFORS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Tretåig hackspett</t>
        </is>
      </c>
      <c r="W41">
        <f>HYPERLINK("https://klasma.github.io/Logging_1862/artfynd/A 47787-2025 artfynd.xlsx", "A 47787-2025")</f>
        <v/>
      </c>
      <c r="X41">
        <f>HYPERLINK("https://klasma.github.io/Logging_1862/kartor/A 47787-2025 karta.png", "A 47787-2025")</f>
        <v/>
      </c>
      <c r="Y41">
        <f>HYPERLINK("https://klasma.github.io/Logging_1862/kartor_geotiff/A 47787-2025 georefererad karta.tif", "A 47787-2025")</f>
        <v/>
      </c>
      <c r="AA41">
        <f>HYPERLINK("https://klasma.github.io/Logging_1862/klagomål/A 47787-2025 FSC-klagomål.docx", "A 47787-2025")</f>
        <v/>
      </c>
      <c r="AB41">
        <f>HYPERLINK("https://klasma.github.io/Logging_1862/klagomålsmail/A 47787-2025 FSC-klagomål mail.docx", "A 47787-2025")</f>
        <v/>
      </c>
      <c r="AC41">
        <f>HYPERLINK("https://klasma.github.io/Logging_1862/tillsyn/A 47787-2025 tillsynsbegäran.docx", "A 47787-2025")</f>
        <v/>
      </c>
      <c r="AD41">
        <f>HYPERLINK("https://klasma.github.io/Logging_1862/tillsynsmail/A 47787-2025 tillsynsbegäran mail.docx", "A 47787-2025")</f>
        <v/>
      </c>
      <c r="AE41">
        <f>HYPERLINK("https://klasma.github.io/Logging_1862/fåglar/A 47787-2025 prioriterade fågelarter.docx", "A 47787-2025")</f>
        <v/>
      </c>
    </row>
    <row r="42" ht="15" customHeight="1">
      <c r="A42" t="inlineStr">
        <is>
          <t>A 38904-2023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46281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38904-2023 artfynd.xlsx", "A 38904-2023")</f>
        <v/>
      </c>
      <c r="X42">
        <f>HYPERLINK("https://klasma.github.io/Logging_1862/kartor/A 38904-2023 karta.png", "A 38904-2023")</f>
        <v/>
      </c>
      <c r="Y42">
        <f>HYPERLINK("https://klasma.github.io/Logging_1862/kartor_geotiff/A 38904-2023 georefererad karta.tif", "A 38904-2023")</f>
        <v/>
      </c>
      <c r="AA42">
        <f>HYPERLINK("https://klasma.github.io/Logging_1862/klagomål/A 38904-2023 FSC-klagomål.docx", "A 38904-2023")</f>
        <v/>
      </c>
      <c r="AB42">
        <f>HYPERLINK("https://klasma.github.io/Logging_1862/klagomålsmail/A 38904-2023 FSC-klagomål mail.docx", "A 38904-2023")</f>
        <v/>
      </c>
      <c r="AC42">
        <f>HYPERLINK("https://klasma.github.io/Logging_1862/tillsyn/A 38904-2023 tillsynsbegäran.docx", "A 38904-2023")</f>
        <v/>
      </c>
      <c r="AD42">
        <f>HYPERLINK("https://klasma.github.io/Logging_1862/tillsynsmail/A 38904-2023 tillsynsbegäran mail.docx", "A 38904-2023")</f>
        <v/>
      </c>
      <c r="AE42">
        <f>HYPERLINK("https://klasma.github.io/Logging_1862/fåglar/A 38904-2023 prioriterade fågelarter.docx", "A 38904-2023")</f>
        <v/>
      </c>
    </row>
    <row r="43" ht="15" customHeight="1">
      <c r="A43" t="inlineStr">
        <is>
          <t>A 48285-2023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46281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48285-2023 artfynd.xlsx", "A 48285-2023")</f>
        <v/>
      </c>
      <c r="X43">
        <f>HYPERLINK("https://klasma.github.io/Logging_1862/kartor/A 48285-2023 karta.png", "A 48285-2023")</f>
        <v/>
      </c>
      <c r="Y43">
        <f>HYPERLINK("https://klasma.github.io/Logging_1862/kartor_geotiff/A 48285-2023 georefererad karta.tif", "A 48285-2023")</f>
        <v/>
      </c>
      <c r="AA43">
        <f>HYPERLINK("https://klasma.github.io/Logging_1862/klagomål/A 48285-2023 FSC-klagomål.docx", "A 48285-2023")</f>
        <v/>
      </c>
      <c r="AB43">
        <f>HYPERLINK("https://klasma.github.io/Logging_1862/klagomålsmail/A 48285-2023 FSC-klagomål mail.docx", "A 48285-2023")</f>
        <v/>
      </c>
      <c r="AC43">
        <f>HYPERLINK("https://klasma.github.io/Logging_1862/tillsyn/A 48285-2023 tillsynsbegäran.docx", "A 48285-2023")</f>
        <v/>
      </c>
      <c r="AD43">
        <f>HYPERLINK("https://klasma.github.io/Logging_1862/tillsynsmail/A 48285-2023 tillsynsbegäran mail.docx", "A 48285-2023")</f>
        <v/>
      </c>
      <c r="AE43">
        <f>HYPERLINK("https://klasma.github.io/Logging_1862/fåglar/A 48285-2023 prioriterade fågelarter.docx", "A 48285-2023")</f>
        <v/>
      </c>
    </row>
    <row r="44" ht="15" customHeight="1">
      <c r="A44" t="inlineStr">
        <is>
          <t>A 38907-2023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46281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38907-2023 artfynd.xlsx", "A 38907-2023")</f>
        <v/>
      </c>
      <c r="X44">
        <f>HYPERLINK("https://klasma.github.io/Logging_1862/kartor/A 38907-2023 karta.png", "A 38907-2023")</f>
        <v/>
      </c>
      <c r="Y44">
        <f>HYPERLINK("https://klasma.github.io/Logging_1862/kartor_geotiff/A 38907-2023 georefererad karta.tif", "A 38907-2023")</f>
        <v/>
      </c>
      <c r="AA44">
        <f>HYPERLINK("https://klasma.github.io/Logging_1862/klagomål/A 38907-2023 FSC-klagomål.docx", "A 38907-2023")</f>
        <v/>
      </c>
      <c r="AB44">
        <f>HYPERLINK("https://klasma.github.io/Logging_1862/klagomålsmail/A 38907-2023 FSC-klagomål mail.docx", "A 38907-2023")</f>
        <v/>
      </c>
      <c r="AC44">
        <f>HYPERLINK("https://klasma.github.io/Logging_1862/tillsyn/A 38907-2023 tillsynsbegäran.docx", "A 38907-2023")</f>
        <v/>
      </c>
      <c r="AD44">
        <f>HYPERLINK("https://klasma.github.io/Logging_1862/tillsynsmail/A 38907-2023 tillsynsbegäran mail.docx", "A 38907-2023")</f>
        <v/>
      </c>
      <c r="AE44">
        <f>HYPERLINK("https://klasma.github.io/Logging_1862/fåglar/A 38907-2023 prioriterade fågelarter.docx", "A 38907-2023")</f>
        <v/>
      </c>
    </row>
    <row r="45" ht="15" customHeight="1">
      <c r="A45" t="inlineStr">
        <is>
          <t>A 14121-2022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44651</v>
      </c>
      <c r="E45" s="1" t="n">
        <v>46281</v>
      </c>
      <c r="F45" t="inlineStr">
        <is>
          <t>ÖREBRO LÄN</t>
        </is>
      </c>
      <c r="G45" t="inlineStr">
        <is>
          <t>DEGERFORS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Hårklomossa</t>
        </is>
      </c>
      <c r="W45">
        <f>HYPERLINK("https://klasma.github.io/Logging_1862/artfynd/A 14121-2022 artfynd.xlsx", "A 14121-2022")</f>
        <v/>
      </c>
      <c r="X45">
        <f>HYPERLINK("https://klasma.github.io/Logging_1862/kartor/A 14121-2022 karta.png", "A 14121-2022")</f>
        <v/>
      </c>
      <c r="Y45">
        <f>HYPERLINK("https://klasma.github.io/Logging_1862/kartor_geotiff/A 14121-2022 georefererad karta.tif", "A 14121-2022")</f>
        <v/>
      </c>
      <c r="AA45">
        <f>HYPERLINK("https://klasma.github.io/Logging_1862/klagomål/A 14121-2022 FSC-klagomål.docx", "A 14121-2022")</f>
        <v/>
      </c>
      <c r="AB45">
        <f>HYPERLINK("https://klasma.github.io/Logging_1862/klagomålsmail/A 14121-2022 FSC-klagomål mail.docx", "A 14121-2022")</f>
        <v/>
      </c>
      <c r="AC45">
        <f>HYPERLINK("https://klasma.github.io/Logging_1862/tillsyn/A 14121-2022 tillsynsbegäran.docx", "A 14121-2022")</f>
        <v/>
      </c>
      <c r="AD45">
        <f>HYPERLINK("https://klasma.github.io/Logging_1862/tillsynsmail/A 14121-2022 tillsynsbegäran mail.docx", "A 14121-2022")</f>
        <v/>
      </c>
    </row>
    <row r="46" ht="15" customHeight="1">
      <c r="A46" t="inlineStr">
        <is>
          <t>A 27093-2023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45096</v>
      </c>
      <c r="E46" s="1" t="n">
        <v>46281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5.9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HYPERLINK("https://klasma.github.io/Logging_1862/artfynd/A 27093-2023 artfynd.xlsx", "A 27093-2023")</f>
        <v/>
      </c>
      <c r="X46">
        <f>HYPERLINK("https://klasma.github.io/Logging_1862/kartor/A 27093-2023 karta.png", "A 27093-2023")</f>
        <v/>
      </c>
      <c r="Y46">
        <f>HYPERLINK("https://klasma.github.io/Logging_1862/kartor_geotiff/A 27093-2023 georefererad karta.tif", "A 27093-2023")</f>
        <v/>
      </c>
      <c r="AA46">
        <f>HYPERLINK("https://klasma.github.io/Logging_1862/klagomål/A 27093-2023 FSC-klagomål.docx", "A 27093-2023")</f>
        <v/>
      </c>
      <c r="AB46">
        <f>HYPERLINK("https://klasma.github.io/Logging_1862/klagomålsmail/A 27093-2023 FSC-klagomål mail.docx", "A 27093-2023")</f>
        <v/>
      </c>
      <c r="AC46">
        <f>HYPERLINK("https://klasma.github.io/Logging_1862/tillsyn/A 27093-2023 tillsynsbegäran.docx", "A 27093-2023")</f>
        <v/>
      </c>
      <c r="AD46">
        <f>HYPERLINK("https://klasma.github.io/Logging_1862/tillsynsmail/A 27093-2023 tillsynsbegäran mail.docx", "A 27093-2023")</f>
        <v/>
      </c>
      <c r="AE46">
        <f>HYPERLINK("https://klasma.github.io/Logging_1862/fåglar/A 27093-2023 prioriterade fågelarter.docx", "A 27093-2023")</f>
        <v/>
      </c>
    </row>
    <row r="47" ht="15" customHeight="1">
      <c r="A47" t="inlineStr">
        <is>
          <t>A 27071-2026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46281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9.9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HYPERLINK("https://klasma.github.io/Logging_1862/artfynd/A 27071-2026 artfynd.xlsx", "A 27071-2026")</f>
        <v/>
      </c>
      <c r="X47">
        <f>HYPERLINK("https://klasma.github.io/Logging_1862/kartor/A 27071-2026 karta.png", "A 27071-2026")</f>
        <v/>
      </c>
      <c r="Y47">
        <f>HYPERLINK("https://klasma.github.io/Logging_1862/kartor_geotiff/A 27071-2026 georefererad karta.tif", "A 27071-2026")</f>
        <v/>
      </c>
      <c r="AA47">
        <f>HYPERLINK("https://klasma.github.io/Logging_1862/klagomål/A 27071-2026 FSC-klagomål.docx", "A 27071-2026")</f>
        <v/>
      </c>
      <c r="AB47">
        <f>HYPERLINK("https://klasma.github.io/Logging_1862/klagomålsmail/A 27071-2026 FSC-klagomål mail.docx", "A 27071-2026")</f>
        <v/>
      </c>
      <c r="AC47">
        <f>HYPERLINK("https://klasma.github.io/Logging_1862/tillsyn/A 27071-2026 tillsynsbegäran.docx", "A 27071-2026")</f>
        <v/>
      </c>
      <c r="AD47">
        <f>HYPERLINK("https://klasma.github.io/Logging_1862/tillsynsmail/A 27071-2026 tillsynsbegäran mail.docx", "A 27071-2026")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46281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47941-2024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45589</v>
      </c>
      <c r="E49" s="1" t="n">
        <v>46281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1.4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Brunfläckig pärlemorfjäril</t>
        </is>
      </c>
      <c r="W49">
        <f>HYPERLINK("https://klasma.github.io/Logging_1862/artfynd/A 47941-2024 artfynd.xlsx", "A 47941-2024")</f>
        <v/>
      </c>
      <c r="X49">
        <f>HYPERLINK("https://klasma.github.io/Logging_1862/kartor/A 47941-2024 karta.png", "A 47941-2024")</f>
        <v/>
      </c>
      <c r="Y49">
        <f>HYPERLINK("https://klasma.github.io/Logging_1862/kartor_geotiff/A 47941-2024 georefererad karta.tif", "A 47941-2024")</f>
        <v/>
      </c>
      <c r="AA49">
        <f>HYPERLINK("https://klasma.github.io/Logging_1862/klagomål/A 47941-2024 FSC-klagomål.docx", "A 47941-2024")</f>
        <v/>
      </c>
      <c r="AB49">
        <f>HYPERLINK("https://klasma.github.io/Logging_1862/klagomålsmail/A 47941-2024 FSC-klagomål mail.docx", "A 47941-2024")</f>
        <v/>
      </c>
      <c r="AC49">
        <f>HYPERLINK("https://klasma.github.io/Logging_1862/tillsyn/A 47941-2024 tillsynsbegäran.docx", "A 47941-2024")</f>
        <v/>
      </c>
      <c r="AD49">
        <f>HYPERLINK("https://klasma.github.io/Logging_1862/tillsynsmail/A 47941-2024 tillsynsbegäran mail.docx", "A 47941-2024")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46281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46281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53838-2024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46281</v>
      </c>
      <c r="F52" t="inlineStr">
        <is>
          <t>ÖREBRO LÄN</t>
        </is>
      </c>
      <c r="G52" t="inlineStr">
        <is>
          <t>DEGERFORS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53838-2024 artfynd.xlsx", "A 53838-2024")</f>
        <v/>
      </c>
      <c r="X52">
        <f>HYPERLINK("https://klasma.github.io/Logging_1862/kartor/A 53838-2024 karta.png", "A 53838-2024")</f>
        <v/>
      </c>
      <c r="Y52">
        <f>HYPERLINK("https://klasma.github.io/Logging_1862/kartor_geotiff/A 53838-2024 georefererad karta.tif", "A 53838-2024")</f>
        <v/>
      </c>
      <c r="AA52">
        <f>HYPERLINK("https://klasma.github.io/Logging_1862/klagomål/A 53838-2024 FSC-klagomål.docx", "A 53838-2024")</f>
        <v/>
      </c>
      <c r="AB52">
        <f>HYPERLINK("https://klasma.github.io/Logging_1862/klagomålsmail/A 53838-2024 FSC-klagomål mail.docx", "A 53838-2024")</f>
        <v/>
      </c>
      <c r="AC52">
        <f>HYPERLINK("https://klasma.github.io/Logging_1862/tillsyn/A 53838-2024 tillsynsbegäran.docx", "A 53838-2024")</f>
        <v/>
      </c>
      <c r="AD52">
        <f>HYPERLINK("https://klasma.github.io/Logging_1862/tillsynsmail/A 53838-2024 tillsynsbegäran mail.docx", "A 53838-2024")</f>
        <v/>
      </c>
      <c r="AE52">
        <f>HYPERLINK("https://klasma.github.io/Logging_1862/fåglar/A 53838-2024 prioriterade fågelarter.docx", "A 53838-2024")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46281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46281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46281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46281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46281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46281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46281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46281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46281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46281</v>
      </c>
      <c r="F62" t="inlineStr">
        <is>
          <t>ÖREBRO LÄN</t>
        </is>
      </c>
      <c r="G62" t="inlineStr">
        <is>
          <t>DEGERFORS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47569-2022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44853</v>
      </c>
      <c r="E63" s="1" t="n">
        <v>46281</v>
      </c>
      <c r="F63" t="inlineStr">
        <is>
          <t>ÖREBRO LÄN</t>
        </is>
      </c>
      <c r="G63" t="inlineStr">
        <is>
          <t>DEGERFORS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45861-2023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45195</v>
      </c>
      <c r="E64" s="1" t="n">
        <v>46281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6394-2024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45338</v>
      </c>
      <c r="E65" s="1" t="n">
        <v>46281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46281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46281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46281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33293-2023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45116</v>
      </c>
      <c r="E69" s="1" t="n">
        <v>46281</v>
      </c>
      <c r="F69" t="inlineStr">
        <is>
          <t>ÖREBRO LÄN</t>
        </is>
      </c>
      <c r="G69" t="inlineStr">
        <is>
          <t>DEGERFORS</t>
        </is>
      </c>
      <c r="I69" t="n">
        <v>17.2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63906-2021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46281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18675-2025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45763</v>
      </c>
      <c r="E71" s="1" t="n">
        <v>46281</v>
      </c>
      <c r="F71" t="inlineStr">
        <is>
          <t>ÖREBRO LÄN</t>
        </is>
      </c>
      <c r="G71" t="inlineStr">
        <is>
          <t>DEGERFORS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65456-2021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46281</v>
      </c>
      <c r="F72" t="inlineStr">
        <is>
          <t>ÖREBRO LÄN</t>
        </is>
      </c>
      <c r="G72" t="inlineStr">
        <is>
          <t>DEGERFORS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52457-2021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44466</v>
      </c>
      <c r="E73" s="1" t="n">
        <v>46281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32154-2023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45119</v>
      </c>
      <c r="E74" s="1" t="n">
        <v>46281</v>
      </c>
      <c r="F74" t="inlineStr">
        <is>
          <t>ÖREBRO LÄN</t>
        </is>
      </c>
      <c r="G74" t="inlineStr">
        <is>
          <t>DEGERFORS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63008-2021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44505</v>
      </c>
      <c r="E75" s="1" t="n">
        <v>46281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37333-2025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45876</v>
      </c>
      <c r="E76" s="1" t="n">
        <v>46281</v>
      </c>
      <c r="F76" t="inlineStr">
        <is>
          <t>ÖREBRO LÄN</t>
        </is>
      </c>
      <c r="G76" t="inlineStr">
        <is>
          <t>DEGERFORS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37265-2025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45876</v>
      </c>
      <c r="E77" s="1" t="n">
        <v>46281</v>
      </c>
      <c r="F77" t="inlineStr">
        <is>
          <t>ÖREBRO LÄN</t>
        </is>
      </c>
      <c r="G77" t="inlineStr">
        <is>
          <t>DEGERFORS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38743-2022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44816</v>
      </c>
      <c r="E78" s="1" t="n">
        <v>46281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45747</v>
      </c>
      <c r="E79" s="1" t="n">
        <v>46281</v>
      </c>
      <c r="F79" t="inlineStr">
        <is>
          <t>ÖREBRO LÄN</t>
        </is>
      </c>
      <c r="G79" t="inlineStr">
        <is>
          <t>DEGERFORS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45387</v>
      </c>
      <c r="E80" s="1" t="n">
        <v>46281</v>
      </c>
      <c r="F80" t="inlineStr">
        <is>
          <t>ÖREBRO LÄN</t>
        </is>
      </c>
      <c r="G80" t="inlineStr">
        <is>
          <t>DEGERFORS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26176-2024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46281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8062-2024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45351</v>
      </c>
      <c r="E82" s="1" t="n">
        <v>46281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8074-2024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45351</v>
      </c>
      <c r="E83" s="1" t="n">
        <v>46281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60907-2023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45261</v>
      </c>
      <c r="E84" s="1" t="n">
        <v>46281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44582</v>
      </c>
      <c r="E85" s="1" t="n">
        <v>46281</v>
      </c>
      <c r="F85" t="inlineStr">
        <is>
          <t>ÖREBRO LÄN</t>
        </is>
      </c>
      <c r="G85" t="inlineStr">
        <is>
          <t>DEGERFORS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50378-2024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45601</v>
      </c>
      <c r="E86" s="1" t="n">
        <v>46281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45887</v>
      </c>
      <c r="E87" s="1" t="n">
        <v>46281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8.300000000000001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9273-2026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46070</v>
      </c>
      <c r="E88" s="1" t="n">
        <v>46281</v>
      </c>
      <c r="F88" t="inlineStr">
        <is>
          <t>ÖREBRO LÄN</t>
        </is>
      </c>
      <c r="G88" t="inlineStr">
        <is>
          <t>DEGERFORS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46281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32211-2022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44781</v>
      </c>
      <c r="E90" s="1" t="n">
        <v>46281</v>
      </c>
      <c r="F90" t="inlineStr">
        <is>
          <t>ÖREBRO LÄN</t>
        </is>
      </c>
      <c r="G90" t="inlineStr">
        <is>
          <t>DEGERFORS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12159-2026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46086</v>
      </c>
      <c r="E91" s="1" t="n">
        <v>46281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46086</v>
      </c>
      <c r="E92" s="1" t="n">
        <v>46281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13039-2026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46093</v>
      </c>
      <c r="E93" s="1" t="n">
        <v>46281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13040-2026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46093</v>
      </c>
      <c r="E94" s="1" t="n">
        <v>46281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10321-2023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44986</v>
      </c>
      <c r="E95" s="1" t="n">
        <v>46281</v>
      </c>
      <c r="F95" t="inlineStr">
        <is>
          <t>ÖREBRO LÄN</t>
        </is>
      </c>
      <c r="G95" t="inlineStr">
        <is>
          <t>DEGERFORS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12936-2026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46092</v>
      </c>
      <c r="E96" s="1" t="n">
        <v>46281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57234-2024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46281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45902</v>
      </c>
      <c r="E98" s="1" t="n">
        <v>46281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45902</v>
      </c>
      <c r="E99" s="1" t="n">
        <v>46281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46281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6387-2024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45338</v>
      </c>
      <c r="E101" s="1" t="n">
        <v>46281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45912</v>
      </c>
      <c r="E102" s="1" t="n">
        <v>46281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45912</v>
      </c>
      <c r="E103" s="1" t="n">
        <v>46281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43694-2025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45912</v>
      </c>
      <c r="E104" s="1" t="n">
        <v>46281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59158-2022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44904</v>
      </c>
      <c r="E105" s="1" t="n">
        <v>46281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45330</v>
      </c>
      <c r="E106" s="1" t="n">
        <v>46281</v>
      </c>
      <c r="F106" t="inlineStr">
        <is>
          <t>ÖREBRO LÄN</t>
        </is>
      </c>
      <c r="G106" t="inlineStr">
        <is>
          <t>DEGERFORS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43768-2024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45569</v>
      </c>
      <c r="E107" s="1" t="n">
        <v>46281</v>
      </c>
      <c r="F107" t="inlineStr">
        <is>
          <t>ÖREBRO LÄN</t>
        </is>
      </c>
      <c r="G107" t="inlineStr">
        <is>
          <t>DEGERFORS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18506-2026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46281</v>
      </c>
      <c r="F108" t="inlineStr">
        <is>
          <t>ÖREBRO LÄN</t>
        </is>
      </c>
      <c r="G108" t="inlineStr">
        <is>
          <t>DEGERFORS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46132</v>
      </c>
      <c r="E109" s="1" t="n">
        <v>46281</v>
      </c>
      <c r="F109" t="inlineStr">
        <is>
          <t>ÖREBRO LÄN</t>
        </is>
      </c>
      <c r="G109" t="inlineStr">
        <is>
          <t>DEGERFORS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46281</v>
      </c>
      <c r="F110" t="inlineStr">
        <is>
          <t>ÖREBRO LÄN</t>
        </is>
      </c>
      <c r="G110" t="inlineStr">
        <is>
          <t>DEGERFORS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18913-2026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46129</v>
      </c>
      <c r="E111" s="1" t="n">
        <v>46281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47935-2024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45589</v>
      </c>
      <c r="E112" s="1" t="n">
        <v>46281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51040-2025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46281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21952-2024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45443</v>
      </c>
      <c r="E114" s="1" t="n">
        <v>46281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73693-2021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44552</v>
      </c>
      <c r="E115" s="1" t="n">
        <v>46281</v>
      </c>
      <c r="F115" t="inlineStr">
        <is>
          <t>ÖREBRO LÄN</t>
        </is>
      </c>
      <c r="G115" t="inlineStr">
        <is>
          <t>DEGERFORS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45219</v>
      </c>
      <c r="E116" s="1" t="n">
        <v>46281</v>
      </c>
      <c r="F116" t="inlineStr">
        <is>
          <t>ÖREBRO LÄN</t>
        </is>
      </c>
      <c r="G116" t="inlineStr">
        <is>
          <t>DEGERFORS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52099-2025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46281</v>
      </c>
      <c r="F117" t="inlineStr">
        <is>
          <t>ÖREBRO LÄN</t>
        </is>
      </c>
      <c r="G117" t="inlineStr">
        <is>
          <t>DEGERFORS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62972-2023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46281</v>
      </c>
      <c r="F118" t="inlineStr">
        <is>
          <t>ÖREBRO LÄN</t>
        </is>
      </c>
      <c r="G118" t="inlineStr">
        <is>
          <t>DEGERFORS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46281</v>
      </c>
      <c r="F119" t="inlineStr">
        <is>
          <t>ÖREBRO LÄN</t>
        </is>
      </c>
      <c r="G119" t="inlineStr">
        <is>
          <t>DEGERFORS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50377-2024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45601</v>
      </c>
      <c r="E120" s="1" t="n">
        <v>46281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45616</v>
      </c>
      <c r="E121" s="1" t="n">
        <v>46281</v>
      </c>
      <c r="F121" t="inlineStr">
        <is>
          <t>ÖREBRO LÄN</t>
        </is>
      </c>
      <c r="G121" t="inlineStr">
        <is>
          <t>DEGERFORS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45535</v>
      </c>
      <c r="E122" s="1" t="n">
        <v>46281</v>
      </c>
      <c r="F122" t="inlineStr">
        <is>
          <t>ÖREBRO LÄN</t>
        </is>
      </c>
      <c r="G122" t="inlineStr">
        <is>
          <t>DEGERFORS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55341-2025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45971</v>
      </c>
      <c r="E123" s="1" t="n">
        <v>46281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46140</v>
      </c>
      <c r="E124" s="1" t="n">
        <v>46281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44986</v>
      </c>
      <c r="E125" s="1" t="n">
        <v>46281</v>
      </c>
      <c r="F125" t="inlineStr">
        <is>
          <t>ÖREBRO LÄN</t>
        </is>
      </c>
      <c r="G125" t="inlineStr">
        <is>
          <t>DEGERFORS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57086-2025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45979</v>
      </c>
      <c r="E126" s="1" t="n">
        <v>46281</v>
      </c>
      <c r="F126" t="inlineStr">
        <is>
          <t>ÖREBRO LÄN</t>
        </is>
      </c>
      <c r="G126" t="inlineStr">
        <is>
          <t>DEGERFORS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20567-2026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46140</v>
      </c>
      <c r="E127" s="1" t="n">
        <v>46281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20568-2026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46140</v>
      </c>
      <c r="E128" s="1" t="n">
        <v>46281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45365-2023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45192</v>
      </c>
      <c r="E129" s="1" t="n">
        <v>46281</v>
      </c>
      <c r="F129" t="inlineStr">
        <is>
          <t>ÖREBRO LÄN</t>
        </is>
      </c>
      <c r="G129" t="inlineStr">
        <is>
          <t>DEGERFORS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50764-2024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46281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52131-2021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44463</v>
      </c>
      <c r="E131" s="1" t="n">
        <v>46281</v>
      </c>
      <c r="F131" t="inlineStr">
        <is>
          <t>ÖREBRO LÄN</t>
        </is>
      </c>
      <c r="G131" t="inlineStr">
        <is>
          <t>DEGERFORS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37672-2024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45541</v>
      </c>
      <c r="E132" s="1" t="n">
        <v>46281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46281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46148</v>
      </c>
      <c r="E134" s="1" t="n">
        <v>46281</v>
      </c>
      <c r="F134" t="inlineStr">
        <is>
          <t>ÖREBRO LÄN</t>
        </is>
      </c>
      <c r="G134" t="inlineStr">
        <is>
          <t>DEGERFORS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21440-2026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46148</v>
      </c>
      <c r="E135" s="1" t="n">
        <v>46281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45996</v>
      </c>
      <c r="E136" s="1" t="n">
        <v>46281</v>
      </c>
      <c r="F136" t="inlineStr">
        <is>
          <t>ÖREBRO LÄN</t>
        </is>
      </c>
      <c r="G136" t="inlineStr">
        <is>
          <t>DEGERFORS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21442-2026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46148</v>
      </c>
      <c r="E137" s="1" t="n">
        <v>46281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46148</v>
      </c>
      <c r="E138" s="1" t="n">
        <v>46281</v>
      </c>
      <c r="F138" t="inlineStr">
        <is>
          <t>ÖREBRO LÄN</t>
        </is>
      </c>
      <c r="G138" t="inlineStr">
        <is>
          <t>DEGERFORS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60736-2025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45996</v>
      </c>
      <c r="E139" s="1" t="n">
        <v>46281</v>
      </c>
      <c r="F139" t="inlineStr">
        <is>
          <t>ÖREBRO LÄN</t>
        </is>
      </c>
      <c r="G139" t="inlineStr">
        <is>
          <t>DEGERFORS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21660-2026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46149</v>
      </c>
      <c r="E140" s="1" t="n">
        <v>46281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45205</v>
      </c>
      <c r="E141" s="1" t="n">
        <v>46281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45163</v>
      </c>
      <c r="E142" s="1" t="n">
        <v>46281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63905-2021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44509</v>
      </c>
      <c r="E143" s="1" t="n">
        <v>46281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44841-2023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45190</v>
      </c>
      <c r="E144" s="1" t="n">
        <v>46281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45581</v>
      </c>
      <c r="E145" s="1" t="n">
        <v>46281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46219-2024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45581</v>
      </c>
      <c r="E146" s="1" t="n">
        <v>46281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14678-2025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45742</v>
      </c>
      <c r="E147" s="1" t="n">
        <v>46281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20577-2023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45057</v>
      </c>
      <c r="E148" s="1" t="n">
        <v>46281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10797-2023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44989</v>
      </c>
      <c r="E149" s="1" t="n">
        <v>46281</v>
      </c>
      <c r="F149" t="inlineStr">
        <is>
          <t>ÖREBRO LÄN</t>
        </is>
      </c>
      <c r="G149" t="inlineStr">
        <is>
          <t>DEGERFORS</t>
        </is>
      </c>
      <c r="I149" t="n">
        <v>9.5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23230-2026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46162</v>
      </c>
      <c r="E150" s="1" t="n">
        <v>46281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23229-2026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46162</v>
      </c>
      <c r="E151" s="1" t="n">
        <v>46281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46281</v>
      </c>
      <c r="F152" t="inlineStr">
        <is>
          <t>ÖREBRO LÄN</t>
        </is>
      </c>
      <c r="G152" t="inlineStr">
        <is>
          <t>DEGERFORS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46027</v>
      </c>
      <c r="E153" s="1" t="n">
        <v>46281</v>
      </c>
      <c r="F153" t="inlineStr">
        <is>
          <t>ÖREBRO LÄN</t>
        </is>
      </c>
      <c r="G153" t="inlineStr">
        <is>
          <t>DEGERFORS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29482-2023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45106</v>
      </c>
      <c r="E154" s="1" t="n">
        <v>46281</v>
      </c>
      <c r="F154" t="inlineStr">
        <is>
          <t>ÖREBRO LÄN</t>
        </is>
      </c>
      <c r="G154" t="inlineStr">
        <is>
          <t>DEGERFORS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23854-2026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46281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20.9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44579</v>
      </c>
      <c r="E156" s="1" t="n">
        <v>46281</v>
      </c>
      <c r="F156" t="inlineStr">
        <is>
          <t>ÖREBRO LÄN</t>
        </is>
      </c>
      <c r="G156" t="inlineStr">
        <is>
          <t>DEGERFORS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46170</v>
      </c>
      <c r="E157" s="1" t="n">
        <v>46281</v>
      </c>
      <c r="F157" t="inlineStr">
        <is>
          <t>ÖREBRO LÄN</t>
        </is>
      </c>
      <c r="G157" t="inlineStr">
        <is>
          <t>DEGERFORS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24689-2026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46171</v>
      </c>
      <c r="E158" s="1" t="n">
        <v>46281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24460-2026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46281</v>
      </c>
      <c r="F159" t="inlineStr">
        <is>
          <t>ÖREBRO LÄN</t>
        </is>
      </c>
      <c r="G159" t="inlineStr">
        <is>
          <t>DEGERFORS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13236-2025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45735</v>
      </c>
      <c r="E160" s="1" t="n">
        <v>46281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44986</v>
      </c>
      <c r="E161" s="1" t="n">
        <v>46281</v>
      </c>
      <c r="F161" t="inlineStr">
        <is>
          <t>ÖREBRO LÄN</t>
        </is>
      </c>
      <c r="G161" t="inlineStr">
        <is>
          <t>DEGERFORS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56478-2024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45624</v>
      </c>
      <c r="E162" s="1" t="n">
        <v>46281</v>
      </c>
      <c r="F162" t="inlineStr">
        <is>
          <t>ÖREBRO LÄN</t>
        </is>
      </c>
      <c r="G162" t="inlineStr">
        <is>
          <t>DEGERFORS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46185</v>
      </c>
      <c r="E163" s="1" t="n">
        <v>46281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60933-2024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45645</v>
      </c>
      <c r="E164" s="1" t="n">
        <v>46281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46281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46281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61750-2021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44501</v>
      </c>
      <c r="E167" s="1" t="n">
        <v>46281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46189</v>
      </c>
      <c r="E168" s="1" t="n">
        <v>46281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29607-2022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44754</v>
      </c>
      <c r="E169" s="1" t="n">
        <v>46281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45337</v>
      </c>
      <c r="E170" s="1" t="n">
        <v>46281</v>
      </c>
      <c r="F170" t="inlineStr">
        <is>
          <t>ÖREBRO LÄN</t>
        </is>
      </c>
      <c r="G170" t="inlineStr">
        <is>
          <t>DEGERFORS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10674-2024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45369</v>
      </c>
      <c r="E171" s="1" t="n">
        <v>46281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46191</v>
      </c>
      <c r="E172" s="1" t="n">
        <v>46281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46281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28789-2026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46281</v>
      </c>
      <c r="F174" t="inlineStr">
        <is>
          <t>ÖREBRO LÄN</t>
        </is>
      </c>
      <c r="G174" t="inlineStr">
        <is>
          <t>DEGERFORS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46281</v>
      </c>
      <c r="F175" t="inlineStr">
        <is>
          <t>ÖREBRO LÄN</t>
        </is>
      </c>
      <c r="G175" t="inlineStr">
        <is>
          <t>DEGERFORS</t>
        </is>
      </c>
      <c r="I175" t="n">
        <v>13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33658-2024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45520</v>
      </c>
      <c r="E176" s="1" t="n">
        <v>46281</v>
      </c>
      <c r="F176" t="inlineStr">
        <is>
          <t>ÖREBRO LÄN</t>
        </is>
      </c>
      <c r="G176" t="inlineStr">
        <is>
          <t>DEGERFORS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51653-2023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46281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45376</v>
      </c>
      <c r="E178" s="1" t="n">
        <v>46281</v>
      </c>
      <c r="F178" t="inlineStr">
        <is>
          <t>ÖREBRO LÄN</t>
        </is>
      </c>
      <c r="G178" t="inlineStr">
        <is>
          <t>DEGERFORS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32508-2026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46239</v>
      </c>
      <c r="E179" s="1" t="n">
        <v>46281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45621</v>
      </c>
      <c r="E180" s="1" t="n">
        <v>46281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38233-2023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45160</v>
      </c>
      <c r="E181" s="1" t="n">
        <v>46281</v>
      </c>
      <c r="F181" t="inlineStr">
        <is>
          <t>ÖREBRO LÄN</t>
        </is>
      </c>
      <c r="G181" t="inlineStr">
        <is>
          <t>DEGERFORS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46239</v>
      </c>
      <c r="E182" s="1" t="n">
        <v>46281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32810-2026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46241</v>
      </c>
      <c r="E183" s="1" t="n">
        <v>46281</v>
      </c>
      <c r="F183" t="inlineStr">
        <is>
          <t>ÖREBRO LÄN</t>
        </is>
      </c>
      <c r="G183" t="inlineStr">
        <is>
          <t>DEGERFORS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46281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28708-2026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46281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46199</v>
      </c>
      <c r="E186" s="1" t="n">
        <v>46281</v>
      </c>
      <c r="F186" t="inlineStr">
        <is>
          <t>ÖREBRO LÄN</t>
        </is>
      </c>
      <c r="G186" t="inlineStr">
        <is>
          <t>DEGERFORS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28695-2026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46281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50766-2024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46281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46202</v>
      </c>
      <c r="E189" s="1" t="n">
        <v>46281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46202</v>
      </c>
      <c r="E190" s="1" t="n">
        <v>46281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45600</v>
      </c>
      <c r="E191" s="1" t="n">
        <v>46281</v>
      </c>
      <c r="F191" t="inlineStr">
        <is>
          <t>ÖREBRO LÄN</t>
        </is>
      </c>
      <c r="G191" t="inlineStr">
        <is>
          <t>DEGERFORS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46281</v>
      </c>
      <c r="F192" t="inlineStr">
        <is>
          <t>ÖREBRO LÄN</t>
        </is>
      </c>
      <c r="G192" t="inlineStr">
        <is>
          <t>DEGERFORS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46204</v>
      </c>
      <c r="E193" s="1" t="n">
        <v>46281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12143-2025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45729</v>
      </c>
      <c r="E194" s="1" t="n">
        <v>46281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45609</v>
      </c>
      <c r="E195" s="1" t="n">
        <v>46281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8184-2022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46281</v>
      </c>
      <c r="F196" t="inlineStr">
        <is>
          <t>ÖREBRO LÄN</t>
        </is>
      </c>
      <c r="G196" t="inlineStr">
        <is>
          <t>DEGERFORS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60937-2024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46281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45645</v>
      </c>
      <c r="E198" s="1" t="n">
        <v>46281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35213-2026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46260</v>
      </c>
      <c r="E199" s="1" t="n">
        <v>46281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9.5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44807-2023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45190</v>
      </c>
      <c r="E200" s="1" t="n">
        <v>46281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45351</v>
      </c>
      <c r="E201" s="1" t="n">
        <v>46281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46281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45233</v>
      </c>
      <c r="E203" s="1" t="n">
        <v>46281</v>
      </c>
      <c r="F203" t="inlineStr">
        <is>
          <t>ÖREBRO LÄN</t>
        </is>
      </c>
      <c r="G203" t="inlineStr">
        <is>
          <t>DEGERFORS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36339-2026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46268</v>
      </c>
      <c r="E204" s="1" t="n">
        <v>46281</v>
      </c>
      <c r="F204" t="inlineStr">
        <is>
          <t>ÖREBRO LÄN</t>
        </is>
      </c>
      <c r="G204" t="inlineStr">
        <is>
          <t>DEGERFORS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38738-2022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44816</v>
      </c>
      <c r="E205" s="1" t="n">
        <v>46281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36336-2026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46268</v>
      </c>
      <c r="E206" s="1" t="n">
        <v>46281</v>
      </c>
      <c r="F206" t="inlineStr">
        <is>
          <t>ÖREBRO LÄN</t>
        </is>
      </c>
      <c r="G206" t="inlineStr">
        <is>
          <t>DEGERFORS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36345-2026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46268</v>
      </c>
      <c r="E207" s="1" t="n">
        <v>46281</v>
      </c>
      <c r="F207" t="inlineStr">
        <is>
          <t>ÖREBRO LÄN</t>
        </is>
      </c>
      <c r="G207" t="inlineStr">
        <is>
          <t>DEGERFORS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12729-2024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45384</v>
      </c>
      <c r="E208" s="1" t="n">
        <v>46281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31813-2026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46230</v>
      </c>
      <c r="E209" s="1" t="n">
        <v>46281</v>
      </c>
      <c r="F209" t="inlineStr">
        <is>
          <t>ÖREBRO LÄN</t>
        </is>
      </c>
      <c r="G209" t="inlineStr">
        <is>
          <t>DEGERFORS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46231</v>
      </c>
      <c r="E210" s="1" t="n">
        <v>46281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31871-2026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46231</v>
      </c>
      <c r="E211" s="1" t="n">
        <v>46281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46231</v>
      </c>
      <c r="E212" s="1" t="n">
        <v>46281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44986</v>
      </c>
      <c r="E213" s="1" t="n">
        <v>46281</v>
      </c>
      <c r="F213" t="inlineStr">
        <is>
          <t>ÖREBRO LÄN</t>
        </is>
      </c>
      <c r="G213" t="inlineStr">
        <is>
          <t>DEGERFORS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45705</v>
      </c>
      <c r="E214" s="1" t="n">
        <v>46281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46281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18831-2025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45764</v>
      </c>
      <c r="E216" s="1" t="n">
        <v>46281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37809-2026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46279</v>
      </c>
      <c r="E217" s="1" t="n">
        <v>46281</v>
      </c>
      <c r="F217" t="inlineStr">
        <is>
          <t>ÖREBRO LÄN</t>
        </is>
      </c>
      <c r="G217" t="inlineStr">
        <is>
          <t>DEGERFORS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58629-2024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46281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45474</v>
      </c>
      <c r="E219" s="1" t="n">
        <v>46281</v>
      </c>
      <c r="F219" t="inlineStr">
        <is>
          <t>ÖREBRO LÄN</t>
        </is>
      </c>
      <c r="G219" t="inlineStr">
        <is>
          <t>DEGERFORS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50102-2023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46281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45223</v>
      </c>
      <c r="E221" s="1" t="n">
        <v>46281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62982-2023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45272</v>
      </c>
      <c r="E222" s="1" t="n">
        <v>46281</v>
      </c>
      <c r="F222" t="inlineStr">
        <is>
          <t>ÖREBRO LÄN</t>
        </is>
      </c>
      <c r="G222" t="inlineStr">
        <is>
          <t>DEGERFORS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46281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45443</v>
      </c>
      <c r="E224" s="1" t="n">
        <v>46281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23460-2024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45453</v>
      </c>
      <c r="E225" s="1" t="n">
        <v>46281</v>
      </c>
      <c r="F225" t="inlineStr">
        <is>
          <t>ÖREBRO LÄN</t>
        </is>
      </c>
      <c r="G225" t="inlineStr">
        <is>
          <t>DEGERFORS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45330</v>
      </c>
      <c r="E226" s="1" t="n">
        <v>46281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45798</v>
      </c>
      <c r="E227" s="1" t="n">
        <v>46281</v>
      </c>
      <c r="F227" t="inlineStr">
        <is>
          <t>ÖREBRO LÄN</t>
        </is>
      </c>
      <c r="G227" t="inlineStr">
        <is>
          <t>DEGERFORS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45810</v>
      </c>
      <c r="E228" s="1" t="n">
        <v>46281</v>
      </c>
      <c r="F228" t="inlineStr">
        <is>
          <t>ÖREBRO LÄN</t>
        </is>
      </c>
      <c r="G228" t="inlineStr">
        <is>
          <t>DEGERFORS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26820-2025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45810</v>
      </c>
      <c r="E229" s="1" t="n">
        <v>46281</v>
      </c>
      <c r="F229" t="inlineStr">
        <is>
          <t>ÖREBRO LÄN</t>
        </is>
      </c>
      <c r="G229" t="inlineStr">
        <is>
          <t>DEGERFORS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28367-2025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45819</v>
      </c>
      <c r="E230" s="1" t="n">
        <v>46281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45819</v>
      </c>
      <c r="E231" s="1" t="n">
        <v>46281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23066-2022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44719</v>
      </c>
      <c r="E232" s="1" t="n">
        <v>46281</v>
      </c>
      <c r="F232" t="inlineStr">
        <is>
          <t>ÖREBRO LÄN</t>
        </is>
      </c>
      <c r="G232" t="inlineStr">
        <is>
          <t>DEGERFORS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33404-2025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45841</v>
      </c>
      <c r="E233" s="1" t="n">
        <v>46281</v>
      </c>
      <c r="F233" t="inlineStr">
        <is>
          <t>ÖREBRO LÄN</t>
        </is>
      </c>
      <c r="G233" t="inlineStr">
        <is>
          <t>DEGERFORS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59863-2024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45639</v>
      </c>
      <c r="E234" s="1" t="n">
        <v>46281</v>
      </c>
      <c r="F234" t="inlineStr">
        <is>
          <t>ÖREBRO LÄN</t>
        </is>
      </c>
      <c r="G234" t="inlineStr">
        <is>
          <t>DEGERFORS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479-2022</t>
        </is>
      </c>
      <c r="B235" t="inlineStr">
        <is>
          <t>samrådsanmälan</t>
        </is>
      </c>
      <c r="C235" t="inlineStr">
        <is>
          <t>Skogsbilväg</t>
        </is>
      </c>
      <c r="D235" s="1" t="n">
        <v>44587</v>
      </c>
      <c r="E235" s="1" t="n">
        <v>46281</v>
      </c>
      <c r="F235" t="inlineStr">
        <is>
          <t>ÖREBRO LÄN</t>
        </is>
      </c>
      <c r="G235" t="inlineStr">
        <is>
          <t>DEGERFORS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1697-2025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46281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1694-2025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45805</v>
      </c>
      <c r="E237" s="1" t="n">
        <v>46281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794-2025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46281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45729</v>
      </c>
      <c r="E239" s="1" t="n">
        <v>46281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963-2025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46281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964-2025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45742</v>
      </c>
      <c r="E241" s="1" t="n">
        <v>46281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2595-2025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45916</v>
      </c>
      <c r="E242" s="1" t="n">
        <v>46281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2026-09-16T01:59:57Z</dcterms:created>
  <dcterms:modified xmlns:dcterms="http://purl.org/dc/terms/" xmlns:xsi="http://www.w3.org/2001/XMLSchema-instance" xsi:type="dcterms:W3CDTF">2026-09-16T01:59:57Z</dcterms:modified>
</cp:coreProperties>
</file>