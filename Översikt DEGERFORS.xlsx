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46282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46282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46282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46282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46282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46282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46282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46282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46282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46282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46282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46282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Tjäder
Fläcknycklar</t>
        </is>
      </c>
      <c r="W31">
        <f>HYPERLINK("https://klasma.github.io/Logging_1862/artfynd/A 38910-2023 artfynd.xlsx", "A 38910-2023")</f>
        <v/>
      </c>
      <c r="X31">
        <f>HYPERLINK("https://klasma.github.io/Logging_1862/kartor/A 38910-2023 karta.png", "A 38910-2023")</f>
        <v/>
      </c>
      <c r="Y31">
        <f>HYPERLINK("https://klasma.github.io/Logging_1862/kartor_geotiff/A 38910-2023 georefererad karta.tif", "A 38910-2023")</f>
        <v/>
      </c>
      <c r="AA31">
        <f>HYPERLINK("https://klasma.github.io/Logging_1862/klagomål/A 38910-2023 FSC-klagomål.docx", "A 38910-2023")</f>
        <v/>
      </c>
      <c r="AB31">
        <f>HYPERLINK("https://klasma.github.io/Logging_1862/klagomålsmail/A 38910-2023 FSC-klagomål mail.docx", "A 38910-2023")</f>
        <v/>
      </c>
      <c r="AC31">
        <f>HYPERLINK("https://klasma.github.io/Logging_1862/tillsyn/A 38910-2023 tillsynsbegäran.docx", "A 38910-2023")</f>
        <v/>
      </c>
      <c r="AD31">
        <f>HYPERLINK("https://klasma.github.io/Logging_1862/tillsynsmail/A 38910-2023 tillsynsbegäran mail.docx", "A 38910-2023")</f>
        <v/>
      </c>
      <c r="AE31">
        <f>HYPERLINK("https://klasma.github.io/Logging_1862/fåglar/A 38910-2023 prioriterade fågelarter.docx", "A 38910-2023")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46282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46282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46282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46282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46282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46282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46282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46282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14177-2026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46282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HYPERLINK("https://klasma.github.io/Logging_1862/artfynd/A 14177-2026 artfynd.xlsx", "A 14177-2026")</f>
        <v/>
      </c>
      <c r="X44">
        <f>HYPERLINK("https://klasma.github.io/Logging_1862/kartor/A 14177-2026 karta.png", "A 14177-2026")</f>
        <v/>
      </c>
      <c r="Y44">
        <f>HYPERLINK("https://klasma.github.io/Logging_1862/kartor_geotiff/A 14177-2026 georefererad karta.tif", "A 14177-2026")</f>
        <v/>
      </c>
      <c r="AA44">
        <f>HYPERLINK("https://klasma.github.io/Logging_1862/klagomål/A 14177-2026 FSC-klagomål.docx", "A 14177-2026")</f>
        <v/>
      </c>
      <c r="AB44">
        <f>HYPERLINK("https://klasma.github.io/Logging_1862/klagomålsmail/A 14177-2026 FSC-klagomål mail.docx", "A 14177-2026")</f>
        <v/>
      </c>
      <c r="AC44">
        <f>HYPERLINK("https://klasma.github.io/Logging_1862/tillsyn/A 14177-2026 tillsynsbegäran.docx", "A 14177-2026")</f>
        <v/>
      </c>
      <c r="AD44">
        <f>HYPERLINK("https://klasma.github.io/Logging_1862/tillsynsmail/A 14177-2026 tillsynsbegäran mail.docx", "A 14177-2026")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46282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46282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46282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46282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47915-2024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46282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47915-2024 artfynd.xlsx", "A 47915-2024")</f>
        <v/>
      </c>
      <c r="X49">
        <f>HYPERLINK("https://klasma.github.io/Logging_1862/kartor/A 47915-2024 karta.png", "A 47915-2024")</f>
        <v/>
      </c>
      <c r="Y49">
        <f>HYPERLINK("https://klasma.github.io/Logging_1862/kartor_geotiff/A 47915-2024 georefererad karta.tif", "A 47915-2024")</f>
        <v/>
      </c>
      <c r="AA49">
        <f>HYPERLINK("https://klasma.github.io/Logging_1862/klagomål/A 47915-2024 FSC-klagomål.docx", "A 47915-2024")</f>
        <v/>
      </c>
      <c r="AB49">
        <f>HYPERLINK("https://klasma.github.io/Logging_1862/klagomålsmail/A 47915-2024 FSC-klagomål mail.docx", "A 47915-2024")</f>
        <v/>
      </c>
      <c r="AC49">
        <f>HYPERLINK("https://klasma.github.io/Logging_1862/tillsyn/A 47915-2024 tillsynsbegäran.docx", "A 47915-2024")</f>
        <v/>
      </c>
      <c r="AD49">
        <f>HYPERLINK("https://klasma.github.io/Logging_1862/tillsynsmail/A 47915-2024 tillsynsbegäran mail.docx", "A 47915-2024")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46282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46282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46282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46282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46282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46282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46282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46282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46282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46282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46282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46282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46282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46282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46282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46282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46282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46282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46282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46282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46282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46282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46282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46282</v>
      </c>
      <c r="F80" t="inlineStr">
        <is>
          <t>ÖREBRO LÄN</t>
        </is>
      </c>
      <c r="G80" t="inlineStr">
        <is>
          <t>DEGERFORS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46282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46282</v>
      </c>
      <c r="F82" t="inlineStr">
        <is>
          <t>ÖREBRO LÄN</t>
        </is>
      </c>
      <c r="G82" t="inlineStr">
        <is>
          <t>DEGERFORS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46282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46282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46282</v>
      </c>
      <c r="F85" t="inlineStr">
        <is>
          <t>ÖREBRO LÄN</t>
        </is>
      </c>
      <c r="G85" t="inlineStr">
        <is>
          <t>DEGERFORS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46282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46282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46282</v>
      </c>
      <c r="F88" t="inlineStr">
        <is>
          <t>ÖREBRO LÄN</t>
        </is>
      </c>
      <c r="G88" t="inlineStr">
        <is>
          <t>DEGERFORS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46282</v>
      </c>
      <c r="F89" t="inlineStr">
        <is>
          <t>ÖREBRO LÄN</t>
        </is>
      </c>
      <c r="G89" t="inlineStr">
        <is>
          <t>DEGERFORS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46282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46282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46282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46282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46282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46282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60907-2023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45261</v>
      </c>
      <c r="E96" s="1" t="n">
        <v>46282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46282</v>
      </c>
      <c r="F97" t="inlineStr">
        <is>
          <t>ÖREBRO LÄN</t>
        </is>
      </c>
      <c r="G97" t="inlineStr">
        <is>
          <t>DEGERFORS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46282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46282</v>
      </c>
      <c r="F99" t="inlineStr">
        <is>
          <t>ÖREBRO LÄN</t>
        </is>
      </c>
      <c r="G99" t="inlineStr">
        <is>
          <t>DEGERFORS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46282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46282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46282</v>
      </c>
      <c r="F102" t="inlineStr">
        <is>
          <t>ÖREBRO LÄN</t>
        </is>
      </c>
      <c r="G102" t="inlineStr">
        <is>
          <t>DEGERFORS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45609</v>
      </c>
      <c r="E103" s="1" t="n">
        <v>46282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37333-2025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45876</v>
      </c>
      <c r="E104" s="1" t="n">
        <v>46282</v>
      </c>
      <c r="F104" t="inlineStr">
        <is>
          <t>ÖREBRO LÄN</t>
        </is>
      </c>
      <c r="G104" t="inlineStr">
        <is>
          <t>DEGERFORS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46282</v>
      </c>
      <c r="F105" t="inlineStr">
        <is>
          <t>ÖREBRO LÄN</t>
        </is>
      </c>
      <c r="G105" t="inlineStr">
        <is>
          <t>DEGERFORS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46282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46282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46282</v>
      </c>
      <c r="F108" t="inlineStr">
        <is>
          <t>ÖREBRO LÄN</t>
        </is>
      </c>
      <c r="G108" t="inlineStr">
        <is>
          <t>DEGERFORS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46282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46282</v>
      </c>
      <c r="F110" t="inlineStr">
        <is>
          <t>ÖREBRO LÄN</t>
        </is>
      </c>
      <c r="G110" t="inlineStr">
        <is>
          <t>DEGERFORS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46282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46282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46282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57086-2025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45979</v>
      </c>
      <c r="E114" s="1" t="n">
        <v>46282</v>
      </c>
      <c r="F114" t="inlineStr">
        <is>
          <t>ÖREBRO LÄN</t>
        </is>
      </c>
      <c r="G114" t="inlineStr">
        <is>
          <t>DEGERFORS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38233-2023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45160</v>
      </c>
      <c r="E115" s="1" t="n">
        <v>46282</v>
      </c>
      <c r="F115" t="inlineStr">
        <is>
          <t>ÖREBRO LÄN</t>
        </is>
      </c>
      <c r="G115" t="inlineStr">
        <is>
          <t>DEGERFORS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10674-2024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45369</v>
      </c>
      <c r="E116" s="1" t="n">
        <v>46282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46282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73693-2021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46282</v>
      </c>
      <c r="F118" t="inlineStr">
        <is>
          <t>ÖREBRO LÄN</t>
        </is>
      </c>
      <c r="G118" t="inlineStr">
        <is>
          <t>DEGERFORS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46282</v>
      </c>
      <c r="F119" t="inlineStr">
        <is>
          <t>ÖREBRO LÄN</t>
        </is>
      </c>
      <c r="G119" t="inlineStr">
        <is>
          <t>DEGERFORS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46282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46282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46282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46282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46282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46282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46282</v>
      </c>
      <c r="F126" t="inlineStr">
        <is>
          <t>ÖREBRO LÄN</t>
        </is>
      </c>
      <c r="G126" t="inlineStr">
        <is>
          <t>DEGERFORS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46282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46282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46282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46282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46282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46282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46282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46282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21952-2024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45443</v>
      </c>
      <c r="E135" s="1" t="n">
        <v>46282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46282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46127</v>
      </c>
      <c r="E137" s="1" t="n">
        <v>46282</v>
      </c>
      <c r="F137" t="inlineStr">
        <is>
          <t>ÖREBRO LÄN</t>
        </is>
      </c>
      <c r="G137" t="inlineStr">
        <is>
          <t>DEGERFORS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46282</v>
      </c>
      <c r="F138" t="inlineStr">
        <is>
          <t>ÖREBRO LÄN</t>
        </is>
      </c>
      <c r="G138" t="inlineStr">
        <is>
          <t>DEGERFORS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46282</v>
      </c>
      <c r="F139" t="inlineStr">
        <is>
          <t>ÖREBRO LÄN</t>
        </is>
      </c>
      <c r="G139" t="inlineStr">
        <is>
          <t>DEGERFORS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12143-2025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45729</v>
      </c>
      <c r="E140" s="1" t="n">
        <v>46282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46282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20577-2023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45057</v>
      </c>
      <c r="E142" s="1" t="n">
        <v>46282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45192</v>
      </c>
      <c r="E143" s="1" t="n">
        <v>46282</v>
      </c>
      <c r="F143" t="inlineStr">
        <is>
          <t>ÖREBRO LÄN</t>
        </is>
      </c>
      <c r="G143" t="inlineStr">
        <is>
          <t>DEGERFORS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45338</v>
      </c>
      <c r="E144" s="1" t="n">
        <v>46282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46282</v>
      </c>
      <c r="F145" t="inlineStr">
        <is>
          <t>ÖREBRO LÄN</t>
        </is>
      </c>
      <c r="G145" t="inlineStr">
        <is>
          <t>DEGERFORS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6394-2024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45338</v>
      </c>
      <c r="E146" s="1" t="n">
        <v>46282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46282</v>
      </c>
      <c r="F147" t="inlineStr">
        <is>
          <t>ÖREBRO LÄN</t>
        </is>
      </c>
      <c r="G147" t="inlineStr">
        <is>
          <t>DEGERFORS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46282</v>
      </c>
      <c r="F148" t="inlineStr">
        <is>
          <t>ÖREBRO LÄN</t>
        </is>
      </c>
      <c r="G148" t="inlineStr">
        <is>
          <t>DEGERFORS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44986</v>
      </c>
      <c r="E149" s="1" t="n">
        <v>46282</v>
      </c>
      <c r="F149" t="inlineStr">
        <is>
          <t>ÖREBRO LÄN</t>
        </is>
      </c>
      <c r="G149" t="inlineStr">
        <is>
          <t>DEGERFORS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46282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46282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46282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46282</v>
      </c>
      <c r="F153" t="inlineStr">
        <is>
          <t>ÖREBRO LÄN</t>
        </is>
      </c>
      <c r="G153" t="inlineStr">
        <is>
          <t>DEGERFORS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46282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46282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46282</v>
      </c>
      <c r="F156" t="inlineStr">
        <is>
          <t>ÖREBRO LÄN</t>
        </is>
      </c>
      <c r="G156" t="inlineStr">
        <is>
          <t>DEGERFORS</t>
        </is>
      </c>
      <c r="I156" t="n">
        <v>17.2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46282</v>
      </c>
      <c r="F157" t="inlineStr">
        <is>
          <t>ÖREBRO LÄN</t>
        </is>
      </c>
      <c r="G157" t="inlineStr">
        <is>
          <t>DEGERFORS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46282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46282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46282</v>
      </c>
      <c r="F160" t="inlineStr">
        <is>
          <t>ÖREBRO LÄN</t>
        </is>
      </c>
      <c r="G160" t="inlineStr">
        <is>
          <t>DEGERFORS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46282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46282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46282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46282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46282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46282</v>
      </c>
      <c r="F166" t="inlineStr">
        <is>
          <t>ÖREBRO LÄN</t>
        </is>
      </c>
      <c r="G166" t="inlineStr">
        <is>
          <t>DEGERFORS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46282</v>
      </c>
      <c r="F167" t="inlineStr">
        <is>
          <t>ÖREBRO LÄN</t>
        </is>
      </c>
      <c r="G167" t="inlineStr">
        <is>
          <t>DEGERFORS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46282</v>
      </c>
      <c r="F168" t="inlineStr">
        <is>
          <t>ÖREBRO LÄN</t>
        </is>
      </c>
      <c r="G168" t="inlineStr">
        <is>
          <t>DEGERFORS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46282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46282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45384</v>
      </c>
      <c r="E171" s="1" t="n">
        <v>46282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14678-2025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45742</v>
      </c>
      <c r="E172" s="1" t="n">
        <v>46282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46282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46282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46170</v>
      </c>
      <c r="E175" s="1" t="n">
        <v>46282</v>
      </c>
      <c r="F175" t="inlineStr">
        <is>
          <t>ÖREBRO LÄN</t>
        </is>
      </c>
      <c r="G175" t="inlineStr">
        <is>
          <t>DEGERFORS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46282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46185</v>
      </c>
      <c r="E177" s="1" t="n">
        <v>46282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46282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46282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46282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46282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46282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46282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46282</v>
      </c>
      <c r="F184" t="inlineStr">
        <is>
          <t>ÖREBRO LÄN</t>
        </is>
      </c>
      <c r="G184" t="inlineStr">
        <is>
          <t>DEGERFORS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46282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46282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46282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45351</v>
      </c>
      <c r="E188" s="1" t="n">
        <v>46282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46282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46282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46282</v>
      </c>
      <c r="F191" t="inlineStr">
        <is>
          <t>ÖREBRO LÄN</t>
        </is>
      </c>
      <c r="G191" t="inlineStr">
        <is>
          <t>DEGERFORS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46282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46282</v>
      </c>
      <c r="F193" t="inlineStr">
        <is>
          <t>ÖREBRO LÄN</t>
        </is>
      </c>
      <c r="G193" t="inlineStr">
        <is>
          <t>DEGERFORS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59158-2022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44904</v>
      </c>
      <c r="E194" s="1" t="n">
        <v>46282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46282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46199</v>
      </c>
      <c r="E196" s="1" t="n">
        <v>46282</v>
      </c>
      <c r="F196" t="inlineStr">
        <is>
          <t>ÖREBRO LÄN</t>
        </is>
      </c>
      <c r="G196" t="inlineStr">
        <is>
          <t>DEGERFORS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46282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46282</v>
      </c>
      <c r="F198" t="inlineStr">
        <is>
          <t>ÖREBRO LÄN</t>
        </is>
      </c>
      <c r="G198" t="inlineStr">
        <is>
          <t>DEGERFORS</t>
        </is>
      </c>
      <c r="I198" t="n">
        <v>13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46282</v>
      </c>
      <c r="F199" t="inlineStr">
        <is>
          <t>ÖREBRO LÄN</t>
        </is>
      </c>
      <c r="G199" t="inlineStr">
        <is>
          <t>DEGERFORS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46204</v>
      </c>
      <c r="E200" s="1" t="n">
        <v>46282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44989</v>
      </c>
      <c r="E201" s="1" t="n">
        <v>46282</v>
      </c>
      <c r="F201" t="inlineStr">
        <is>
          <t>ÖREBRO LÄN</t>
        </is>
      </c>
      <c r="G201" t="inlineStr">
        <is>
          <t>DEGERFORS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46282</v>
      </c>
      <c r="F202" t="inlineStr">
        <is>
          <t>ÖREBRO LÄN</t>
        </is>
      </c>
      <c r="G202" t="inlineStr">
        <is>
          <t>DEGERFORS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50764-2024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45602</v>
      </c>
      <c r="E203" s="1" t="n">
        <v>46282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46282</v>
      </c>
      <c r="F204" t="inlineStr">
        <is>
          <t>ÖREBRO LÄN</t>
        </is>
      </c>
      <c r="G204" t="inlineStr">
        <is>
          <t>DEGERFORS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45861-2023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45195</v>
      </c>
      <c r="E205" s="1" t="n">
        <v>46282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45569</v>
      </c>
      <c r="E206" s="1" t="n">
        <v>46282</v>
      </c>
      <c r="F206" t="inlineStr">
        <is>
          <t>ÖREBRO LÄN</t>
        </is>
      </c>
      <c r="G206" t="inlineStr">
        <is>
          <t>DEGERFORS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46282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46282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46282</v>
      </c>
      <c r="F209" t="inlineStr">
        <is>
          <t>ÖREBRO LÄN</t>
        </is>
      </c>
      <c r="G209" t="inlineStr">
        <is>
          <t>DEGERFORS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46282</v>
      </c>
      <c r="F210" t="inlineStr">
        <is>
          <t>ÖREBRO LÄN</t>
        </is>
      </c>
      <c r="G210" t="inlineStr">
        <is>
          <t>DEGERFORS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61750-2021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46282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46268</v>
      </c>
      <c r="E212" s="1" t="n">
        <v>46282</v>
      </c>
      <c r="F212" t="inlineStr">
        <is>
          <t>ÖREBRO LÄN</t>
        </is>
      </c>
      <c r="G212" t="inlineStr">
        <is>
          <t>DEGERFORS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46282</v>
      </c>
      <c r="F213" t="inlineStr">
        <is>
          <t>ÖREBRO LÄN</t>
        </is>
      </c>
      <c r="G213" t="inlineStr">
        <is>
          <t>DEGERFORS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46282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46282</v>
      </c>
      <c r="F215" t="inlineStr">
        <is>
          <t>ÖREBRO LÄN</t>
        </is>
      </c>
      <c r="G215" t="inlineStr">
        <is>
          <t>DEGERFORS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46282</v>
      </c>
      <c r="F216" t="inlineStr">
        <is>
          <t>ÖREBRO LÄN</t>
        </is>
      </c>
      <c r="G216" t="inlineStr">
        <is>
          <t>DEGERFORS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46282</v>
      </c>
      <c r="F217" t="inlineStr">
        <is>
          <t>ÖREBRO LÄN</t>
        </is>
      </c>
      <c r="G217" t="inlineStr">
        <is>
          <t>DEGERFORS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46282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46231</v>
      </c>
      <c r="E219" s="1" t="n">
        <v>46282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46231</v>
      </c>
      <c r="E220" s="1" t="n">
        <v>46282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46282</v>
      </c>
      <c r="F221" t="inlineStr">
        <is>
          <t>ÖREBRO LÄN</t>
        </is>
      </c>
      <c r="G221" t="inlineStr">
        <is>
          <t>DEGERFORS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46282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46282</v>
      </c>
      <c r="F223" t="inlineStr">
        <is>
          <t>ÖREBRO LÄN</t>
        </is>
      </c>
      <c r="G223" t="inlineStr">
        <is>
          <t>DEGERFORS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46279</v>
      </c>
      <c r="E224" s="1" t="n">
        <v>46282</v>
      </c>
      <c r="F224" t="inlineStr">
        <is>
          <t>ÖREBRO LÄN</t>
        </is>
      </c>
      <c r="G224" t="inlineStr">
        <is>
          <t>DEGERFORS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46282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46281</v>
      </c>
      <c r="E226" s="1" t="n">
        <v>46282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46282</v>
      </c>
      <c r="F227" t="inlineStr">
        <is>
          <t>ÖREBRO LÄN</t>
        </is>
      </c>
      <c r="G227" t="inlineStr">
        <is>
          <t>DEGERFORS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46282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46282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46282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46282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46282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46282</v>
      </c>
      <c r="F233" t="inlineStr">
        <is>
          <t>ÖREBRO LÄN</t>
        </is>
      </c>
      <c r="G233" t="inlineStr">
        <is>
          <t>DEGERFORS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46282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46282</v>
      </c>
      <c r="F235" t="inlineStr">
        <is>
          <t>ÖREBRO LÄN</t>
        </is>
      </c>
      <c r="G235" t="inlineStr">
        <is>
          <t>DEGERFORS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479-2022</t>
        </is>
      </c>
      <c r="B236" t="inlineStr">
        <is>
          <t>samrådsanmälan</t>
        </is>
      </c>
      <c r="C236" t="inlineStr">
        <is>
          <t>Skogsbilväg</t>
        </is>
      </c>
      <c r="D236" s="1" t="n">
        <v>44587</v>
      </c>
      <c r="E236" s="1" t="n">
        <v>46282</v>
      </c>
      <c r="F236" t="inlineStr">
        <is>
          <t>ÖREBRO LÄN</t>
        </is>
      </c>
      <c r="G236" t="inlineStr">
        <is>
          <t>DEGERFORS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46282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46282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46282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46282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46282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46282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2595-2025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45916</v>
      </c>
      <c r="E243" s="1" t="n">
        <v>46282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2026-09-17T02:01:33Z</dcterms:created>
  <dcterms:modified xmlns:dcterms="http://purl.org/dc/terms/" xmlns:xsi="http://www.w3.org/2001/XMLSchema-instance" xsi:type="dcterms:W3CDTF">2026-09-17T02:01:33Z</dcterms:modified>
</cp:coreProperties>
</file>