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46254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46254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46254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46254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46254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46254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46254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46254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22868-2026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46160</v>
      </c>
      <c r="E10" s="1" t="n">
        <v>46254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7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8</v>
      </c>
      <c r="T10" t="n">
        <v>11</v>
      </c>
      <c r="U10" t="n">
        <v>11</v>
      </c>
      <c r="V10" s="2" t="inlineStr">
        <is>
          <t>Björktrast
Nordfladdermus
Talltita
Grönpyrola
Nattskärra
Spillkråka
Tjäder
Tofsmes</t>
        </is>
      </c>
      <c r="W10">
        <f>HYPERLINK("https://klasma.github.io/Logging_1862/artfynd/A 22868-2026 artfynd.xlsx", "A 22868-2026")</f>
        <v/>
      </c>
      <c r="X10">
        <f>HYPERLINK("https://klasma.github.io/Logging_1862/kartor/A 22868-2026 karta.png", "A 22868-2026")</f>
        <v/>
      </c>
      <c r="Y10">
        <f>HYPERLINK("https://klasma.github.io/Logging_1862/kartor_geotiff/A 22868-2026 georefererad karta.tif", "A 22868-2026")</f>
        <v/>
      </c>
      <c r="AA10">
        <f>HYPERLINK("https://klasma.github.io/Logging_1862/klagomål/A 22868-2026 FSC-klagomål.docx", "A 22868-2026")</f>
        <v/>
      </c>
      <c r="AB10">
        <f>HYPERLINK("https://klasma.github.io/Logging_1862/klagomålsmail/A 22868-2026 FSC-klagomål mail.docx", "A 22868-2026")</f>
        <v/>
      </c>
      <c r="AC10">
        <f>HYPERLINK("https://klasma.github.io/Logging_1862/tillsyn/A 22868-2026 tillsynsbegäran.docx", "A 22868-2026")</f>
        <v/>
      </c>
      <c r="AD10">
        <f>HYPERLINK("https://klasma.github.io/Logging_1862/tillsynsmail/A 22868-2026 tillsynsbegäran mail.docx", "A 22868-2026")</f>
        <v/>
      </c>
      <c r="AE10">
        <f>HYPERLINK("https://klasma.github.io/Logging_1862/fåglar/A 22868-2026 prioriterade fågelarter.docx", "A 22868-2026")</f>
        <v/>
      </c>
    </row>
    <row r="11" ht="15" customHeight="1">
      <c r="A11" t="inlineStr">
        <is>
          <t>A 41519-2023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45175</v>
      </c>
      <c r="E11" s="1" t="n">
        <v>46254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6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19</v>
      </c>
      <c r="U11" t="n">
        <v>19</v>
      </c>
      <c r="V11" s="2" t="inlineStr">
        <is>
          <t>Tretåig hackspett
Grönpyrola
Thomsons trägnagare
Spillkråka
Tjäder
Gröngöling
Kungsfågel
Fläcknycklar</t>
        </is>
      </c>
      <c r="W11">
        <f>HYPERLINK("https://klasma.github.io/Logging_1862/artfynd/A 41519-2023 artfynd.xlsx", "A 41519-2023")</f>
        <v/>
      </c>
      <c r="X11">
        <f>HYPERLINK("https://klasma.github.io/Logging_1862/kartor/A 41519-2023 karta.png", "A 41519-2023")</f>
        <v/>
      </c>
      <c r="Y11">
        <f>HYPERLINK("https://klasma.github.io/Logging_1862/kartor_geotiff/A 41519-2023 georefererad karta.tif", "A 41519-2023")</f>
        <v/>
      </c>
      <c r="AA11">
        <f>HYPERLINK("https://klasma.github.io/Logging_1862/klagomål/A 41519-2023 FSC-klagomål.docx", "A 41519-2023")</f>
        <v/>
      </c>
      <c r="AB11">
        <f>HYPERLINK("https://klasma.github.io/Logging_1862/klagomålsmail/A 41519-2023 FSC-klagomål mail.docx", "A 41519-2023")</f>
        <v/>
      </c>
      <c r="AC11">
        <f>HYPERLINK("https://klasma.github.io/Logging_1862/tillsyn/A 41519-2023 tillsynsbegäran.docx", "A 41519-2023")</f>
        <v/>
      </c>
      <c r="AD11">
        <f>HYPERLINK("https://klasma.github.io/Logging_1862/tillsynsmail/A 41519-2023 tillsynsbegäran mail.docx", "A 41519-2023")</f>
        <v/>
      </c>
      <c r="AE11">
        <f>HYPERLINK("https://klasma.github.io/Logging_1862/fåglar/A 41519-2023 prioriterade fågelarter.docx", "A 41519-2023")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46254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46254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29553-2026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46204</v>
      </c>
      <c r="E14" s="1" t="n">
        <v>46254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6.5</v>
      </c>
      <c r="J14" t="n">
        <v>2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6</v>
      </c>
      <c r="U14" t="n">
        <v>2</v>
      </c>
      <c r="V14" s="2" t="inlineStr">
        <is>
          <t>Garnlav
Skuggblåslav
Talltita
Ullticka
Vedskivlav
Tofsmes</t>
        </is>
      </c>
      <c r="W14">
        <f>HYPERLINK("https://klasma.github.io/Logging_1862/artfynd/A 29553-2026 artfynd.xlsx", "A 29553-2026")</f>
        <v/>
      </c>
      <c r="X14">
        <f>HYPERLINK("https://klasma.github.io/Logging_1862/kartor/A 29553-2026 karta.png", "A 29553-2026")</f>
        <v/>
      </c>
      <c r="Y14">
        <f>HYPERLINK("https://klasma.github.io/Logging_1862/kartor_geotiff/A 29553-2026 georefererad karta.tif", "A 29553-2026")</f>
        <v/>
      </c>
      <c r="AA14">
        <f>HYPERLINK("https://klasma.github.io/Logging_1862/klagomål/A 29553-2026 FSC-klagomål.docx", "A 29553-2026")</f>
        <v/>
      </c>
      <c r="AB14">
        <f>HYPERLINK("https://klasma.github.io/Logging_1862/klagomålsmail/A 29553-2026 FSC-klagomål mail.docx", "A 29553-2026")</f>
        <v/>
      </c>
      <c r="AC14">
        <f>HYPERLINK("https://klasma.github.io/Logging_1862/tillsyn/A 29553-2026 tillsynsbegäran.docx", "A 29553-2026")</f>
        <v/>
      </c>
      <c r="AD14">
        <f>HYPERLINK("https://klasma.github.io/Logging_1862/tillsynsmail/A 29553-2026 tillsynsbegäran mail.docx", "A 29553-2026")</f>
        <v/>
      </c>
      <c r="AE14">
        <f>HYPERLINK("https://klasma.github.io/Logging_1862/fåglar/A 29553-2026 prioriterade fågelarter.docx", "A 29553-2026")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46254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46254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46254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46254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46254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46254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8063-2024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45351</v>
      </c>
      <c r="E21" s="1" t="n">
        <v>46254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Jungfrulin
Skogsklocka
Svinrot
Springkorn</t>
        </is>
      </c>
      <c r="W21">
        <f>HYPERLINK("https://klasma.github.io/Logging_1862/artfynd/A 8063-2024 artfynd.xlsx", "A 8063-2024")</f>
        <v/>
      </c>
      <c r="X21">
        <f>HYPERLINK("https://klasma.github.io/Logging_1862/kartor/A 8063-2024 karta.png", "A 8063-2024")</f>
        <v/>
      </c>
      <c r="Y21">
        <f>HYPERLINK("https://klasma.github.io/Logging_1862/kartor_geotiff/A 8063-2024 georefererad karta.tif", "A 8063-2024")</f>
        <v/>
      </c>
      <c r="AA21">
        <f>HYPERLINK("https://klasma.github.io/Logging_1862/klagomål/A 8063-2024 FSC-klagomål.docx", "A 8063-2024")</f>
        <v/>
      </c>
      <c r="AB21">
        <f>HYPERLINK("https://klasma.github.io/Logging_1862/klagomålsmail/A 8063-2024 FSC-klagomål mail.docx", "A 8063-2024")</f>
        <v/>
      </c>
      <c r="AC21">
        <f>HYPERLINK("https://klasma.github.io/Logging_1862/tillsyn/A 8063-2024 tillsynsbegäran.docx", "A 8063-2024")</f>
        <v/>
      </c>
      <c r="AD21">
        <f>HYPERLINK("https://klasma.github.io/Logging_1862/tillsynsmail/A 8063-2024 tillsynsbegäran mail.docx", "A 8063-2024")</f>
        <v/>
      </c>
    </row>
    <row r="22" ht="15" customHeight="1">
      <c r="A22" t="inlineStr">
        <is>
          <t>A 36081-2025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45866</v>
      </c>
      <c r="E22" s="1" t="n">
        <v>46254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Jungfrulin
Skogsklocka
Svinrot
Springkorn</t>
        </is>
      </c>
      <c r="W22">
        <f>HYPERLINK("https://klasma.github.io/Logging_1862/artfynd/A 36081-2025 artfynd.xlsx", "A 36081-2025")</f>
        <v/>
      </c>
      <c r="X22">
        <f>HYPERLINK("https://klasma.github.io/Logging_1862/kartor/A 36081-2025 karta.png", "A 36081-2025")</f>
        <v/>
      </c>
      <c r="Y22">
        <f>HYPERLINK("https://klasma.github.io/Logging_1862/kartor_geotiff/A 36081-2025 georefererad karta.tif", "A 36081-2025")</f>
        <v/>
      </c>
      <c r="AA22">
        <f>HYPERLINK("https://klasma.github.io/Logging_1862/klagomål/A 36081-2025 FSC-klagomål.docx", "A 36081-2025")</f>
        <v/>
      </c>
      <c r="AB22">
        <f>HYPERLINK("https://klasma.github.io/Logging_1862/klagomålsmail/A 36081-2025 FSC-klagomål mail.docx", "A 36081-2025")</f>
        <v/>
      </c>
      <c r="AC22">
        <f>HYPERLINK("https://klasma.github.io/Logging_1862/tillsyn/A 36081-2025 tillsynsbegäran.docx", "A 36081-2025")</f>
        <v/>
      </c>
      <c r="AD22">
        <f>HYPERLINK("https://klasma.github.io/Logging_1862/tillsynsmail/A 36081-2025 tillsynsbegäran mail.docx", "A 36081-2025")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46254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46254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46254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12720-2024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45384</v>
      </c>
      <c r="E26" s="1" t="n">
        <v>46254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Svinrot
Tretåig hackspett
Fläcknycklar</t>
        </is>
      </c>
      <c r="W26">
        <f>HYPERLINK("https://klasma.github.io/Logging_1862/artfynd/A 12720-2024 artfynd.xlsx", "A 12720-2024")</f>
        <v/>
      </c>
      <c r="X26">
        <f>HYPERLINK("https://klasma.github.io/Logging_1862/kartor/A 12720-2024 karta.png", "A 12720-2024")</f>
        <v/>
      </c>
      <c r="Y26">
        <f>HYPERLINK("https://klasma.github.io/Logging_1862/kartor_geotiff/A 12720-2024 georefererad karta.tif", "A 12720-2024")</f>
        <v/>
      </c>
      <c r="AA26">
        <f>HYPERLINK("https://klasma.github.io/Logging_1862/klagomål/A 12720-2024 FSC-klagomål.docx", "A 12720-2024")</f>
        <v/>
      </c>
      <c r="AB26">
        <f>HYPERLINK("https://klasma.github.io/Logging_1862/klagomålsmail/A 12720-2024 FSC-klagomål mail.docx", "A 12720-2024")</f>
        <v/>
      </c>
      <c r="AC26">
        <f>HYPERLINK("https://klasma.github.io/Logging_1862/tillsyn/A 12720-2024 tillsynsbegäran.docx", "A 12720-2024")</f>
        <v/>
      </c>
      <c r="AD26">
        <f>HYPERLINK("https://klasma.github.io/Logging_1862/tillsynsmail/A 12720-2024 tillsynsbegäran mail.docx", "A 12720-2024")</f>
        <v/>
      </c>
      <c r="AE26">
        <f>HYPERLINK("https://klasma.github.io/Logging_1862/fåglar/A 12720-2024 prioriterade fågelarter.docx", "A 12720-2024")</f>
        <v/>
      </c>
    </row>
    <row r="27" ht="15" customHeight="1">
      <c r="A27" t="inlineStr">
        <is>
          <t>A 38914-2023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46254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5.4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Tjäder</t>
        </is>
      </c>
      <c r="W27">
        <f>HYPERLINK("https://klasma.github.io/Logging_1862/artfynd/A 38914-2023 artfynd.xlsx", "A 38914-2023")</f>
        <v/>
      </c>
      <c r="X27">
        <f>HYPERLINK("https://klasma.github.io/Logging_1862/kartor/A 38914-2023 karta.png", "A 38914-2023")</f>
        <v/>
      </c>
      <c r="Y27">
        <f>HYPERLINK("https://klasma.github.io/Logging_1862/kartor_geotiff/A 38914-2023 georefererad karta.tif", "A 38914-2023")</f>
        <v/>
      </c>
      <c r="AA27">
        <f>HYPERLINK("https://klasma.github.io/Logging_1862/klagomål/A 38914-2023 FSC-klagomål.docx", "A 38914-2023")</f>
        <v/>
      </c>
      <c r="AB27">
        <f>HYPERLINK("https://klasma.github.io/Logging_1862/klagomålsmail/A 38914-2023 FSC-klagomål mail.docx", "A 38914-2023")</f>
        <v/>
      </c>
      <c r="AC27">
        <f>HYPERLINK("https://klasma.github.io/Logging_1862/tillsyn/A 38914-2023 tillsynsbegäran.docx", "A 38914-2023")</f>
        <v/>
      </c>
      <c r="AD27">
        <f>HYPERLINK("https://klasma.github.io/Logging_1862/tillsynsmail/A 38914-2023 tillsynsbegäran mail.docx", "A 38914-2023")</f>
        <v/>
      </c>
      <c r="AE27">
        <f>HYPERLINK("https://klasma.github.io/Logging_1862/fåglar/A 38914-2023 prioriterade fågelarter.docx", "A 38914-2023")</f>
        <v/>
      </c>
    </row>
    <row r="28" ht="15" customHeight="1">
      <c r="A28" t="inlineStr">
        <is>
          <t>A 28976-2026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46254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2.3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Orange taggsvamp
Talltita</t>
        </is>
      </c>
      <c r="W28">
        <f>HYPERLINK("https://klasma.github.io/Logging_1862/artfynd/A 28976-2026 artfynd.xlsx", "A 28976-2026")</f>
        <v/>
      </c>
      <c r="X28">
        <f>HYPERLINK("https://klasma.github.io/Logging_1862/kartor/A 28976-2026 karta.png", "A 28976-2026")</f>
        <v/>
      </c>
      <c r="Y28">
        <f>HYPERLINK("https://klasma.github.io/Logging_1862/kartor_geotiff/A 28976-2026 georefererad karta.tif", "A 28976-2026")</f>
        <v/>
      </c>
      <c r="AA28">
        <f>HYPERLINK("https://klasma.github.io/Logging_1862/klagomål/A 28976-2026 FSC-klagomål.docx", "A 28976-2026")</f>
        <v/>
      </c>
      <c r="AB28">
        <f>HYPERLINK("https://klasma.github.io/Logging_1862/klagomålsmail/A 28976-2026 FSC-klagomål mail.docx", "A 28976-2026")</f>
        <v/>
      </c>
      <c r="AC28">
        <f>HYPERLINK("https://klasma.github.io/Logging_1862/tillsyn/A 28976-2026 tillsynsbegäran.docx", "A 28976-2026")</f>
        <v/>
      </c>
      <c r="AD28">
        <f>HYPERLINK("https://klasma.github.io/Logging_1862/tillsynsmail/A 28976-2026 tillsynsbegäran mail.docx", "A 28976-2026")</f>
        <v/>
      </c>
      <c r="AE28">
        <f>HYPERLINK("https://klasma.github.io/Logging_1862/fåglar/A 28976-2026 prioriterade fågelarter.docx", "A 28976-2026")</f>
        <v/>
      </c>
    </row>
    <row r="29" ht="15" customHeight="1">
      <c r="A29" t="inlineStr">
        <is>
          <t>A 47785-2025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45931</v>
      </c>
      <c r="E29" s="1" t="n">
        <v>46254</v>
      </c>
      <c r="F29" t="inlineStr">
        <is>
          <t>ÖREBRO LÄN</t>
        </is>
      </c>
      <c r="G29" t="inlineStr">
        <is>
          <t>DEGERFORS</t>
        </is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Spillkråka
Kungsfågel</t>
        </is>
      </c>
      <c r="W29">
        <f>HYPERLINK("https://klasma.github.io/Logging_1862/artfynd/A 47785-2025 artfynd.xlsx", "A 47785-2025")</f>
        <v/>
      </c>
      <c r="X29">
        <f>HYPERLINK("https://klasma.github.io/Logging_1862/kartor/A 47785-2025 karta.png", "A 47785-2025")</f>
        <v/>
      </c>
      <c r="Y29">
        <f>HYPERLINK("https://klasma.github.io/Logging_1862/kartor_geotiff/A 47785-2025 georefererad karta.tif", "A 47785-2025")</f>
        <v/>
      </c>
      <c r="AA29">
        <f>HYPERLINK("https://klasma.github.io/Logging_1862/klagomål/A 47785-2025 FSC-klagomål.docx", "A 47785-2025")</f>
        <v/>
      </c>
      <c r="AB29">
        <f>HYPERLINK("https://klasma.github.io/Logging_1862/klagomålsmail/A 47785-2025 FSC-klagomål mail.docx", "A 47785-2025")</f>
        <v/>
      </c>
      <c r="AC29">
        <f>HYPERLINK("https://klasma.github.io/Logging_1862/tillsyn/A 47785-2025 tillsynsbegäran.docx", "A 47785-2025")</f>
        <v/>
      </c>
      <c r="AD29">
        <f>HYPERLINK("https://klasma.github.io/Logging_1862/tillsynsmail/A 47785-2025 tillsynsbegäran mail.docx", "A 47785-2025")</f>
        <v/>
      </c>
      <c r="AE29">
        <f>HYPERLINK("https://klasma.github.io/Logging_1862/fåglar/A 47785-2025 prioriterade fågelarter.docx", "A 47785-2025")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46254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46254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Tjäder
Fläcknycklar</t>
        </is>
      </c>
      <c r="W31">
        <f>HYPERLINK("https://klasma.github.io/Logging_1862/artfynd/A 38910-2023 artfynd.xlsx", "A 38910-2023")</f>
        <v/>
      </c>
      <c r="X31">
        <f>HYPERLINK("https://klasma.github.io/Logging_1862/kartor/A 38910-2023 karta.png", "A 38910-2023")</f>
        <v/>
      </c>
      <c r="Y31">
        <f>HYPERLINK("https://klasma.github.io/Logging_1862/kartor_geotiff/A 38910-2023 georefererad karta.tif", "A 38910-2023")</f>
        <v/>
      </c>
      <c r="AA31">
        <f>HYPERLINK("https://klasma.github.io/Logging_1862/klagomål/A 38910-2023 FSC-klagomål.docx", "A 38910-2023")</f>
        <v/>
      </c>
      <c r="AB31">
        <f>HYPERLINK("https://klasma.github.io/Logging_1862/klagomålsmail/A 38910-2023 FSC-klagomål mail.docx", "A 38910-2023")</f>
        <v/>
      </c>
      <c r="AC31">
        <f>HYPERLINK("https://klasma.github.io/Logging_1862/tillsyn/A 38910-2023 tillsynsbegäran.docx", "A 38910-2023")</f>
        <v/>
      </c>
      <c r="AD31">
        <f>HYPERLINK("https://klasma.github.io/Logging_1862/tillsynsmail/A 38910-2023 tillsynsbegäran mail.docx", "A 38910-2023")</f>
        <v/>
      </c>
      <c r="AE31">
        <f>HYPERLINK("https://klasma.github.io/Logging_1862/fåglar/A 38910-2023 prioriterade fågelarter.docx", "A 38910-2023")</f>
        <v/>
      </c>
    </row>
    <row r="32" ht="15" customHeight="1">
      <c r="A32" t="inlineStr">
        <is>
          <t>A 38912-2023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46254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38912-2023 artfynd.xlsx", "A 38912-2023")</f>
        <v/>
      </c>
      <c r="X32">
        <f>HYPERLINK("https://klasma.github.io/Logging_1862/kartor/A 38912-2023 karta.png", "A 38912-2023")</f>
        <v/>
      </c>
      <c r="Y32">
        <f>HYPERLINK("https://klasma.github.io/Logging_1862/kartor_geotiff/A 38912-2023 georefererad karta.tif", "A 38912-2023")</f>
        <v/>
      </c>
      <c r="AA32">
        <f>HYPERLINK("https://klasma.github.io/Logging_1862/klagomål/A 38912-2023 FSC-klagomål.docx", "A 38912-2023")</f>
        <v/>
      </c>
      <c r="AB32">
        <f>HYPERLINK("https://klasma.github.io/Logging_1862/klagomålsmail/A 38912-2023 FSC-klagomål mail.docx", "A 38912-2023")</f>
        <v/>
      </c>
      <c r="AC32">
        <f>HYPERLINK("https://klasma.github.io/Logging_1862/tillsyn/A 38912-2023 tillsynsbegäran.docx", "A 38912-2023")</f>
        <v/>
      </c>
      <c r="AD32">
        <f>HYPERLINK("https://klasma.github.io/Logging_1862/tillsynsmail/A 38912-2023 tillsynsbegäran mail.docx", "A 38912-2023")</f>
        <v/>
      </c>
      <c r="AE32">
        <f>HYPERLINK("https://klasma.github.io/Logging_1862/fåglar/A 38912-2023 prioriterade fågelarter.docx", "A 38912-2023")</f>
        <v/>
      </c>
    </row>
    <row r="33" ht="15" customHeight="1">
      <c r="A33" t="inlineStr">
        <is>
          <t>A 4256-2026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46254</v>
      </c>
      <c r="F33" t="inlineStr">
        <is>
          <t>ÖREBRO LÄN</t>
        </is>
      </c>
      <c r="G33" t="inlineStr">
        <is>
          <t>DEGERFORS</t>
        </is>
      </c>
      <c r="I33" t="n">
        <v>2.9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Skogsklocka
Slåtterfibbla</t>
        </is>
      </c>
      <c r="W33">
        <f>HYPERLINK("https://klasma.github.io/Logging_1862/artfynd/A 4256-2026 artfynd.xlsx", "A 4256-2026")</f>
        <v/>
      </c>
      <c r="X33">
        <f>HYPERLINK("https://klasma.github.io/Logging_1862/kartor/A 4256-2026 karta.png", "A 4256-2026")</f>
        <v/>
      </c>
      <c r="Y33">
        <f>HYPERLINK("https://klasma.github.io/Logging_1862/kartor_geotiff/A 4256-2026 georefererad karta.tif", "A 4256-2026")</f>
        <v/>
      </c>
      <c r="AA33">
        <f>HYPERLINK("https://klasma.github.io/Logging_1862/klagomål/A 4256-2026 FSC-klagomål.docx", "A 4256-2026")</f>
        <v/>
      </c>
      <c r="AB33">
        <f>HYPERLINK("https://klasma.github.io/Logging_1862/klagomålsmail/A 4256-2026 FSC-klagomål mail.docx", "A 4256-2026")</f>
        <v/>
      </c>
      <c r="AC33">
        <f>HYPERLINK("https://klasma.github.io/Logging_1862/tillsyn/A 4256-2026 tillsynsbegäran.docx", "A 4256-2026")</f>
        <v/>
      </c>
      <c r="AD33">
        <f>HYPERLINK("https://klasma.github.io/Logging_1862/tillsynsmail/A 4256-2026 tillsynsbegäran mail.docx", "A 4256-2026")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46254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46254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46254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33297-2023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46254</v>
      </c>
      <c r="F37" t="inlineStr">
        <is>
          <t>ÖREBRO LÄN</t>
        </is>
      </c>
      <c r="G37" t="inlineStr">
        <is>
          <t>DEGERFORS</t>
        </is>
      </c>
      <c r="I37" t="n">
        <v>7.2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HYPERLINK("https://klasma.github.io/Logging_1862/artfynd/A 33297-2023 artfynd.xlsx", "A 33297-2023")</f>
        <v/>
      </c>
      <c r="X37">
        <f>HYPERLINK("https://klasma.github.io/Logging_1862/kartor/A 33297-2023 karta.png", "A 33297-2023")</f>
        <v/>
      </c>
      <c r="Y37">
        <f>HYPERLINK("https://klasma.github.io/Logging_1862/kartor_geotiff/A 33297-2023 georefererad karta.tif", "A 33297-2023")</f>
        <v/>
      </c>
      <c r="AA37">
        <f>HYPERLINK("https://klasma.github.io/Logging_1862/klagomål/A 33297-2023 FSC-klagomål.docx", "A 33297-2023")</f>
        <v/>
      </c>
      <c r="AB37">
        <f>HYPERLINK("https://klasma.github.io/Logging_1862/klagomålsmail/A 33297-2023 FSC-klagomål mail.docx", "A 33297-2023")</f>
        <v/>
      </c>
      <c r="AC37">
        <f>HYPERLINK("https://klasma.github.io/Logging_1862/tillsyn/A 33297-2023 tillsynsbegäran.docx", "A 33297-2023")</f>
        <v/>
      </c>
      <c r="AD37">
        <f>HYPERLINK("https://klasma.github.io/Logging_1862/tillsynsmail/A 33297-2023 tillsynsbegäran mail.docx", "A 33297-2023")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46254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27093-2023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45096</v>
      </c>
      <c r="E39" s="1" t="n">
        <v>46254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27093-2023 artfynd.xlsx", "A 27093-2023")</f>
        <v/>
      </c>
      <c r="X39">
        <f>HYPERLINK("https://klasma.github.io/Logging_1862/kartor/A 27093-2023 karta.png", "A 27093-2023")</f>
        <v/>
      </c>
      <c r="Y39">
        <f>HYPERLINK("https://klasma.github.io/Logging_1862/kartor_geotiff/A 27093-2023 georefererad karta.tif", "A 27093-2023")</f>
        <v/>
      </c>
      <c r="AA39">
        <f>HYPERLINK("https://klasma.github.io/Logging_1862/klagomål/A 27093-2023 FSC-klagomål.docx", "A 27093-2023")</f>
        <v/>
      </c>
      <c r="AB39">
        <f>HYPERLINK("https://klasma.github.io/Logging_1862/klagomålsmail/A 27093-2023 FSC-klagomål mail.docx", "A 27093-2023")</f>
        <v/>
      </c>
      <c r="AC39">
        <f>HYPERLINK("https://klasma.github.io/Logging_1862/tillsyn/A 27093-2023 tillsynsbegäran.docx", "A 27093-2023")</f>
        <v/>
      </c>
      <c r="AD39">
        <f>HYPERLINK("https://klasma.github.io/Logging_1862/tillsynsmail/A 27093-2023 tillsynsbegäran mail.docx", "A 27093-2023")</f>
        <v/>
      </c>
      <c r="AE39">
        <f>HYPERLINK("https://klasma.github.io/Logging_1862/fåglar/A 27093-2023 prioriterade fågelarter.docx", "A 27093-2023")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46254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14121-2022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44651</v>
      </c>
      <c r="E41" s="1" t="n">
        <v>46254</v>
      </c>
      <c r="F41" t="inlineStr">
        <is>
          <t>ÖREBRO LÄN</t>
        </is>
      </c>
      <c r="G41" t="inlineStr">
        <is>
          <t>DEGERFORS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Hårklomossa</t>
        </is>
      </c>
      <c r="W41">
        <f>HYPERLINK("https://klasma.github.io/Logging_1862/artfynd/A 14121-2022 artfynd.xlsx", "A 14121-2022")</f>
        <v/>
      </c>
      <c r="X41">
        <f>HYPERLINK("https://klasma.github.io/Logging_1862/kartor/A 14121-2022 karta.png", "A 14121-2022")</f>
        <v/>
      </c>
      <c r="Y41">
        <f>HYPERLINK("https://klasma.github.io/Logging_1862/kartor_geotiff/A 14121-2022 georefererad karta.tif", "A 14121-2022")</f>
        <v/>
      </c>
      <c r="AA41">
        <f>HYPERLINK("https://klasma.github.io/Logging_1862/klagomål/A 14121-2022 FSC-klagomål.docx", "A 14121-2022")</f>
        <v/>
      </c>
      <c r="AB41">
        <f>HYPERLINK("https://klasma.github.io/Logging_1862/klagomålsmail/A 14121-2022 FSC-klagomål mail.docx", "A 14121-2022")</f>
        <v/>
      </c>
      <c r="AC41">
        <f>HYPERLINK("https://klasma.github.io/Logging_1862/tillsyn/A 14121-2022 tillsynsbegäran.docx", "A 14121-2022")</f>
        <v/>
      </c>
      <c r="AD41">
        <f>HYPERLINK("https://klasma.github.io/Logging_1862/tillsynsmail/A 14121-2022 tillsynsbegäran mail.docx", "A 14121-2022")</f>
        <v/>
      </c>
    </row>
    <row r="42" ht="15" customHeight="1">
      <c r="A42" t="inlineStr">
        <is>
          <t>A 49306-2025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45938</v>
      </c>
      <c r="E42" s="1" t="n">
        <v>46254</v>
      </c>
      <c r="F42" t="inlineStr">
        <is>
          <t>ÖREBRO LÄN</t>
        </is>
      </c>
      <c r="G42" t="inlineStr">
        <is>
          <t>DEGERFORS</t>
        </is>
      </c>
      <c r="I42" t="n">
        <v>5.8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Svart trolldruva</t>
        </is>
      </c>
      <c r="W42">
        <f>HYPERLINK("https://klasma.github.io/Logging_1862/artfynd/A 49306-2025 artfynd.xlsx", "A 49306-2025")</f>
        <v/>
      </c>
      <c r="X42">
        <f>HYPERLINK("https://klasma.github.io/Logging_1862/kartor/A 49306-2025 karta.png", "A 49306-2025")</f>
        <v/>
      </c>
      <c r="Y42">
        <f>HYPERLINK("https://klasma.github.io/Logging_1862/kartor_geotiff/A 49306-2025 georefererad karta.tif", "A 49306-2025")</f>
        <v/>
      </c>
      <c r="AA42">
        <f>HYPERLINK("https://klasma.github.io/Logging_1862/klagomål/A 49306-2025 FSC-klagomål.docx", "A 49306-2025")</f>
        <v/>
      </c>
      <c r="AB42">
        <f>HYPERLINK("https://klasma.github.io/Logging_1862/klagomålsmail/A 49306-2025 FSC-klagomål mail.docx", "A 49306-2025")</f>
        <v/>
      </c>
      <c r="AC42">
        <f>HYPERLINK("https://klasma.github.io/Logging_1862/tillsyn/A 49306-2025 tillsynsbegäran.docx", "A 49306-2025")</f>
        <v/>
      </c>
      <c r="AD42">
        <f>HYPERLINK("https://klasma.github.io/Logging_1862/tillsynsmail/A 49306-2025 tillsynsbegäran mail.docx", "A 49306-2025")</f>
        <v/>
      </c>
    </row>
    <row r="43" ht="15" customHeight="1">
      <c r="A43" t="inlineStr">
        <is>
          <t>A 27071-2026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46186</v>
      </c>
      <c r="E43" s="1" t="n">
        <v>46254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9.9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HYPERLINK("https://klasma.github.io/Logging_1862/artfynd/A 27071-2026 artfynd.xlsx", "A 27071-2026")</f>
        <v/>
      </c>
      <c r="X43">
        <f>HYPERLINK("https://klasma.github.io/Logging_1862/kartor/A 27071-2026 karta.png", "A 27071-2026")</f>
        <v/>
      </c>
      <c r="Y43">
        <f>HYPERLINK("https://klasma.github.io/Logging_1862/kartor_geotiff/A 27071-2026 georefererad karta.tif", "A 27071-2026")</f>
        <v/>
      </c>
      <c r="AA43">
        <f>HYPERLINK("https://klasma.github.io/Logging_1862/klagomål/A 27071-2026 FSC-klagomål.docx", "A 27071-2026")</f>
        <v/>
      </c>
      <c r="AB43">
        <f>HYPERLINK("https://klasma.github.io/Logging_1862/klagomålsmail/A 27071-2026 FSC-klagomål mail.docx", "A 27071-2026")</f>
        <v/>
      </c>
      <c r="AC43">
        <f>HYPERLINK("https://klasma.github.io/Logging_1862/tillsyn/A 27071-2026 tillsynsbegäran.docx", "A 27071-2026")</f>
        <v/>
      </c>
      <c r="AD43">
        <f>HYPERLINK("https://klasma.github.io/Logging_1862/tillsynsmail/A 27071-2026 tillsynsbegäran mail.docx", "A 27071-2026")</f>
        <v/>
      </c>
    </row>
    <row r="44" ht="15" customHeight="1">
      <c r="A44" t="inlineStr">
        <is>
          <t>A 27072-2026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46186</v>
      </c>
      <c r="E44" s="1" t="n">
        <v>46254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HYPERLINK("https://klasma.github.io/Logging_1862/artfynd/A 27072-2026 artfynd.xlsx", "A 27072-2026")</f>
        <v/>
      </c>
      <c r="X44">
        <f>HYPERLINK("https://klasma.github.io/Logging_1862/kartor/A 27072-2026 karta.png", "A 27072-2026")</f>
        <v/>
      </c>
      <c r="Y44">
        <f>HYPERLINK("https://klasma.github.io/Logging_1862/kartor_geotiff/A 27072-2026 georefererad karta.tif", "A 27072-2026")</f>
        <v/>
      </c>
      <c r="AA44">
        <f>HYPERLINK("https://klasma.github.io/Logging_1862/klagomål/A 27072-2026 FSC-klagomål.docx", "A 27072-2026")</f>
        <v/>
      </c>
      <c r="AB44">
        <f>HYPERLINK("https://klasma.github.io/Logging_1862/klagomålsmail/A 27072-2026 FSC-klagomål mail.docx", "A 27072-2026")</f>
        <v/>
      </c>
      <c r="AC44">
        <f>HYPERLINK("https://klasma.github.io/Logging_1862/tillsyn/A 27072-2026 tillsynsbegäran.docx", "A 27072-2026")</f>
        <v/>
      </c>
      <c r="AD44">
        <f>HYPERLINK("https://klasma.github.io/Logging_1862/tillsynsmail/A 27072-2026 tillsynsbegäran mail.docx", "A 27072-2026")</f>
        <v/>
      </c>
      <c r="AE44">
        <f>HYPERLINK("https://klasma.github.io/Logging_1862/fåglar/A 27072-2026 prioriterade fågelarter.docx", "A 27072-2026")</f>
        <v/>
      </c>
    </row>
    <row r="45" ht="15" customHeight="1">
      <c r="A45" t="inlineStr">
        <is>
          <t>A 47941-2024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46254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Brunfläckig pärlemorfjäril</t>
        </is>
      </c>
      <c r="W45">
        <f>HYPERLINK("https://klasma.github.io/Logging_1862/artfynd/A 47941-2024 artfynd.xlsx", "A 47941-2024")</f>
        <v/>
      </c>
      <c r="X45">
        <f>HYPERLINK("https://klasma.github.io/Logging_1862/kartor/A 47941-2024 karta.png", "A 47941-2024")</f>
        <v/>
      </c>
      <c r="Y45">
        <f>HYPERLINK("https://klasma.github.io/Logging_1862/kartor_geotiff/A 47941-2024 georefererad karta.tif", "A 47941-2024")</f>
        <v/>
      </c>
      <c r="AA45">
        <f>HYPERLINK("https://klasma.github.io/Logging_1862/klagomål/A 47941-2024 FSC-klagomål.docx", "A 47941-2024")</f>
        <v/>
      </c>
      <c r="AB45">
        <f>HYPERLINK("https://klasma.github.io/Logging_1862/klagomålsmail/A 47941-2024 FSC-klagomål mail.docx", "A 47941-2024")</f>
        <v/>
      </c>
      <c r="AC45">
        <f>HYPERLINK("https://klasma.github.io/Logging_1862/tillsyn/A 47941-2024 tillsynsbegäran.docx", "A 47941-2024")</f>
        <v/>
      </c>
      <c r="AD45">
        <f>HYPERLINK("https://klasma.github.io/Logging_1862/tillsynsmail/A 47941-2024 tillsynsbegäran mail.docx", "A 47941-2024")</f>
        <v/>
      </c>
    </row>
    <row r="46" ht="15" customHeight="1">
      <c r="A46" t="inlineStr">
        <is>
          <t>A 47787-2025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45931</v>
      </c>
      <c r="E46" s="1" t="n">
        <v>46254</v>
      </c>
      <c r="F46" t="inlineStr">
        <is>
          <t>ÖREBRO LÄN</t>
        </is>
      </c>
      <c r="G46" t="inlineStr">
        <is>
          <t>DEGERFORS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Tretåig hackspett</t>
        </is>
      </c>
      <c r="W46">
        <f>HYPERLINK("https://klasma.github.io/Logging_1862/artfynd/A 47787-2025 artfynd.xlsx", "A 47787-2025")</f>
        <v/>
      </c>
      <c r="X46">
        <f>HYPERLINK("https://klasma.github.io/Logging_1862/kartor/A 47787-2025 karta.png", "A 47787-2025")</f>
        <v/>
      </c>
      <c r="Y46">
        <f>HYPERLINK("https://klasma.github.io/Logging_1862/kartor_geotiff/A 47787-2025 georefererad karta.tif", "A 47787-2025")</f>
        <v/>
      </c>
      <c r="AA46">
        <f>HYPERLINK("https://klasma.github.io/Logging_1862/klagomål/A 47787-2025 FSC-klagomål.docx", "A 47787-2025")</f>
        <v/>
      </c>
      <c r="AB46">
        <f>HYPERLINK("https://klasma.github.io/Logging_1862/klagomålsmail/A 47787-2025 FSC-klagomål mail.docx", "A 47787-2025")</f>
        <v/>
      </c>
      <c r="AC46">
        <f>HYPERLINK("https://klasma.github.io/Logging_1862/tillsyn/A 47787-2025 tillsynsbegäran.docx", "A 47787-2025")</f>
        <v/>
      </c>
      <c r="AD46">
        <f>HYPERLINK("https://klasma.github.io/Logging_1862/tillsynsmail/A 47787-2025 tillsynsbegäran mail.docx", "A 47787-2025")</f>
        <v/>
      </c>
      <c r="AE46">
        <f>HYPERLINK("https://klasma.github.io/Logging_1862/fåglar/A 47787-2025 prioriterade fågelarter.docx", "A 47787-2025")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46254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38907-2023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45163</v>
      </c>
      <c r="E48" s="1" t="n">
        <v>46254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2.9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HYPERLINK("https://klasma.github.io/Logging_1862/artfynd/A 38907-2023 artfynd.xlsx", "A 38907-2023")</f>
        <v/>
      </c>
      <c r="X48">
        <f>HYPERLINK("https://klasma.github.io/Logging_1862/kartor/A 38907-2023 karta.png", "A 38907-2023")</f>
        <v/>
      </c>
      <c r="Y48">
        <f>HYPERLINK("https://klasma.github.io/Logging_1862/kartor_geotiff/A 38907-2023 georefererad karta.tif", "A 38907-2023")</f>
        <v/>
      </c>
      <c r="AA48">
        <f>HYPERLINK("https://klasma.github.io/Logging_1862/klagomål/A 38907-2023 FSC-klagomål.docx", "A 38907-2023")</f>
        <v/>
      </c>
      <c r="AB48">
        <f>HYPERLINK("https://klasma.github.io/Logging_1862/klagomålsmail/A 38907-2023 FSC-klagomål mail.docx", "A 38907-2023")</f>
        <v/>
      </c>
      <c r="AC48">
        <f>HYPERLINK("https://klasma.github.io/Logging_1862/tillsyn/A 38907-2023 tillsynsbegäran.docx", "A 38907-2023")</f>
        <v/>
      </c>
      <c r="AD48">
        <f>HYPERLINK("https://klasma.github.io/Logging_1862/tillsynsmail/A 38907-2023 tillsynsbegäran mail.docx", "A 38907-2023")</f>
        <v/>
      </c>
      <c r="AE48">
        <f>HYPERLINK("https://klasma.github.io/Logging_1862/fåglar/A 38907-2023 prioriterade fågelarter.docx", "A 38907-2023")</f>
        <v/>
      </c>
    </row>
    <row r="49" ht="15" customHeight="1">
      <c r="A49" t="inlineStr">
        <is>
          <t>A 47915-2024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46254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HYPERLINK("https://klasma.github.io/Logging_1862/artfynd/A 47915-2024 artfynd.xlsx", "A 47915-2024")</f>
        <v/>
      </c>
      <c r="X49">
        <f>HYPERLINK("https://klasma.github.io/Logging_1862/kartor/A 47915-2024 karta.png", "A 47915-2024")</f>
        <v/>
      </c>
      <c r="Y49">
        <f>HYPERLINK("https://klasma.github.io/Logging_1862/kartor_geotiff/A 47915-2024 georefererad karta.tif", "A 47915-2024")</f>
        <v/>
      </c>
      <c r="AA49">
        <f>HYPERLINK("https://klasma.github.io/Logging_1862/klagomål/A 47915-2024 FSC-klagomål.docx", "A 47915-2024")</f>
        <v/>
      </c>
      <c r="AB49">
        <f>HYPERLINK("https://klasma.github.io/Logging_1862/klagomålsmail/A 47915-2024 FSC-klagomål mail.docx", "A 47915-2024")</f>
        <v/>
      </c>
      <c r="AC49">
        <f>HYPERLINK("https://klasma.github.io/Logging_1862/tillsyn/A 47915-2024 tillsynsbegäran.docx", "A 47915-2024")</f>
        <v/>
      </c>
      <c r="AD49">
        <f>HYPERLINK("https://klasma.github.io/Logging_1862/tillsynsmail/A 47915-2024 tillsynsbegäran mail.docx", "A 47915-2024")</f>
        <v/>
      </c>
    </row>
    <row r="50" ht="15" customHeight="1">
      <c r="A50" t="inlineStr">
        <is>
          <t>A 14177-2026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46099</v>
      </c>
      <c r="E50" s="1" t="n">
        <v>46254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HYPERLINK("https://klasma.github.io/Logging_1862/artfynd/A 14177-2026 artfynd.xlsx", "A 14177-2026")</f>
        <v/>
      </c>
      <c r="X50">
        <f>HYPERLINK("https://klasma.github.io/Logging_1862/kartor/A 14177-2026 karta.png", "A 14177-2026")</f>
        <v/>
      </c>
      <c r="Y50">
        <f>HYPERLINK("https://klasma.github.io/Logging_1862/kartor_geotiff/A 14177-2026 georefererad karta.tif", "A 14177-2026")</f>
        <v/>
      </c>
      <c r="AA50">
        <f>HYPERLINK("https://klasma.github.io/Logging_1862/klagomål/A 14177-2026 FSC-klagomål.docx", "A 14177-2026")</f>
        <v/>
      </c>
      <c r="AB50">
        <f>HYPERLINK("https://klasma.github.io/Logging_1862/klagomålsmail/A 14177-2026 FSC-klagomål mail.docx", "A 14177-2026")</f>
        <v/>
      </c>
      <c r="AC50">
        <f>HYPERLINK("https://klasma.github.io/Logging_1862/tillsyn/A 14177-2026 tillsynsbegäran.docx", "A 14177-2026")</f>
        <v/>
      </c>
      <c r="AD50">
        <f>HYPERLINK("https://klasma.github.io/Logging_1862/tillsynsmail/A 14177-2026 tillsynsbegäran mail.docx", "A 14177-2026")</f>
        <v/>
      </c>
    </row>
    <row r="51" ht="15" customHeight="1">
      <c r="A51" t="inlineStr">
        <is>
          <t>A 53838-2024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45614</v>
      </c>
      <c r="E51" s="1" t="n">
        <v>46254</v>
      </c>
      <c r="F51" t="inlineStr">
        <is>
          <t>ÖREBRO LÄN</t>
        </is>
      </c>
      <c r="G51" t="inlineStr">
        <is>
          <t>DEGERFORS</t>
        </is>
      </c>
      <c r="I51" t="n">
        <v>4.3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53838-2024 artfynd.xlsx", "A 53838-2024")</f>
        <v/>
      </c>
      <c r="X51">
        <f>HYPERLINK("https://klasma.github.io/Logging_1862/kartor/A 53838-2024 karta.png", "A 53838-2024")</f>
        <v/>
      </c>
      <c r="Y51">
        <f>HYPERLINK("https://klasma.github.io/Logging_1862/kartor_geotiff/A 53838-2024 georefererad karta.tif", "A 53838-2024")</f>
        <v/>
      </c>
      <c r="AA51">
        <f>HYPERLINK("https://klasma.github.io/Logging_1862/klagomål/A 53838-2024 FSC-klagomål.docx", "A 53838-2024")</f>
        <v/>
      </c>
      <c r="AB51">
        <f>HYPERLINK("https://klasma.github.io/Logging_1862/klagomålsmail/A 53838-2024 FSC-klagomål mail.docx", "A 53838-2024")</f>
        <v/>
      </c>
      <c r="AC51">
        <f>HYPERLINK("https://klasma.github.io/Logging_1862/tillsyn/A 53838-2024 tillsynsbegäran.docx", "A 53838-2024")</f>
        <v/>
      </c>
      <c r="AD51">
        <f>HYPERLINK("https://klasma.github.io/Logging_1862/tillsynsmail/A 53838-2024 tillsynsbegäran mail.docx", "A 53838-2024")</f>
        <v/>
      </c>
      <c r="AE51">
        <f>HYPERLINK("https://klasma.github.io/Logging_1862/fåglar/A 53838-2024 prioriterade fågelarter.docx", "A 53838-2024")</f>
        <v/>
      </c>
    </row>
    <row r="52" ht="15" customHeight="1">
      <c r="A52" t="inlineStr">
        <is>
          <t>A 2357-2022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46254</v>
      </c>
      <c r="F52" t="inlineStr">
        <is>
          <t>ÖREBRO LÄN</t>
        </is>
      </c>
      <c r="G52" t="inlineStr">
        <is>
          <t>DEGERFORS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2357-2022 artfynd.xlsx", "A 2357-2022")</f>
        <v/>
      </c>
      <c r="X52">
        <f>HYPERLINK("https://klasma.github.io/Logging_1862/kartor/A 2357-2022 karta.png", "A 2357-2022")</f>
        <v/>
      </c>
      <c r="Y52">
        <f>HYPERLINK("https://klasma.github.io/Logging_1862/kartor_geotiff/A 2357-2022 georefererad karta.tif", "A 2357-2022")</f>
        <v/>
      </c>
      <c r="AA52">
        <f>HYPERLINK("https://klasma.github.io/Logging_1862/klagomål/A 2357-2022 FSC-klagomål.docx", "A 2357-2022")</f>
        <v/>
      </c>
      <c r="AB52">
        <f>HYPERLINK("https://klasma.github.io/Logging_1862/klagomålsmail/A 2357-2022 FSC-klagomål mail.docx", "A 2357-2022")</f>
        <v/>
      </c>
      <c r="AC52">
        <f>HYPERLINK("https://klasma.github.io/Logging_1862/tillsyn/A 2357-2022 tillsynsbegäran.docx", "A 2357-2022")</f>
        <v/>
      </c>
      <c r="AD52">
        <f>HYPERLINK("https://klasma.github.io/Logging_1862/tillsynsmail/A 2357-2022 tillsynsbegäran mail.docx", "A 2357-2022")</f>
        <v/>
      </c>
      <c r="AE52">
        <f>HYPERLINK("https://klasma.github.io/Logging_1862/fåglar/A 2357-2022 prioriterade fågelarter.docx", "A 2357-2022")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46254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46254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46254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46254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46254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46254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46254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46254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46254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46254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46254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46254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46254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46254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46254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46254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46254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46254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7975-2025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45707</v>
      </c>
      <c r="E71" s="1" t="n">
        <v>46254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18675-2025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46254</v>
      </c>
      <c r="F72" t="inlineStr">
        <is>
          <t>ÖREBRO LÄN</t>
        </is>
      </c>
      <c r="G72" t="inlineStr">
        <is>
          <t>DEGERFORS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44754</v>
      </c>
      <c r="E73" s="1" t="n">
        <v>46254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37672-2024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45541</v>
      </c>
      <c r="E74" s="1" t="n">
        <v>46254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56478-2024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46254</v>
      </c>
      <c r="F75" t="inlineStr">
        <is>
          <t>ÖREBRO LÄN</t>
        </is>
      </c>
      <c r="G75" t="inlineStr">
        <is>
          <t>DEGERFORS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46254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44986</v>
      </c>
      <c r="E77" s="1" t="n">
        <v>46254</v>
      </c>
      <c r="F77" t="inlineStr">
        <is>
          <t>ÖREBRO LÄN</t>
        </is>
      </c>
      <c r="G77" t="inlineStr">
        <is>
          <t>DEGERFORS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45535</v>
      </c>
      <c r="E78" s="1" t="n">
        <v>46254</v>
      </c>
      <c r="F78" t="inlineStr">
        <is>
          <t>ÖREBRO LÄN</t>
        </is>
      </c>
      <c r="G78" t="inlineStr">
        <is>
          <t>DEGERFORS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45163</v>
      </c>
      <c r="E79" s="1" t="n">
        <v>46254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46254</v>
      </c>
      <c r="F80" t="inlineStr">
        <is>
          <t>ÖREBRO LÄN</t>
        </is>
      </c>
      <c r="G80" t="inlineStr">
        <is>
          <t>DEGERFORS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60907-2023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45261</v>
      </c>
      <c r="E81" s="1" t="n">
        <v>46254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46254</v>
      </c>
      <c r="F82" t="inlineStr">
        <is>
          <t>ÖREBRO LÄN</t>
        </is>
      </c>
      <c r="G82" t="inlineStr">
        <is>
          <t>DEGERFORS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50766-2024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46254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46254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44582</v>
      </c>
      <c r="E85" s="1" t="n">
        <v>46254</v>
      </c>
      <c r="F85" t="inlineStr">
        <is>
          <t>ÖREBRO LÄN</t>
        </is>
      </c>
      <c r="G85" t="inlineStr">
        <is>
          <t>DEGERFORS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45609</v>
      </c>
      <c r="E86" s="1" t="n">
        <v>46254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54994-2024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45621</v>
      </c>
      <c r="E87" s="1" t="n">
        <v>46254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46254</v>
      </c>
      <c r="F88" t="inlineStr">
        <is>
          <t>ÖREBRO LÄN</t>
        </is>
      </c>
      <c r="G88" t="inlineStr">
        <is>
          <t>DEGERFORS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13236-2025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45735</v>
      </c>
      <c r="E89" s="1" t="n">
        <v>46254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38233-2023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45160</v>
      </c>
      <c r="E90" s="1" t="n">
        <v>46254</v>
      </c>
      <c r="F90" t="inlineStr">
        <is>
          <t>ÖREBRO LÄN</t>
        </is>
      </c>
      <c r="G90" t="inlineStr">
        <is>
          <t>DEGERFORS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10674-2024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45369</v>
      </c>
      <c r="E91" s="1" t="n">
        <v>46254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60933-2024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45645</v>
      </c>
      <c r="E92" s="1" t="n">
        <v>46254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46254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54082-2024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46254</v>
      </c>
      <c r="F94" t="inlineStr">
        <is>
          <t>ÖREBRO LÄN</t>
        </is>
      </c>
      <c r="G94" t="inlineStr">
        <is>
          <t>DEGERFORS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73693-2021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46254</v>
      </c>
      <c r="F95" t="inlineStr">
        <is>
          <t>ÖREBRO LÄN</t>
        </is>
      </c>
      <c r="G95" t="inlineStr">
        <is>
          <t>DEGERFORS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46254</v>
      </c>
      <c r="F96" t="inlineStr">
        <is>
          <t>ÖREBRO LÄN</t>
        </is>
      </c>
      <c r="G96" t="inlineStr">
        <is>
          <t>DEGERFORS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60937-2024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45645</v>
      </c>
      <c r="E97" s="1" t="n">
        <v>46254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45645</v>
      </c>
      <c r="E98" s="1" t="n">
        <v>46254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45219</v>
      </c>
      <c r="E99" s="1" t="n">
        <v>46254</v>
      </c>
      <c r="F99" t="inlineStr">
        <is>
          <t>ÖREBRO LÄN</t>
        </is>
      </c>
      <c r="G99" t="inlineStr">
        <is>
          <t>DEGERFORS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46254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46254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20478-2026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46254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38874-2025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46254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46254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45629</v>
      </c>
      <c r="E105" s="1" t="n">
        <v>46254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21440-2026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46254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46254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46254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46148</v>
      </c>
      <c r="E109" s="1" t="n">
        <v>46254</v>
      </c>
      <c r="F109" t="inlineStr">
        <is>
          <t>ÖREBRO LÄN</t>
        </is>
      </c>
      <c r="G109" t="inlineStr">
        <is>
          <t>DEGERFORS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21660-2026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46149</v>
      </c>
      <c r="E110" s="1" t="n">
        <v>46254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46254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21442-2026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46148</v>
      </c>
      <c r="E112" s="1" t="n">
        <v>46254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46148</v>
      </c>
      <c r="E113" s="1" t="n">
        <v>46254</v>
      </c>
      <c r="F113" t="inlineStr">
        <is>
          <t>ÖREBRO LÄN</t>
        </is>
      </c>
      <c r="G113" t="inlineStr">
        <is>
          <t>DEGERFORS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21662-2026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46149</v>
      </c>
      <c r="E114" s="1" t="n">
        <v>46254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45190</v>
      </c>
      <c r="E115" s="1" t="n">
        <v>46254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46254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46254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46254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46254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46254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23230-2026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46162</v>
      </c>
      <c r="E121" s="1" t="n">
        <v>46254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23229-2026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46162</v>
      </c>
      <c r="E122" s="1" t="n">
        <v>46254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21952-2024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45443</v>
      </c>
      <c r="E123" s="1" t="n">
        <v>46254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43689-2025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45912</v>
      </c>
      <c r="E124" s="1" t="n">
        <v>46254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14678-2025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45742</v>
      </c>
      <c r="E125" s="1" t="n">
        <v>46254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46167</v>
      </c>
      <c r="E126" s="1" t="n">
        <v>46254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46254</v>
      </c>
      <c r="F127" t="inlineStr">
        <is>
          <t>ÖREBRO LÄN</t>
        </is>
      </c>
      <c r="G127" t="inlineStr">
        <is>
          <t>DEGERFORS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12143-2025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45729</v>
      </c>
      <c r="E128" s="1" t="n">
        <v>46254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24460-2026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46170</v>
      </c>
      <c r="E129" s="1" t="n">
        <v>46254</v>
      </c>
      <c r="F129" t="inlineStr">
        <is>
          <t>ÖREBRO LÄN</t>
        </is>
      </c>
      <c r="G129" t="inlineStr">
        <is>
          <t>DEGERFORS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46170</v>
      </c>
      <c r="E130" s="1" t="n">
        <v>46254</v>
      </c>
      <c r="F130" t="inlineStr">
        <is>
          <t>ÖREBRO LÄN</t>
        </is>
      </c>
      <c r="G130" t="inlineStr">
        <is>
          <t>DEGERFORS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51653-2023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45222</v>
      </c>
      <c r="E131" s="1" t="n">
        <v>46254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20577-2023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45057</v>
      </c>
      <c r="E132" s="1" t="n">
        <v>46254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45192</v>
      </c>
      <c r="E133" s="1" t="n">
        <v>46254</v>
      </c>
      <c r="F133" t="inlineStr">
        <is>
          <t>ÖREBRO LÄN</t>
        </is>
      </c>
      <c r="G133" t="inlineStr">
        <is>
          <t>DEGERFORS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6387-2024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45338</v>
      </c>
      <c r="E134" s="1" t="n">
        <v>46254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46171</v>
      </c>
      <c r="E135" s="1" t="n">
        <v>46254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45337</v>
      </c>
      <c r="E136" s="1" t="n">
        <v>46254</v>
      </c>
      <c r="F136" t="inlineStr">
        <is>
          <t>ÖREBRO LÄN</t>
        </is>
      </c>
      <c r="G136" t="inlineStr">
        <is>
          <t>DEGERFORS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45936</v>
      </c>
      <c r="E137" s="1" t="n">
        <v>46254</v>
      </c>
      <c r="F137" t="inlineStr">
        <is>
          <t>ÖREBRO LÄN</t>
        </is>
      </c>
      <c r="G137" t="inlineStr">
        <is>
          <t>DEGERFORS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6394-2024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45338</v>
      </c>
      <c r="E138" s="1" t="n">
        <v>46254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11085-2023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44986</v>
      </c>
      <c r="E139" s="1" t="n">
        <v>46254</v>
      </c>
      <c r="F139" t="inlineStr">
        <is>
          <t>ÖREBRO LÄN</t>
        </is>
      </c>
      <c r="G139" t="inlineStr">
        <is>
          <t>DEGERFORS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31870-2026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46231</v>
      </c>
      <c r="E140" s="1" t="n">
        <v>46254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31871-2026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46231</v>
      </c>
      <c r="E141" s="1" t="n">
        <v>46254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46230</v>
      </c>
      <c r="E142" s="1" t="n">
        <v>46254</v>
      </c>
      <c r="F142" t="inlineStr">
        <is>
          <t>ÖREBRO LÄN</t>
        </is>
      </c>
      <c r="G142" t="inlineStr">
        <is>
          <t>DEGERFORS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46254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46185</v>
      </c>
      <c r="E144" s="1" t="n">
        <v>46254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26947-2026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46185</v>
      </c>
      <c r="E145" s="1" t="n">
        <v>46254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31872-2026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46231</v>
      </c>
      <c r="E146" s="1" t="n">
        <v>46254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27411-2026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46189</v>
      </c>
      <c r="E147" s="1" t="n">
        <v>46254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46254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46254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46254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46254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5277-2024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45330</v>
      </c>
      <c r="E152" s="1" t="n">
        <v>46254</v>
      </c>
      <c r="F152" t="inlineStr">
        <is>
          <t>ÖREBRO LÄN</t>
        </is>
      </c>
      <c r="G152" t="inlineStr">
        <is>
          <t>DEGERFORS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46239</v>
      </c>
      <c r="E153" s="1" t="n">
        <v>46254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50378-2024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45601</v>
      </c>
      <c r="E154" s="1" t="n">
        <v>46254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45952</v>
      </c>
      <c r="E155" s="1" t="n">
        <v>46254</v>
      </c>
      <c r="F155" t="inlineStr">
        <is>
          <t>ÖREBRO LÄN</t>
        </is>
      </c>
      <c r="G155" t="inlineStr">
        <is>
          <t>DEGERFORS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46254</v>
      </c>
      <c r="F156" t="inlineStr">
        <is>
          <t>ÖREBRO LÄN</t>
        </is>
      </c>
      <c r="G156" t="inlineStr">
        <is>
          <t>DEGERFORS</t>
        </is>
      </c>
      <c r="I156" t="n">
        <v>17.2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46239</v>
      </c>
      <c r="E157" s="1" t="n">
        <v>46254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46198</v>
      </c>
      <c r="E158" s="1" t="n">
        <v>46254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46254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32810-2026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46241</v>
      </c>
      <c r="E160" s="1" t="n">
        <v>46254</v>
      </c>
      <c r="F160" t="inlineStr">
        <is>
          <t>ÖREBRO LÄN</t>
        </is>
      </c>
      <c r="G160" t="inlineStr">
        <is>
          <t>DEGERFORS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46254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46198</v>
      </c>
      <c r="E162" s="1" t="n">
        <v>46254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45222</v>
      </c>
      <c r="E163" s="1" t="n">
        <v>46254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29130-2026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46202</v>
      </c>
      <c r="E164" s="1" t="n">
        <v>46254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10.3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46199</v>
      </c>
      <c r="E165" s="1" t="n">
        <v>46254</v>
      </c>
      <c r="F165" t="inlineStr">
        <is>
          <t>ÖREBRO LÄN</t>
        </is>
      </c>
      <c r="G165" t="inlineStr">
        <is>
          <t>DEGERFORS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46202</v>
      </c>
      <c r="E166" s="1" t="n">
        <v>46254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44457-2022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46254</v>
      </c>
      <c r="F167" t="inlineStr">
        <is>
          <t>ÖREBRO LÄN</t>
        </is>
      </c>
      <c r="G167" t="inlineStr">
        <is>
          <t>DEGERFORS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45971</v>
      </c>
      <c r="E168" s="1" t="n">
        <v>46254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44781</v>
      </c>
      <c r="E169" s="1" t="n">
        <v>46254</v>
      </c>
      <c r="F169" t="inlineStr">
        <is>
          <t>ÖREBRO LÄN</t>
        </is>
      </c>
      <c r="G169" t="inlineStr">
        <is>
          <t>DEGERFORS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46204</v>
      </c>
      <c r="E170" s="1" t="n">
        <v>46254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13405-2024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45387</v>
      </c>
      <c r="E171" s="1" t="n">
        <v>46254</v>
      </c>
      <c r="F171" t="inlineStr">
        <is>
          <t>ÖREBRO LÄN</t>
        </is>
      </c>
      <c r="G171" t="inlineStr">
        <is>
          <t>DEGERFORS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45384</v>
      </c>
      <c r="E172" s="1" t="n">
        <v>46254</v>
      </c>
      <c r="F172" t="inlineStr">
        <is>
          <t>ÖREBRO LÄN</t>
        </is>
      </c>
      <c r="G172" t="inlineStr">
        <is>
          <t>DEGERFORS</t>
        </is>
      </c>
      <c r="H172" t="inlineStr">
        <is>
          <t>Sveaskog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57086-2025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45979</v>
      </c>
      <c r="E173" s="1" t="n">
        <v>46254</v>
      </c>
      <c r="F173" t="inlineStr">
        <is>
          <t>ÖREBRO LÄN</t>
        </is>
      </c>
      <c r="G173" t="inlineStr">
        <is>
          <t>DEGERFORS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46254</v>
      </c>
      <c r="F174" t="inlineStr">
        <is>
          <t>ÖREBRO LÄN</t>
        </is>
      </c>
      <c r="G174" t="inlineStr">
        <is>
          <t>DEGERFORS</t>
        </is>
      </c>
      <c r="I174" t="n">
        <v>5.8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60708-2025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45996</v>
      </c>
      <c r="E175" s="1" t="n">
        <v>46254</v>
      </c>
      <c r="F175" t="inlineStr">
        <is>
          <t>ÖREBRO LÄN</t>
        </is>
      </c>
      <c r="G175" t="inlineStr">
        <is>
          <t>DEGERFORS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46254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48118-2023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45205</v>
      </c>
      <c r="E177" s="1" t="n">
        <v>46254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44509</v>
      </c>
      <c r="E178" s="1" t="n">
        <v>46254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44816</v>
      </c>
      <c r="E179" s="1" t="n">
        <v>46254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47935-2024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45589</v>
      </c>
      <c r="E180" s="1" t="n">
        <v>46254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46254</v>
      </c>
      <c r="F181" t="inlineStr">
        <is>
          <t>ÖREBRO LÄN</t>
        </is>
      </c>
      <c r="G181" t="inlineStr">
        <is>
          <t>DEGERFORS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50377-2024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45601</v>
      </c>
      <c r="E182" s="1" t="n">
        <v>46254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45351</v>
      </c>
      <c r="E183" s="1" t="n">
        <v>46254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44735-2021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44438</v>
      </c>
      <c r="E184" s="1" t="n">
        <v>46254</v>
      </c>
      <c r="F184" t="inlineStr">
        <is>
          <t>ÖREBRO LÄN</t>
        </is>
      </c>
      <c r="G184" t="inlineStr">
        <is>
          <t>DEGERFORS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45106</v>
      </c>
      <c r="E185" s="1" t="n">
        <v>46254</v>
      </c>
      <c r="F185" t="inlineStr">
        <is>
          <t>ÖREBRO LÄN</t>
        </is>
      </c>
      <c r="G185" t="inlineStr">
        <is>
          <t>DEGERFORS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59158-2022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44904</v>
      </c>
      <c r="E186" s="1" t="n">
        <v>46254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18773-2025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45763</v>
      </c>
      <c r="E187" s="1" t="n">
        <v>46254</v>
      </c>
      <c r="F187" t="inlineStr">
        <is>
          <t>ÖREBRO LÄN</t>
        </is>
      </c>
      <c r="G187" t="inlineStr">
        <is>
          <t>DEGERFORS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44986</v>
      </c>
      <c r="E188" s="1" t="n">
        <v>46254</v>
      </c>
      <c r="F188" t="inlineStr">
        <is>
          <t>ÖREBRO LÄN</t>
        </is>
      </c>
      <c r="G188" t="inlineStr">
        <is>
          <t>DEGERFORS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44989</v>
      </c>
      <c r="E189" s="1" t="n">
        <v>46254</v>
      </c>
      <c r="F189" t="inlineStr">
        <is>
          <t>ÖREBRO LÄN</t>
        </is>
      </c>
      <c r="G189" t="inlineStr">
        <is>
          <t>DEGERFORS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11084-2023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44986</v>
      </c>
      <c r="E190" s="1" t="n">
        <v>46254</v>
      </c>
      <c r="F190" t="inlineStr">
        <is>
          <t>ÖREBRO LÄN</t>
        </is>
      </c>
      <c r="G190" t="inlineStr">
        <is>
          <t>DEGERFORS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46254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33658-2024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45520</v>
      </c>
      <c r="E192" s="1" t="n">
        <v>46254</v>
      </c>
      <c r="F192" t="inlineStr">
        <is>
          <t>ÖREBRO LÄN</t>
        </is>
      </c>
      <c r="G192" t="inlineStr">
        <is>
          <t>DEGERFORS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45861-2023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45195</v>
      </c>
      <c r="E193" s="1" t="n">
        <v>46254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46254</v>
      </c>
      <c r="F194" t="inlineStr">
        <is>
          <t>ÖREBRO LÄN</t>
        </is>
      </c>
      <c r="G194" t="inlineStr">
        <is>
          <t>DEGERFORS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44816</v>
      </c>
      <c r="E195" s="1" t="n">
        <v>46254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9273-2026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46070</v>
      </c>
      <c r="E196" s="1" t="n">
        <v>46254</v>
      </c>
      <c r="F196" t="inlineStr">
        <is>
          <t>ÖREBRO LÄN</t>
        </is>
      </c>
      <c r="G196" t="inlineStr">
        <is>
          <t>DEGERFORS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12159-2026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46086</v>
      </c>
      <c r="E197" s="1" t="n">
        <v>46254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46254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52131-2021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44463</v>
      </c>
      <c r="E199" s="1" t="n">
        <v>46254</v>
      </c>
      <c r="F199" t="inlineStr">
        <is>
          <t>ÖREBRO LÄN</t>
        </is>
      </c>
      <c r="G199" t="inlineStr">
        <is>
          <t>DEGERFORS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12936-2026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46092</v>
      </c>
      <c r="E200" s="1" t="n">
        <v>46254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8.800000000000001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46094</v>
      </c>
      <c r="E201" s="1" t="n">
        <v>46254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46254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7.1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46093</v>
      </c>
      <c r="E203" s="1" t="n">
        <v>46254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61750-2021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44501</v>
      </c>
      <c r="E204" s="1" t="n">
        <v>46254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46254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46254</v>
      </c>
      <c r="F206" t="inlineStr">
        <is>
          <t>ÖREBRO LÄN</t>
        </is>
      </c>
      <c r="G206" t="inlineStr">
        <is>
          <t>DEGERFORS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50208-2024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45600</v>
      </c>
      <c r="E207" s="1" t="n">
        <v>46254</v>
      </c>
      <c r="F207" t="inlineStr">
        <is>
          <t>ÖREBRO LÄN</t>
        </is>
      </c>
      <c r="G207" t="inlineStr">
        <is>
          <t>DEGERFORS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46254</v>
      </c>
      <c r="F208" t="inlineStr">
        <is>
          <t>ÖREBRO LÄN</t>
        </is>
      </c>
      <c r="G208" t="inlineStr">
        <is>
          <t>DEGERFORS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46254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46254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46254</v>
      </c>
      <c r="F211" t="inlineStr">
        <is>
          <t>ÖREBRO LÄN</t>
        </is>
      </c>
      <c r="G211" t="inlineStr">
        <is>
          <t>DEGERFORS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46132</v>
      </c>
      <c r="E212" s="1" t="n">
        <v>46254</v>
      </c>
      <c r="F212" t="inlineStr">
        <is>
          <t>ÖREBRO LÄN</t>
        </is>
      </c>
      <c r="G212" t="inlineStr">
        <is>
          <t>DEGERFORS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32154-2023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46254</v>
      </c>
      <c r="F213" t="inlineStr">
        <is>
          <t>ÖREBRO LÄN</t>
        </is>
      </c>
      <c r="G213" t="inlineStr">
        <is>
          <t>DEGERFORS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45474</v>
      </c>
      <c r="E214" s="1" t="n">
        <v>46254</v>
      </c>
      <c r="F214" t="inlineStr">
        <is>
          <t>ÖREBRO LÄN</t>
        </is>
      </c>
      <c r="G214" t="inlineStr">
        <is>
          <t>DEGERFORS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46288-2024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45581</v>
      </c>
      <c r="E215" s="1" t="n">
        <v>46254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46254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46254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45215</v>
      </c>
      <c r="E218" s="1" t="n">
        <v>46254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45272</v>
      </c>
      <c r="E219" s="1" t="n">
        <v>46254</v>
      </c>
      <c r="F219" t="inlineStr">
        <is>
          <t>ÖREBRO LÄN</t>
        </is>
      </c>
      <c r="G219" t="inlineStr">
        <is>
          <t>DEGERFORS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45443</v>
      </c>
      <c r="E220" s="1" t="n">
        <v>46254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23460-2024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45453</v>
      </c>
      <c r="E221" s="1" t="n">
        <v>46254</v>
      </c>
      <c r="F221" t="inlineStr">
        <is>
          <t>ÖREBRO LÄN</t>
        </is>
      </c>
      <c r="G221" t="inlineStr">
        <is>
          <t>DEGERFORS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24707-2025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45798</v>
      </c>
      <c r="E222" s="1" t="n">
        <v>46254</v>
      </c>
      <c r="F222" t="inlineStr">
        <is>
          <t>ÖREBRO LÄN</t>
        </is>
      </c>
      <c r="G222" t="inlineStr">
        <is>
          <t>DEGERFORS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46254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26820-2025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45810</v>
      </c>
      <c r="E224" s="1" t="n">
        <v>46254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46254</v>
      </c>
      <c r="F225" t="inlineStr">
        <is>
          <t>ÖREBRO LÄN</t>
        </is>
      </c>
      <c r="G225" t="inlineStr">
        <is>
          <t>DEGERFORS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28367-2025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45819</v>
      </c>
      <c r="E226" s="1" t="n">
        <v>46254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45819</v>
      </c>
      <c r="E227" s="1" t="n">
        <v>46254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8.1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44719</v>
      </c>
      <c r="E228" s="1" t="n">
        <v>46254</v>
      </c>
      <c r="F228" t="inlineStr">
        <is>
          <t>ÖREBRO LÄN</t>
        </is>
      </c>
      <c r="G228" t="inlineStr">
        <is>
          <t>DEGERFORS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46254</v>
      </c>
      <c r="F229" t="inlineStr">
        <is>
          <t>ÖREBRO LÄN</t>
        </is>
      </c>
      <c r="G229" t="inlineStr">
        <is>
          <t>DEGERFORS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45639</v>
      </c>
      <c r="E230" s="1" t="n">
        <v>46254</v>
      </c>
      <c r="F230" t="inlineStr">
        <is>
          <t>ÖREBRO LÄN</t>
        </is>
      </c>
      <c r="G230" t="inlineStr">
        <is>
          <t>DEGERFORS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37333-2025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45876</v>
      </c>
      <c r="E231" s="1" t="n">
        <v>46254</v>
      </c>
      <c r="F231" t="inlineStr">
        <is>
          <t>ÖREBRO LÄN</t>
        </is>
      </c>
      <c r="G231" t="inlineStr">
        <is>
          <t>DEGERFORS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37265-2025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45876</v>
      </c>
      <c r="E232" s="1" t="n">
        <v>46254</v>
      </c>
      <c r="F232" t="inlineStr">
        <is>
          <t>ÖREBRO LÄN</t>
        </is>
      </c>
      <c r="G232" t="inlineStr">
        <is>
          <t>DEGERFORS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46254</v>
      </c>
      <c r="F233" t="inlineStr">
        <is>
          <t>ÖREBRO LÄN</t>
        </is>
      </c>
      <c r="G233" t="inlineStr">
        <is>
          <t>DEGERFORS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46254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46254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46254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46254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46254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46254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46254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46254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2026-08-20T01:48:16Z</dcterms:created>
  <dcterms:modified xmlns:dcterms="http://purl.org/dc/terms/" xmlns:xsi="http://www.w3.org/2001/XMLSchema-instance" xsi:type="dcterms:W3CDTF">2026-08-20T01:48:16Z</dcterms:modified>
</cp:coreProperties>
</file>