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46280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46280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46280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46280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46280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46280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46280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46280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46280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46280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46280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46280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46280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46280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46280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46280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46280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46280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14177-2026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46280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HYPERLINK("https://klasma.github.io/Logging_1862/artfynd/A 14177-2026 artfynd.xlsx", "A 14177-2026")</f>
        <v/>
      </c>
      <c r="X41">
        <f>HYPERLINK("https://klasma.github.io/Logging_1862/kartor/A 14177-2026 karta.png", "A 14177-2026")</f>
        <v/>
      </c>
      <c r="Y41">
        <f>HYPERLINK("https://klasma.github.io/Logging_1862/kartor_geotiff/A 14177-2026 georefererad karta.tif", "A 14177-2026")</f>
        <v/>
      </c>
      <c r="AA41">
        <f>HYPERLINK("https://klasma.github.io/Logging_1862/klagomål/A 14177-2026 FSC-klagomål.docx", "A 14177-2026")</f>
        <v/>
      </c>
      <c r="AB41">
        <f>HYPERLINK("https://klasma.github.io/Logging_1862/klagomålsmail/A 14177-2026 FSC-klagomål mail.docx", "A 14177-2026")</f>
        <v/>
      </c>
      <c r="AC41">
        <f>HYPERLINK("https://klasma.github.io/Logging_1862/tillsyn/A 14177-2026 tillsynsbegäran.docx", "A 14177-2026")</f>
        <v/>
      </c>
      <c r="AD41">
        <f>HYPERLINK("https://klasma.github.io/Logging_1862/tillsynsmail/A 14177-2026 tillsynsbegäran mail.docx", "A 14177-2026")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46280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46280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46280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46280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46280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46280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26971-2026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46280</v>
      </c>
      <c r="F48" t="inlineStr">
        <is>
          <t>ÖREBRO LÄN</t>
        </is>
      </c>
      <c r="G48" t="inlineStr">
        <is>
          <t>DEGERFORS</t>
        </is>
      </c>
      <c r="I48" t="n">
        <v>2.1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HYPERLINK("https://klasma.github.io/Logging_1862/artfynd/A 26971-2026 artfynd.xlsx", "A 26971-2026")</f>
        <v/>
      </c>
      <c r="X48">
        <f>HYPERLINK("https://klasma.github.io/Logging_1862/kartor/A 26971-2026 karta.png", "A 26971-2026")</f>
        <v/>
      </c>
      <c r="Y48">
        <f>HYPERLINK("https://klasma.github.io/Logging_1862/kartor_geotiff/A 26971-2026 georefererad karta.tif", "A 26971-2026")</f>
        <v/>
      </c>
      <c r="AA48">
        <f>HYPERLINK("https://klasma.github.io/Logging_1862/klagomål/A 26971-2026 FSC-klagomål.docx", "A 26971-2026")</f>
        <v/>
      </c>
      <c r="AB48">
        <f>HYPERLINK("https://klasma.github.io/Logging_1862/klagomålsmail/A 26971-2026 FSC-klagomål mail.docx", "A 26971-2026")</f>
        <v/>
      </c>
      <c r="AC48">
        <f>HYPERLINK("https://klasma.github.io/Logging_1862/tillsyn/A 26971-2026 tillsynsbegäran.docx", "A 26971-2026")</f>
        <v/>
      </c>
      <c r="AD48">
        <f>HYPERLINK("https://klasma.github.io/Logging_1862/tillsynsmail/A 26971-2026 tillsynsbegäran mail.docx", "A 26971-2026")</f>
        <v/>
      </c>
    </row>
    <row r="49" ht="15" customHeight="1">
      <c r="A49" t="inlineStr">
        <is>
          <t>A 47941-2024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46280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Brunfläckig pärlemorfjäril</t>
        </is>
      </c>
      <c r="W49">
        <f>HYPERLINK("https://klasma.github.io/Logging_1862/artfynd/A 47941-2024 artfynd.xlsx", "A 47941-2024")</f>
        <v/>
      </c>
      <c r="X49">
        <f>HYPERLINK("https://klasma.github.io/Logging_1862/kartor/A 47941-2024 karta.png", "A 47941-2024")</f>
        <v/>
      </c>
      <c r="Y49">
        <f>HYPERLINK("https://klasma.github.io/Logging_1862/kartor_geotiff/A 47941-2024 georefererad karta.tif", "A 47941-2024")</f>
        <v/>
      </c>
      <c r="AA49">
        <f>HYPERLINK("https://klasma.github.io/Logging_1862/klagomål/A 47941-2024 FSC-klagomål.docx", "A 47941-2024")</f>
        <v/>
      </c>
      <c r="AB49">
        <f>HYPERLINK("https://klasma.github.io/Logging_1862/klagomålsmail/A 47941-2024 FSC-klagomål mail.docx", "A 47941-2024")</f>
        <v/>
      </c>
      <c r="AC49">
        <f>HYPERLINK("https://klasma.github.io/Logging_1862/tillsyn/A 47941-2024 tillsynsbegäran.docx", "A 47941-2024")</f>
        <v/>
      </c>
      <c r="AD49">
        <f>HYPERLINK("https://klasma.github.io/Logging_1862/tillsynsmail/A 47941-2024 tillsynsbegäran mail.docx", "A 47941-2024")</f>
        <v/>
      </c>
    </row>
    <row r="50" ht="15" customHeight="1">
      <c r="A50" t="inlineStr">
        <is>
          <t>A 47915-2024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46280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47915-2024 artfynd.xlsx", "A 47915-2024")</f>
        <v/>
      </c>
      <c r="X50">
        <f>HYPERLINK("https://klasma.github.io/Logging_1862/kartor/A 47915-2024 karta.png", "A 47915-2024")</f>
        <v/>
      </c>
      <c r="Y50">
        <f>HYPERLINK("https://klasma.github.io/Logging_1862/kartor_geotiff/A 47915-2024 georefererad karta.tif", "A 47915-2024")</f>
        <v/>
      </c>
      <c r="AA50">
        <f>HYPERLINK("https://klasma.github.io/Logging_1862/klagomål/A 47915-2024 FSC-klagomål.docx", "A 47915-2024")</f>
        <v/>
      </c>
      <c r="AB50">
        <f>HYPERLINK("https://klasma.github.io/Logging_1862/klagomålsmail/A 47915-2024 FSC-klagomål mail.docx", "A 47915-2024")</f>
        <v/>
      </c>
      <c r="AC50">
        <f>HYPERLINK("https://klasma.github.io/Logging_1862/tillsyn/A 47915-2024 tillsynsbegäran.docx", "A 47915-2024")</f>
        <v/>
      </c>
      <c r="AD50">
        <f>HYPERLINK("https://klasma.github.io/Logging_1862/tillsynsmail/A 47915-2024 tillsynsbegäran mail.docx", "A 47915-2024")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46280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46280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46280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46280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46280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46280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46280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46280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46280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46280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46280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46280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46280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46280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46280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46280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46280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46280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46280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46280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46280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46280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46280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45205</v>
      </c>
      <c r="E77" s="1" t="n">
        <v>46280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45453</v>
      </c>
      <c r="E78" s="1" t="n">
        <v>46280</v>
      </c>
      <c r="F78" t="inlineStr">
        <is>
          <t>ÖREBRO LÄN</t>
        </is>
      </c>
      <c r="G78" t="inlineStr">
        <is>
          <t>DEGERFORS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46280</v>
      </c>
      <c r="F79" t="inlineStr">
        <is>
          <t>ÖREBRO LÄN</t>
        </is>
      </c>
      <c r="G79" t="inlineStr">
        <is>
          <t>DEGERFORS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46280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46280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44986</v>
      </c>
      <c r="E82" s="1" t="n">
        <v>46280</v>
      </c>
      <c r="F82" t="inlineStr">
        <is>
          <t>ÖREBRO LÄN</t>
        </is>
      </c>
      <c r="G82" t="inlineStr">
        <is>
          <t>DEGERFORS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46280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46280</v>
      </c>
      <c r="F84" t="inlineStr">
        <is>
          <t>ÖREBRO LÄN</t>
        </is>
      </c>
      <c r="G84" t="inlineStr">
        <is>
          <t>DEGERFORS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46280</v>
      </c>
      <c r="F85" t="inlineStr">
        <is>
          <t>ÖREBRO LÄN</t>
        </is>
      </c>
      <c r="G85" t="inlineStr">
        <is>
          <t>DEGERFORS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45535</v>
      </c>
      <c r="E86" s="1" t="n">
        <v>46280</v>
      </c>
      <c r="F86" t="inlineStr">
        <is>
          <t>ÖREBRO LÄN</t>
        </is>
      </c>
      <c r="G86" t="inlineStr">
        <is>
          <t>DEGERFORS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46280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46280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46280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46280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46280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46280</v>
      </c>
      <c r="F92" t="inlineStr">
        <is>
          <t>ÖREBRO LÄN</t>
        </is>
      </c>
      <c r="G92" t="inlineStr">
        <is>
          <t>DEGERFORS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46280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46280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46280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46280</v>
      </c>
      <c r="F96" t="inlineStr">
        <is>
          <t>ÖREBRO LÄN</t>
        </is>
      </c>
      <c r="G96" t="inlineStr">
        <is>
          <t>DEGERFORS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46280</v>
      </c>
      <c r="F97" t="inlineStr">
        <is>
          <t>ÖREBRO LÄN</t>
        </is>
      </c>
      <c r="G97" t="inlineStr">
        <is>
          <t>DEGERFORS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45639</v>
      </c>
      <c r="E98" s="1" t="n">
        <v>46280</v>
      </c>
      <c r="F98" t="inlineStr">
        <is>
          <t>ÖREBRO LÄN</t>
        </is>
      </c>
      <c r="G98" t="inlineStr">
        <is>
          <t>DEGERFORS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46280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37333-2025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45876</v>
      </c>
      <c r="E100" s="1" t="n">
        <v>46280</v>
      </c>
      <c r="F100" t="inlineStr">
        <is>
          <t>ÖREBRO LÄN</t>
        </is>
      </c>
      <c r="G100" t="inlineStr">
        <is>
          <t>DEGERFORS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45876</v>
      </c>
      <c r="E101" s="1" t="n">
        <v>46280</v>
      </c>
      <c r="F101" t="inlineStr">
        <is>
          <t>ÖREBRO LÄN</t>
        </is>
      </c>
      <c r="G101" t="inlineStr">
        <is>
          <t>DEGERFORS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60907-2023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45261</v>
      </c>
      <c r="E102" s="1" t="n">
        <v>46280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46280</v>
      </c>
      <c r="F103" t="inlineStr">
        <is>
          <t>ÖREBRO LÄN</t>
        </is>
      </c>
      <c r="G103" t="inlineStr">
        <is>
          <t>DEGERFORS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46280</v>
      </c>
      <c r="F104" t="inlineStr">
        <is>
          <t>ÖREBRO LÄN</t>
        </is>
      </c>
      <c r="G104" t="inlineStr">
        <is>
          <t>DEGERFORS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46280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46280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46280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46280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45468</v>
      </c>
      <c r="E109" s="1" t="n">
        <v>46280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46280</v>
      </c>
      <c r="F110" t="inlineStr">
        <is>
          <t>ÖREBRO LÄN</t>
        </is>
      </c>
      <c r="G110" t="inlineStr">
        <is>
          <t>DEGERFORS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46280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46280</v>
      </c>
      <c r="F112" t="inlineStr">
        <is>
          <t>ÖREBRO LÄN</t>
        </is>
      </c>
      <c r="G112" t="inlineStr">
        <is>
          <t>DEGERFORS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46280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46280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46280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46280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46280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46280</v>
      </c>
      <c r="F118" t="inlineStr">
        <is>
          <t>ÖREBRO LÄN</t>
        </is>
      </c>
      <c r="G118" t="inlineStr">
        <is>
          <t>DEGERFORS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46280</v>
      </c>
      <c r="F119" t="inlineStr">
        <is>
          <t>ÖREBRO LÄN</t>
        </is>
      </c>
      <c r="G119" t="inlineStr">
        <is>
          <t>DEGERFORS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46280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46280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46280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46127</v>
      </c>
      <c r="E123" s="1" t="n">
        <v>46280</v>
      </c>
      <c r="F123" t="inlineStr">
        <is>
          <t>ÖREBRO LÄN</t>
        </is>
      </c>
      <c r="G123" t="inlineStr">
        <is>
          <t>DEGERFORS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46280</v>
      </c>
      <c r="F124" t="inlineStr">
        <is>
          <t>ÖREBRO LÄN</t>
        </is>
      </c>
      <c r="G124" t="inlineStr">
        <is>
          <t>DEGERFORS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46280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57086-2025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45979</v>
      </c>
      <c r="E126" s="1" t="n">
        <v>46280</v>
      </c>
      <c r="F126" t="inlineStr">
        <is>
          <t>ÖREBRO LÄN</t>
        </is>
      </c>
      <c r="G126" t="inlineStr">
        <is>
          <t>DEGERFORS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38233-2023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45160</v>
      </c>
      <c r="E127" s="1" t="n">
        <v>46280</v>
      </c>
      <c r="F127" t="inlineStr">
        <is>
          <t>ÖREBRO LÄN</t>
        </is>
      </c>
      <c r="G127" t="inlineStr">
        <is>
          <t>DEGERFORS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10674-2024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45369</v>
      </c>
      <c r="E128" s="1" t="n">
        <v>46280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46280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46280</v>
      </c>
      <c r="F130" t="inlineStr">
        <is>
          <t>ÖREBRO LÄN</t>
        </is>
      </c>
      <c r="G130" t="inlineStr">
        <is>
          <t>DEGERFORS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46280</v>
      </c>
      <c r="F131" t="inlineStr">
        <is>
          <t>ÖREBRO LÄN</t>
        </is>
      </c>
      <c r="G131" t="inlineStr">
        <is>
          <t>DEGERFORS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73693-2021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46280</v>
      </c>
      <c r="F132" t="inlineStr">
        <is>
          <t>ÖREBRO LÄN</t>
        </is>
      </c>
      <c r="G132" t="inlineStr">
        <is>
          <t>DEGERFORS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46280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46280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46280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46280</v>
      </c>
      <c r="F136" t="inlineStr">
        <is>
          <t>ÖREBRO LÄN</t>
        </is>
      </c>
      <c r="G136" t="inlineStr">
        <is>
          <t>DEGERFORS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46280</v>
      </c>
      <c r="F137" t="inlineStr">
        <is>
          <t>ÖREBRO LÄN</t>
        </is>
      </c>
      <c r="G137" t="inlineStr">
        <is>
          <t>DEGERFORS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52566-2023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46280</v>
      </c>
      <c r="F138" t="inlineStr">
        <is>
          <t>ÖREBRO LÄN</t>
        </is>
      </c>
      <c r="G138" t="inlineStr">
        <is>
          <t>DEGERFORS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46280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46280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46280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46280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46280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46280</v>
      </c>
      <c r="F144" t="inlineStr">
        <is>
          <t>ÖREBRO LÄN</t>
        </is>
      </c>
      <c r="G144" t="inlineStr">
        <is>
          <t>DEGERFORS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46280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46280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46280</v>
      </c>
      <c r="F147" t="inlineStr">
        <is>
          <t>ÖREBRO LÄN</t>
        </is>
      </c>
      <c r="G147" t="inlineStr">
        <is>
          <t>DEGERFORS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45351</v>
      </c>
      <c r="E148" s="1" t="n">
        <v>46280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45190</v>
      </c>
      <c r="E149" s="1" t="n">
        <v>46280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46280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46280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46280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46280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14678-2025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45742</v>
      </c>
      <c r="E154" s="1" t="n">
        <v>46280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46280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21952-2024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45443</v>
      </c>
      <c r="E156" s="1" t="n">
        <v>46280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46280</v>
      </c>
      <c r="F157" t="inlineStr">
        <is>
          <t>ÖREBRO LÄN</t>
        </is>
      </c>
      <c r="G157" t="inlineStr">
        <is>
          <t>DEGERFORS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46280</v>
      </c>
      <c r="F158" t="inlineStr">
        <is>
          <t>ÖREBRO LÄN</t>
        </is>
      </c>
      <c r="G158" t="inlineStr">
        <is>
          <t>DEGERFORS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46171</v>
      </c>
      <c r="E159" s="1" t="n">
        <v>46280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26857-2026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46280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46280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46280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46189</v>
      </c>
      <c r="E163" s="1" t="n">
        <v>46280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46280</v>
      </c>
      <c r="F164" t="inlineStr">
        <is>
          <t>ÖREBRO LÄN</t>
        </is>
      </c>
      <c r="G164" t="inlineStr">
        <is>
          <t>DEGERFORS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46280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46280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46239</v>
      </c>
      <c r="E167" s="1" t="n">
        <v>46280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46280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46280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46280</v>
      </c>
      <c r="F171" t="inlineStr">
        <is>
          <t>ÖREBRO LÄN</t>
        </is>
      </c>
      <c r="G171" t="inlineStr">
        <is>
          <t>DEGERFORS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46280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46280</v>
      </c>
      <c r="F173" t="inlineStr">
        <is>
          <t>ÖREBRO LÄN</t>
        </is>
      </c>
      <c r="G173" t="inlineStr">
        <is>
          <t>DEGERFORS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46280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46199</v>
      </c>
      <c r="E175" s="1" t="n">
        <v>46280</v>
      </c>
      <c r="F175" t="inlineStr">
        <is>
          <t>ÖREBRO LÄN</t>
        </is>
      </c>
      <c r="G175" t="inlineStr">
        <is>
          <t>DEGERFORS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46280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12143-2025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45729</v>
      </c>
      <c r="E177" s="1" t="n">
        <v>46280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46280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46280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20577-2023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45057</v>
      </c>
      <c r="E180" s="1" t="n">
        <v>46280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45192</v>
      </c>
      <c r="E181" s="1" t="n">
        <v>46280</v>
      </c>
      <c r="F181" t="inlineStr">
        <is>
          <t>ÖREBRO LÄN</t>
        </is>
      </c>
      <c r="G181" t="inlineStr">
        <is>
          <t>DEGERFORS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6387-2024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45338</v>
      </c>
      <c r="E182" s="1" t="n">
        <v>46280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46260</v>
      </c>
      <c r="E183" s="1" t="n">
        <v>46280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45337</v>
      </c>
      <c r="E184" s="1" t="n">
        <v>46280</v>
      </c>
      <c r="F184" t="inlineStr">
        <is>
          <t>ÖREBRO LÄN</t>
        </is>
      </c>
      <c r="G184" t="inlineStr">
        <is>
          <t>DEGERFORS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46268</v>
      </c>
      <c r="E185" s="1" t="n">
        <v>46280</v>
      </c>
      <c r="F185" t="inlineStr">
        <is>
          <t>ÖREBRO LÄN</t>
        </is>
      </c>
      <c r="G185" t="inlineStr">
        <is>
          <t>DEGERFORS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46280</v>
      </c>
      <c r="F186" t="inlineStr">
        <is>
          <t>ÖREBRO LÄN</t>
        </is>
      </c>
      <c r="G186" t="inlineStr">
        <is>
          <t>DEGERFORS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6394-2024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45338</v>
      </c>
      <c r="E187" s="1" t="n">
        <v>46280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46268</v>
      </c>
      <c r="E188" s="1" t="n">
        <v>46280</v>
      </c>
      <c r="F188" t="inlineStr">
        <is>
          <t>ÖREBRO LÄN</t>
        </is>
      </c>
      <c r="G188" t="inlineStr">
        <is>
          <t>DEGERFORS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46280</v>
      </c>
      <c r="F189" t="inlineStr">
        <is>
          <t>ÖREBRO LÄN</t>
        </is>
      </c>
      <c r="G189" t="inlineStr">
        <is>
          <t>DEGERFORS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46230</v>
      </c>
      <c r="E190" s="1" t="n">
        <v>46280</v>
      </c>
      <c r="F190" t="inlineStr">
        <is>
          <t>ÖREBRO LÄN</t>
        </is>
      </c>
      <c r="G190" t="inlineStr">
        <is>
          <t>DEGERFORS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46280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46280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46280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46280</v>
      </c>
      <c r="F194" t="inlineStr">
        <is>
          <t>ÖREBRO LÄN</t>
        </is>
      </c>
      <c r="G194" t="inlineStr">
        <is>
          <t>DEGERFORS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46280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46280</v>
      </c>
      <c r="F196" t="inlineStr">
        <is>
          <t>ÖREBRO LÄN</t>
        </is>
      </c>
      <c r="G196" t="inlineStr">
        <is>
          <t>DEGERFORS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45116</v>
      </c>
      <c r="E197" s="1" t="n">
        <v>46280</v>
      </c>
      <c r="F197" t="inlineStr">
        <is>
          <t>ÖREBRO LÄN</t>
        </is>
      </c>
      <c r="G197" t="inlineStr">
        <is>
          <t>DEGERFORS</t>
        </is>
      </c>
      <c r="I197" t="n">
        <v>17.2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46280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46280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46280</v>
      </c>
      <c r="F200" t="inlineStr">
        <is>
          <t>ÖREBRO LÄN</t>
        </is>
      </c>
      <c r="G200" t="inlineStr">
        <is>
          <t>DEGERFORS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44781</v>
      </c>
      <c r="E201" s="1" t="n">
        <v>46280</v>
      </c>
      <c r="F201" t="inlineStr">
        <is>
          <t>ÖREBRO LÄN</t>
        </is>
      </c>
      <c r="G201" t="inlineStr">
        <is>
          <t>DEGERFORS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45387</v>
      </c>
      <c r="E202" s="1" t="n">
        <v>46280</v>
      </c>
      <c r="F202" t="inlineStr">
        <is>
          <t>ÖREBRO LÄN</t>
        </is>
      </c>
      <c r="G202" t="inlineStr">
        <is>
          <t>DEGERFORS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46280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63905-2021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44509</v>
      </c>
      <c r="E204" s="1" t="n">
        <v>46280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38743-2022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46280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45589</v>
      </c>
      <c r="E206" s="1" t="n">
        <v>46280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46280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45351</v>
      </c>
      <c r="E208" s="1" t="n">
        <v>46280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46280</v>
      </c>
      <c r="F209" t="inlineStr">
        <is>
          <t>ÖREBRO LÄN</t>
        </is>
      </c>
      <c r="G209" t="inlineStr">
        <is>
          <t>DEGERFORS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59158-2022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44904</v>
      </c>
      <c r="E210" s="1" t="n">
        <v>46280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46280</v>
      </c>
      <c r="F211" t="inlineStr">
        <is>
          <t>ÖREBRO LÄN</t>
        </is>
      </c>
      <c r="G211" t="inlineStr">
        <is>
          <t>DEGERFORS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46280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44989</v>
      </c>
      <c r="E213" s="1" t="n">
        <v>46280</v>
      </c>
      <c r="F213" t="inlineStr">
        <is>
          <t>ÖREBRO LÄN</t>
        </is>
      </c>
      <c r="G213" t="inlineStr">
        <is>
          <t>DEGERFORS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46280</v>
      </c>
      <c r="F214" t="inlineStr">
        <is>
          <t>ÖREBRO LÄN</t>
        </is>
      </c>
      <c r="G214" t="inlineStr">
        <is>
          <t>DEGERFORS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46280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46280</v>
      </c>
      <c r="F216" t="inlineStr">
        <is>
          <t>ÖREBRO LÄN</t>
        </is>
      </c>
      <c r="G216" t="inlineStr">
        <is>
          <t>DEGERFORS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45861-2023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45195</v>
      </c>
      <c r="E217" s="1" t="n">
        <v>46280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46280</v>
      </c>
      <c r="F218" t="inlineStr">
        <is>
          <t>ÖREBRO LÄN</t>
        </is>
      </c>
      <c r="G218" t="inlineStr">
        <is>
          <t>DEGERFORS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46280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44463</v>
      </c>
      <c r="E220" s="1" t="n">
        <v>46280</v>
      </c>
      <c r="F220" t="inlineStr">
        <is>
          <t>ÖREBRO LÄN</t>
        </is>
      </c>
      <c r="G220" t="inlineStr">
        <is>
          <t>DEGERFORS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46280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46280</v>
      </c>
      <c r="F223" t="inlineStr">
        <is>
          <t>ÖREBRO LÄN</t>
        </is>
      </c>
      <c r="G223" t="inlineStr">
        <is>
          <t>DEGERFORS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46280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46280</v>
      </c>
      <c r="F225" t="inlineStr">
        <is>
          <t>ÖREBRO LÄN</t>
        </is>
      </c>
      <c r="G225" t="inlineStr">
        <is>
          <t>DEGERFORS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46280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46280</v>
      </c>
      <c r="F227" t="inlineStr">
        <is>
          <t>ÖREBRO LÄN</t>
        </is>
      </c>
      <c r="G227" t="inlineStr">
        <is>
          <t>DEGERFORS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46280</v>
      </c>
      <c r="F228" t="inlineStr">
        <is>
          <t>ÖREBRO LÄN</t>
        </is>
      </c>
      <c r="G228" t="inlineStr">
        <is>
          <t>DEGERFORS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46280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46280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46280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46280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46280</v>
      </c>
      <c r="F233" t="inlineStr">
        <is>
          <t>ÖREBRO LÄN</t>
        </is>
      </c>
      <c r="G233" t="inlineStr">
        <is>
          <t>DEGERFORS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46280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479-2022</t>
        </is>
      </c>
      <c r="B235" t="inlineStr">
        <is>
          <t>samrådsanmälan</t>
        </is>
      </c>
      <c r="C235" t="inlineStr">
        <is>
          <t>Skogsbilväg</t>
        </is>
      </c>
      <c r="D235" s="1" t="n">
        <v>44587</v>
      </c>
      <c r="E235" s="1" t="n">
        <v>46280</v>
      </c>
      <c r="F235" t="inlineStr">
        <is>
          <t>ÖREBRO LÄN</t>
        </is>
      </c>
      <c r="G235" t="inlineStr">
        <is>
          <t>DEGERFORS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46280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46280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46280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46280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46280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46280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2595-2025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45916</v>
      </c>
      <c r="E242" s="1" t="n">
        <v>46280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2026-09-15T08:11:11Z</dcterms:created>
  <dcterms:modified xmlns:dcterms="http://purl.org/dc/terms/" xmlns:xsi="http://www.w3.org/2001/XMLSchema-instance" xsi:type="dcterms:W3CDTF">2026-09-15T08:11:11Z</dcterms:modified>
</cp:coreProperties>
</file>