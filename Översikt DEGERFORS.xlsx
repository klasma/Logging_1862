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46256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46256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46256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46256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46256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46256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46256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46256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46256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46256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46256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46256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46256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46256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46256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46256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46256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46256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46256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46256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46256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46256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46256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46256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46256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46256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46256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46256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46256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46256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48285-2023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45205</v>
      </c>
      <c r="E37" s="1" t="n">
        <v>46256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48285-2023 artfynd.xlsx", "A 48285-2023")</f>
        <v/>
      </c>
      <c r="X37">
        <f>HYPERLINK("https://klasma.github.io/Logging_1862/kartor/A 48285-2023 karta.png", "A 48285-2023")</f>
        <v/>
      </c>
      <c r="Y37">
        <f>HYPERLINK("https://klasma.github.io/Logging_1862/kartor_geotiff/A 48285-2023 georefererad karta.tif", "A 48285-2023")</f>
        <v/>
      </c>
      <c r="AA37">
        <f>HYPERLINK("https://klasma.github.io/Logging_1862/klagomål/A 48285-2023 FSC-klagomål.docx", "A 48285-2023")</f>
        <v/>
      </c>
      <c r="AB37">
        <f>HYPERLINK("https://klasma.github.io/Logging_1862/klagomålsmail/A 48285-2023 FSC-klagomål mail.docx", "A 48285-2023")</f>
        <v/>
      </c>
      <c r="AC37">
        <f>HYPERLINK("https://klasma.github.io/Logging_1862/tillsyn/A 48285-2023 tillsynsbegäran.docx", "A 48285-2023")</f>
        <v/>
      </c>
      <c r="AD37">
        <f>HYPERLINK("https://klasma.github.io/Logging_1862/tillsynsmail/A 48285-2023 tillsynsbegäran mail.docx", "A 48285-2023")</f>
        <v/>
      </c>
      <c r="AE37">
        <f>HYPERLINK("https://klasma.github.io/Logging_1862/fåglar/A 48285-2023 prioriterade fågelarter.docx", "A 48285-2023")</f>
        <v/>
      </c>
    </row>
    <row r="38" ht="15" customHeight="1">
      <c r="A38" t="inlineStr">
        <is>
          <t>A 33297-2023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45116</v>
      </c>
      <c r="E38" s="1" t="n">
        <v>46256</v>
      </c>
      <c r="F38" t="inlineStr">
        <is>
          <t>ÖREBRO LÄN</t>
        </is>
      </c>
      <c r="G38" t="inlineStr">
        <is>
          <t>DEGERFORS</t>
        </is>
      </c>
      <c r="I38" t="n">
        <v>7.2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HYPERLINK("https://klasma.github.io/Logging_1862/artfynd/A 33297-2023 artfynd.xlsx", "A 33297-2023")</f>
        <v/>
      </c>
      <c r="X38">
        <f>HYPERLINK("https://klasma.github.io/Logging_1862/kartor/A 33297-2023 karta.png", "A 33297-2023")</f>
        <v/>
      </c>
      <c r="Y38">
        <f>HYPERLINK("https://klasma.github.io/Logging_1862/kartor_geotiff/A 33297-2023 georefererad karta.tif", "A 33297-2023")</f>
        <v/>
      </c>
      <c r="AA38">
        <f>HYPERLINK("https://klasma.github.io/Logging_1862/klagomål/A 33297-2023 FSC-klagomål.docx", "A 33297-2023")</f>
        <v/>
      </c>
      <c r="AB38">
        <f>HYPERLINK("https://klasma.github.io/Logging_1862/klagomålsmail/A 33297-2023 FSC-klagomål mail.docx", "A 33297-2023")</f>
        <v/>
      </c>
      <c r="AC38">
        <f>HYPERLINK("https://klasma.github.io/Logging_1862/tillsyn/A 33297-2023 tillsynsbegäran.docx", "A 33297-2023")</f>
        <v/>
      </c>
      <c r="AD38">
        <f>HYPERLINK("https://klasma.github.io/Logging_1862/tillsynsmail/A 33297-2023 tillsynsbegäran mail.docx", "A 33297-2023")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46256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38904-2023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46256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38904-2023 artfynd.xlsx", "A 38904-2023")</f>
        <v/>
      </c>
      <c r="X40">
        <f>HYPERLINK("https://klasma.github.io/Logging_1862/kartor/A 38904-2023 karta.png", "A 38904-2023")</f>
        <v/>
      </c>
      <c r="Y40">
        <f>HYPERLINK("https://klasma.github.io/Logging_1862/kartor_geotiff/A 38904-2023 georefererad karta.tif", "A 38904-2023")</f>
        <v/>
      </c>
      <c r="AA40">
        <f>HYPERLINK("https://klasma.github.io/Logging_1862/klagomål/A 38904-2023 FSC-klagomål.docx", "A 38904-2023")</f>
        <v/>
      </c>
      <c r="AB40">
        <f>HYPERLINK("https://klasma.github.io/Logging_1862/klagomålsmail/A 38904-2023 FSC-klagomål mail.docx", "A 38904-2023")</f>
        <v/>
      </c>
      <c r="AC40">
        <f>HYPERLINK("https://klasma.github.io/Logging_1862/tillsyn/A 38904-2023 tillsynsbegäran.docx", "A 38904-2023")</f>
        <v/>
      </c>
      <c r="AD40">
        <f>HYPERLINK("https://klasma.github.io/Logging_1862/tillsynsmail/A 38904-2023 tillsynsbegäran mail.docx", "A 38904-2023")</f>
        <v/>
      </c>
      <c r="AE40">
        <f>HYPERLINK("https://klasma.github.io/Logging_1862/fåglar/A 38904-2023 prioriterade fågelarter.docx", "A 38904-2023")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46256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27093-2023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46256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5.9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27093-2023 artfynd.xlsx", "A 27093-2023")</f>
        <v/>
      </c>
      <c r="X42">
        <f>HYPERLINK("https://klasma.github.io/Logging_1862/kartor/A 27093-2023 karta.png", "A 27093-2023")</f>
        <v/>
      </c>
      <c r="Y42">
        <f>HYPERLINK("https://klasma.github.io/Logging_1862/kartor_geotiff/A 27093-2023 georefererad karta.tif", "A 27093-2023")</f>
        <v/>
      </c>
      <c r="AA42">
        <f>HYPERLINK("https://klasma.github.io/Logging_1862/klagomål/A 27093-2023 FSC-klagomål.docx", "A 27093-2023")</f>
        <v/>
      </c>
      <c r="AB42">
        <f>HYPERLINK("https://klasma.github.io/Logging_1862/klagomålsmail/A 27093-2023 FSC-klagomål mail.docx", "A 27093-2023")</f>
        <v/>
      </c>
      <c r="AC42">
        <f>HYPERLINK("https://klasma.github.io/Logging_1862/tillsyn/A 27093-2023 tillsynsbegäran.docx", "A 27093-2023")</f>
        <v/>
      </c>
      <c r="AD42">
        <f>HYPERLINK("https://klasma.github.io/Logging_1862/tillsynsmail/A 27093-2023 tillsynsbegäran mail.docx", "A 27093-2023")</f>
        <v/>
      </c>
      <c r="AE42">
        <f>HYPERLINK("https://klasma.github.io/Logging_1862/fåglar/A 27093-2023 prioriterade fågelarter.docx", "A 27093-2023")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46256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46256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46256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46256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47915-2024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46256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47915-2024 artfynd.xlsx", "A 47915-2024")</f>
        <v/>
      </c>
      <c r="X47">
        <f>HYPERLINK("https://klasma.github.io/Logging_1862/kartor/A 47915-2024 karta.png", "A 47915-2024")</f>
        <v/>
      </c>
      <c r="Y47">
        <f>HYPERLINK("https://klasma.github.io/Logging_1862/kartor_geotiff/A 47915-2024 georefererad karta.tif", "A 47915-2024")</f>
        <v/>
      </c>
      <c r="AA47">
        <f>HYPERLINK("https://klasma.github.io/Logging_1862/klagomål/A 47915-2024 FSC-klagomål.docx", "A 47915-2024")</f>
        <v/>
      </c>
      <c r="AB47">
        <f>HYPERLINK("https://klasma.github.io/Logging_1862/klagomålsmail/A 47915-2024 FSC-klagomål mail.docx", "A 47915-2024")</f>
        <v/>
      </c>
      <c r="AC47">
        <f>HYPERLINK("https://klasma.github.io/Logging_1862/tillsyn/A 47915-2024 tillsynsbegäran.docx", "A 47915-2024")</f>
        <v/>
      </c>
      <c r="AD47">
        <f>HYPERLINK("https://klasma.github.io/Logging_1862/tillsynsmail/A 47915-2024 tillsynsbegäran mail.docx", "A 47915-2024")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46256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46256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46256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46256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46256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46256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46256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46256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46256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46256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44692</v>
      </c>
      <c r="E58" s="1" t="n">
        <v>46256</v>
      </c>
      <c r="F58" t="inlineStr">
        <is>
          <t>ÖREBRO LÄN</t>
        </is>
      </c>
      <c r="G58" t="inlineStr">
        <is>
          <t>DEGERFORS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46256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46256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46256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46256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46256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46256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46256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45330</v>
      </c>
      <c r="E66" s="1" t="n">
        <v>46256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46256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46256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45735</v>
      </c>
      <c r="E69" s="1" t="n">
        <v>46256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46256</v>
      </c>
      <c r="F70" t="inlineStr">
        <is>
          <t>ÖREBRO LÄN</t>
        </is>
      </c>
      <c r="G70" t="inlineStr">
        <is>
          <t>DEGERFORS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44509</v>
      </c>
      <c r="E71" s="1" t="n">
        <v>46256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26820-2025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45810</v>
      </c>
      <c r="E72" s="1" t="n">
        <v>46256</v>
      </c>
      <c r="F72" t="inlineStr">
        <is>
          <t>ÖREBRO LÄN</t>
        </is>
      </c>
      <c r="G72" t="inlineStr">
        <is>
          <t>DEGERFORS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45887</v>
      </c>
      <c r="E73" s="1" t="n">
        <v>46256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45810</v>
      </c>
      <c r="E74" s="1" t="n">
        <v>46256</v>
      </c>
      <c r="F74" t="inlineStr">
        <is>
          <t>ÖREBRO LÄN</t>
        </is>
      </c>
      <c r="G74" t="inlineStr">
        <is>
          <t>DEGERFORS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38233-2023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45160</v>
      </c>
      <c r="E75" s="1" t="n">
        <v>46256</v>
      </c>
      <c r="F75" t="inlineStr">
        <is>
          <t>ÖREBRO LÄN</t>
        </is>
      </c>
      <c r="G75" t="inlineStr">
        <is>
          <t>DEGERFORS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63008-2021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46256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10674-2024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45369</v>
      </c>
      <c r="E77" s="1" t="n">
        <v>46256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46256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46256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46256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73693-2021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46256</v>
      </c>
      <c r="F81" t="inlineStr">
        <is>
          <t>ÖREBRO LÄN</t>
        </is>
      </c>
      <c r="G81" t="inlineStr">
        <is>
          <t>DEGERFORS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46256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46256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46256</v>
      </c>
      <c r="F84" t="inlineStr">
        <is>
          <t>ÖREBRO LÄN</t>
        </is>
      </c>
      <c r="G84" t="inlineStr">
        <is>
          <t>DEGERFORS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46256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46256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46256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46256</v>
      </c>
      <c r="F88" t="inlineStr">
        <is>
          <t>ÖREBRO LÄN</t>
        </is>
      </c>
      <c r="G88" t="inlineStr">
        <is>
          <t>DEGERFORS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46256</v>
      </c>
      <c r="F89" t="inlineStr">
        <is>
          <t>ÖREBRO LÄN</t>
        </is>
      </c>
      <c r="G89" t="inlineStr">
        <is>
          <t>DEGERFORS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46256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46256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46256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46256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46256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37672-2024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45541</v>
      </c>
      <c r="E95" s="1" t="n">
        <v>46256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46256</v>
      </c>
      <c r="F96" t="inlineStr">
        <is>
          <t>ÖREBRO LÄN</t>
        </is>
      </c>
      <c r="G96" t="inlineStr">
        <is>
          <t>DEGERFORS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46256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45351</v>
      </c>
      <c r="E98" s="1" t="n">
        <v>46256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46256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21952-2024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45443</v>
      </c>
      <c r="E100" s="1" t="n">
        <v>46256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46256</v>
      </c>
      <c r="F101" t="inlineStr">
        <is>
          <t>ÖREBRO LÄN</t>
        </is>
      </c>
      <c r="G101" t="inlineStr">
        <is>
          <t>DEGERFORS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46256</v>
      </c>
      <c r="F102" t="inlineStr">
        <is>
          <t>ÖREBRO LÄN</t>
        </is>
      </c>
      <c r="G102" t="inlineStr">
        <is>
          <t>DEGERFORS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46256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12143-2025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45729</v>
      </c>
      <c r="E104" s="1" t="n">
        <v>46256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45535</v>
      </c>
      <c r="E105" s="1" t="n">
        <v>46256</v>
      </c>
      <c r="F105" t="inlineStr">
        <is>
          <t>ÖREBRO LÄN</t>
        </is>
      </c>
      <c r="G105" t="inlineStr">
        <is>
          <t>DEGERFORS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51653-2023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46256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46256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46256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20577-2023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45057</v>
      </c>
      <c r="E109" s="1" t="n">
        <v>46256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46256</v>
      </c>
      <c r="F110" t="inlineStr">
        <is>
          <t>ÖREBRO LÄN</t>
        </is>
      </c>
      <c r="G110" t="inlineStr">
        <is>
          <t>DEGERFORS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45192</v>
      </c>
      <c r="E111" s="1" t="n">
        <v>46256</v>
      </c>
      <c r="F111" t="inlineStr">
        <is>
          <t>ÖREBRO LÄN</t>
        </is>
      </c>
      <c r="G111" t="inlineStr">
        <is>
          <t>DEGERFORS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6387-2024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45338</v>
      </c>
      <c r="E112" s="1" t="n">
        <v>46256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46256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45337</v>
      </c>
      <c r="E114" s="1" t="n">
        <v>46256</v>
      </c>
      <c r="F114" t="inlineStr">
        <is>
          <t>ÖREBRO LÄN</t>
        </is>
      </c>
      <c r="G114" t="inlineStr">
        <is>
          <t>DEGERFORS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46256</v>
      </c>
      <c r="F115" t="inlineStr">
        <is>
          <t>ÖREBRO LÄN</t>
        </is>
      </c>
      <c r="G115" t="inlineStr">
        <is>
          <t>DEGERFORS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46256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6394-2024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45338</v>
      </c>
      <c r="E117" s="1" t="n">
        <v>46256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46256</v>
      </c>
      <c r="F118" t="inlineStr">
        <is>
          <t>ÖREBRO LÄN</t>
        </is>
      </c>
      <c r="G118" t="inlineStr">
        <is>
          <t>DEGERFORS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44986</v>
      </c>
      <c r="E119" s="1" t="n">
        <v>46256</v>
      </c>
      <c r="F119" t="inlineStr">
        <is>
          <t>ÖREBRO LÄN</t>
        </is>
      </c>
      <c r="G119" t="inlineStr">
        <is>
          <t>DEGERFORS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45996</v>
      </c>
      <c r="E120" s="1" t="n">
        <v>46256</v>
      </c>
      <c r="F120" t="inlineStr">
        <is>
          <t>ÖREBRO LÄN</t>
        </is>
      </c>
      <c r="G120" t="inlineStr">
        <is>
          <t>DEGERFORS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60907-2023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45261</v>
      </c>
      <c r="E121" s="1" t="n">
        <v>46256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60708-2025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46256</v>
      </c>
      <c r="F122" t="inlineStr">
        <is>
          <t>ÖREBRO LÄN</t>
        </is>
      </c>
      <c r="G122" t="inlineStr">
        <is>
          <t>DEGERFORS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45330</v>
      </c>
      <c r="E123" s="1" t="n">
        <v>46256</v>
      </c>
      <c r="F123" t="inlineStr">
        <is>
          <t>ÖREBRO LÄN</t>
        </is>
      </c>
      <c r="G123" t="inlineStr">
        <is>
          <t>DEGERFORS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45601</v>
      </c>
      <c r="E124" s="1" t="n">
        <v>46256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45116</v>
      </c>
      <c r="E125" s="1" t="n">
        <v>46256</v>
      </c>
      <c r="F125" t="inlineStr">
        <is>
          <t>ÖREBRO LÄN</t>
        </is>
      </c>
      <c r="G125" t="inlineStr">
        <is>
          <t>DEGERFORS</t>
        </is>
      </c>
      <c r="I125" t="n">
        <v>17.2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46256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46256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46256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46256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44582</v>
      </c>
      <c r="E130" s="1" t="n">
        <v>46256</v>
      </c>
      <c r="F130" t="inlineStr">
        <is>
          <t>ÖREBRO LÄN</t>
        </is>
      </c>
      <c r="G130" t="inlineStr">
        <is>
          <t>DEGERFORS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50766-2024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46256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46256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44609</v>
      </c>
      <c r="E133" s="1" t="n">
        <v>46256</v>
      </c>
      <c r="F133" t="inlineStr">
        <is>
          <t>ÖREBRO LÄN</t>
        </is>
      </c>
      <c r="G133" t="inlineStr">
        <is>
          <t>DEGERFORS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45609</v>
      </c>
      <c r="E134" s="1" t="n">
        <v>46256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46256</v>
      </c>
      <c r="F135" t="inlineStr">
        <is>
          <t>ÖREBRO LÄN</t>
        </is>
      </c>
      <c r="G135" t="inlineStr">
        <is>
          <t>DEGERFORS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44839</v>
      </c>
      <c r="E136" s="1" t="n">
        <v>46256</v>
      </c>
      <c r="F136" t="inlineStr">
        <is>
          <t>ÖREBRO LÄN</t>
        </is>
      </c>
      <c r="G136" t="inlineStr">
        <is>
          <t>DEGERFORS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46256</v>
      </c>
      <c r="F137" t="inlineStr">
        <is>
          <t>ÖREBRO LÄN</t>
        </is>
      </c>
      <c r="G137" t="inlineStr">
        <is>
          <t>DEGERFORS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45387</v>
      </c>
      <c r="E138" s="1" t="n">
        <v>46256</v>
      </c>
      <c r="F138" t="inlineStr">
        <is>
          <t>ÖREBRO LÄN</t>
        </is>
      </c>
      <c r="G138" t="inlineStr">
        <is>
          <t>DEGERFORS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45233</v>
      </c>
      <c r="E139" s="1" t="n">
        <v>46256</v>
      </c>
      <c r="F139" t="inlineStr">
        <is>
          <t>ÖREBRO LÄN</t>
        </is>
      </c>
      <c r="G139" t="inlineStr">
        <is>
          <t>DEGERFORS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45384</v>
      </c>
      <c r="E140" s="1" t="n">
        <v>46256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46256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46167</v>
      </c>
      <c r="E142" s="1" t="n">
        <v>46256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20.9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37333-2025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45876</v>
      </c>
      <c r="E143" s="1" t="n">
        <v>46256</v>
      </c>
      <c r="F143" t="inlineStr">
        <is>
          <t>ÖREBRO LÄN</t>
        </is>
      </c>
      <c r="G143" t="inlineStr">
        <is>
          <t>DEGERFORS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37265-2025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46256</v>
      </c>
      <c r="F144" t="inlineStr">
        <is>
          <t>ÖREBRO LÄN</t>
        </is>
      </c>
      <c r="G144" t="inlineStr">
        <is>
          <t>DEGERFORS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46256</v>
      </c>
      <c r="F145" t="inlineStr">
        <is>
          <t>ÖREBRO LÄN</t>
        </is>
      </c>
      <c r="G145" t="inlineStr">
        <is>
          <t>DEGERFORS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46256</v>
      </c>
      <c r="F146" t="inlineStr">
        <is>
          <t>ÖREBRO LÄN</t>
        </is>
      </c>
      <c r="G146" t="inlineStr">
        <is>
          <t>DEGERFORS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46256</v>
      </c>
      <c r="F147" t="inlineStr">
        <is>
          <t>ÖREBRO LÄN</t>
        </is>
      </c>
      <c r="G147" t="inlineStr">
        <is>
          <t>DEGERFORS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46171</v>
      </c>
      <c r="E148" s="1" t="n">
        <v>46256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46256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46070</v>
      </c>
      <c r="E150" s="1" t="n">
        <v>46256</v>
      </c>
      <c r="F150" t="inlineStr">
        <is>
          <t>ÖREBRO LÄN</t>
        </is>
      </c>
      <c r="G150" t="inlineStr">
        <is>
          <t>DEGERFORS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46256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63905-2021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44509</v>
      </c>
      <c r="E152" s="1" t="n">
        <v>46256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46256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44816</v>
      </c>
      <c r="E154" s="1" t="n">
        <v>46256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46231</v>
      </c>
      <c r="E155" s="1" t="n">
        <v>46256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46231</v>
      </c>
      <c r="E156" s="1" t="n">
        <v>46256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46256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46230</v>
      </c>
      <c r="E158" s="1" t="n">
        <v>46256</v>
      </c>
      <c r="F158" t="inlineStr">
        <is>
          <t>ÖREBRO LÄN</t>
        </is>
      </c>
      <c r="G158" t="inlineStr">
        <is>
          <t>DEGERFORS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46256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46256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46256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46185</v>
      </c>
      <c r="E162" s="1" t="n">
        <v>46256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46256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46256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46256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45601</v>
      </c>
      <c r="E166" s="1" t="n">
        <v>46256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45351</v>
      </c>
      <c r="E167" s="1" t="n">
        <v>46256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31872-2026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46231</v>
      </c>
      <c r="E168" s="1" t="n">
        <v>46256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44735-2021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44438</v>
      </c>
      <c r="E169" s="1" t="n">
        <v>46256</v>
      </c>
      <c r="F169" t="inlineStr">
        <is>
          <t>ÖREBRO LÄN</t>
        </is>
      </c>
      <c r="G169" t="inlineStr">
        <is>
          <t>DEGERFORS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46256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45106</v>
      </c>
      <c r="E171" s="1" t="n">
        <v>46256</v>
      </c>
      <c r="F171" t="inlineStr">
        <is>
          <t>ÖREBRO LÄN</t>
        </is>
      </c>
      <c r="G171" t="inlineStr">
        <is>
          <t>DEGERFORS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59158-2022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44904</v>
      </c>
      <c r="E172" s="1" t="n">
        <v>46256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46256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46256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46256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46256</v>
      </c>
      <c r="F176" t="inlineStr">
        <is>
          <t>ÖREBRO LÄN</t>
        </is>
      </c>
      <c r="G176" t="inlineStr">
        <is>
          <t>DEGERFORS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46256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10320-2023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44986</v>
      </c>
      <c r="E178" s="1" t="n">
        <v>46256</v>
      </c>
      <c r="F178" t="inlineStr">
        <is>
          <t>ÖREBRO LÄN</t>
        </is>
      </c>
      <c r="G178" t="inlineStr">
        <is>
          <t>DEGERFORS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46256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46256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46256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46241</v>
      </c>
      <c r="E182" s="1" t="n">
        <v>46256</v>
      </c>
      <c r="F182" t="inlineStr">
        <is>
          <t>ÖREBRO LÄN</t>
        </is>
      </c>
      <c r="G182" t="inlineStr">
        <is>
          <t>DEGERFORS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44989</v>
      </c>
      <c r="E183" s="1" t="n">
        <v>46256</v>
      </c>
      <c r="F183" t="inlineStr">
        <is>
          <t>ÖREBRO LÄN</t>
        </is>
      </c>
      <c r="G183" t="inlineStr">
        <is>
          <t>DEGERFORS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46256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44986</v>
      </c>
      <c r="E185" s="1" t="n">
        <v>46256</v>
      </c>
      <c r="F185" t="inlineStr">
        <is>
          <t>ÖREBRO LÄN</t>
        </is>
      </c>
      <c r="G185" t="inlineStr">
        <is>
          <t>DEGERFORS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46256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33658-2024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45520</v>
      </c>
      <c r="E187" s="1" t="n">
        <v>46256</v>
      </c>
      <c r="F187" t="inlineStr">
        <is>
          <t>ÖREBRO LÄN</t>
        </is>
      </c>
      <c r="G187" t="inlineStr">
        <is>
          <t>DEGERFORS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46129</v>
      </c>
      <c r="E188" s="1" t="n">
        <v>46256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46256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45861-2023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45195</v>
      </c>
      <c r="E190" s="1" t="n">
        <v>46256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46256</v>
      </c>
      <c r="F191" t="inlineStr">
        <is>
          <t>ÖREBRO LÄN</t>
        </is>
      </c>
      <c r="G191" t="inlineStr">
        <is>
          <t>DEGERFORS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46256</v>
      </c>
      <c r="F192" t="inlineStr">
        <is>
          <t>ÖREBRO LÄN</t>
        </is>
      </c>
      <c r="G192" t="inlineStr">
        <is>
          <t>DEGERFORS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46256</v>
      </c>
      <c r="F193" t="inlineStr">
        <is>
          <t>ÖREBRO LÄN</t>
        </is>
      </c>
      <c r="G193" t="inlineStr">
        <is>
          <t>DEGERFORS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46256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45569</v>
      </c>
      <c r="E195" s="1" t="n">
        <v>46256</v>
      </c>
      <c r="F195" t="inlineStr">
        <is>
          <t>ÖREBRO LÄN</t>
        </is>
      </c>
      <c r="G195" t="inlineStr">
        <is>
          <t>DEGERFORS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46204</v>
      </c>
      <c r="E196" s="1" t="n">
        <v>46256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44816</v>
      </c>
      <c r="E197" s="1" t="n">
        <v>46256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44463</v>
      </c>
      <c r="E198" s="1" t="n">
        <v>46256</v>
      </c>
      <c r="F198" t="inlineStr">
        <is>
          <t>ÖREBRO LÄN</t>
        </is>
      </c>
      <c r="G198" t="inlineStr">
        <is>
          <t>DEGERFORS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46256</v>
      </c>
      <c r="F199" t="inlineStr">
        <is>
          <t>ÖREBRO LÄN</t>
        </is>
      </c>
      <c r="G199" t="inlineStr">
        <is>
          <t>DEGERFORS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45912</v>
      </c>
      <c r="E200" s="1" t="n">
        <v>46256</v>
      </c>
      <c r="F200" t="inlineStr">
        <is>
          <t>ÖREBRO LÄN</t>
        </is>
      </c>
      <c r="G200" t="inlineStr">
        <is>
          <t>DEGERFORS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61750-2021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46256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46256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46256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46256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46256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46256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46256</v>
      </c>
      <c r="F207" t="inlineStr">
        <is>
          <t>ÖREBRO LÄN</t>
        </is>
      </c>
      <c r="G207" t="inlineStr">
        <is>
          <t>DEGERFORS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46256</v>
      </c>
      <c r="F208" t="inlineStr">
        <is>
          <t>ÖREBRO LÄN</t>
        </is>
      </c>
      <c r="G208" t="inlineStr">
        <is>
          <t>DEGERFORS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46256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46256</v>
      </c>
      <c r="F210" t="inlineStr">
        <is>
          <t>ÖREBRO LÄN</t>
        </is>
      </c>
      <c r="G210" t="inlineStr">
        <is>
          <t>DEGERFORS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46256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46256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46256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46256</v>
      </c>
      <c r="F214" t="inlineStr">
        <is>
          <t>ÖREBRO LÄN</t>
        </is>
      </c>
      <c r="G214" t="inlineStr">
        <is>
          <t>DEGERFORS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46256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46256</v>
      </c>
      <c r="F216" t="inlineStr">
        <is>
          <t>ÖREBRO LÄN</t>
        </is>
      </c>
      <c r="G216" t="inlineStr">
        <is>
          <t>DEGERFORS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18831-2025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46256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45190</v>
      </c>
      <c r="E218" s="1" t="n">
        <v>46256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46256</v>
      </c>
      <c r="F219" t="inlineStr">
        <is>
          <t>ÖREBRO LÄN</t>
        </is>
      </c>
      <c r="G219" t="inlineStr">
        <is>
          <t>DEGERFORS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46256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46256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46256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46256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46256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45635</v>
      </c>
      <c r="E225" s="1" t="n">
        <v>46256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46256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23229-2026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46162</v>
      </c>
      <c r="E227" s="1" t="n">
        <v>46256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46256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46256</v>
      </c>
      <c r="F229" t="inlineStr">
        <is>
          <t>ÖREBRO LÄN</t>
        </is>
      </c>
      <c r="G229" t="inlineStr">
        <is>
          <t>DEGERFORS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46256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14678-2025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45742</v>
      </c>
      <c r="E231" s="1" t="n">
        <v>46256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46256</v>
      </c>
      <c r="F232" t="inlineStr">
        <is>
          <t>ÖREBRO LÄN</t>
        </is>
      </c>
      <c r="G232" t="inlineStr">
        <is>
          <t>DEGERFORS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46256</v>
      </c>
      <c r="F233" t="inlineStr">
        <is>
          <t>ÖREBRO LÄN</t>
        </is>
      </c>
      <c r="G233" t="inlineStr">
        <is>
          <t>DEGERFORS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46256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46256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46256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46256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46256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46256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46256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46256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2026-08-22T01:45:28Z</dcterms:created>
  <dcterms:modified xmlns:dcterms="http://purl.org/dc/terms/" xmlns:xsi="http://www.w3.org/2001/XMLSchema-instance" xsi:type="dcterms:W3CDTF">2026-08-22T01:45:28Z</dcterms:modified>
</cp:coreProperties>
</file>