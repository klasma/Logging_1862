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46320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46320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46320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46320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46320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46320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46320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46320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46320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46320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5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8</v>
      </c>
      <c r="T11" t="n">
        <v>22</v>
      </c>
      <c r="U11" t="n">
        <v>21</v>
      </c>
      <c r="V11" s="2" t="inlineStr">
        <is>
          <t>Jungfrulin
Motaggsvamp
Nordfladdermus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46320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46320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46320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46320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46320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47975-2025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45932</v>
      </c>
      <c r="E17" s="1" t="n">
        <v>46320</v>
      </c>
      <c r="F17" t="inlineStr">
        <is>
          <t>ÖREBRO LÄN</t>
        </is>
      </c>
      <c r="G17" t="inlineStr">
        <is>
          <t>DEGERFORS</t>
        </is>
      </c>
      <c r="I17" t="n">
        <v>11.8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Tretåig hackspett
Spillkråka
Kråka
Kungsfågel</t>
        </is>
      </c>
      <c r="W17">
        <f>HYPERLINK("https://klasma.github.io/Logging_1862/artfynd/A 47975-2025 artfynd.xlsx", "A 47975-2025")</f>
        <v/>
      </c>
      <c r="X17">
        <f>HYPERLINK("https://klasma.github.io/Logging_1862/kartor/A 47975-2025 karta.png", "A 47975-2025")</f>
        <v/>
      </c>
      <c r="Y17">
        <f>HYPERLINK("https://klasma.github.io/Logging_1862/kartor_geotiff/A 47975-2025 georefererad karta.tif", "A 47975-2025")</f>
        <v/>
      </c>
      <c r="AA17">
        <f>HYPERLINK("https://klasma.github.io/Logging_1862/klagomål/A 47975-2025 FSC-klagomål.docx", "A 47975-2025")</f>
        <v/>
      </c>
      <c r="AB17">
        <f>HYPERLINK("https://klasma.github.io/Logging_1862/klagomålsmail/A 47975-2025 FSC-klagomål mail.docx", "A 47975-2025")</f>
        <v/>
      </c>
      <c r="AC17">
        <f>HYPERLINK("https://klasma.github.io/Logging_1862/tillsyn/A 47975-2025 tillsynsbegäran.docx", "A 47975-2025")</f>
        <v/>
      </c>
      <c r="AD17">
        <f>HYPERLINK("https://klasma.github.io/Logging_1862/tillsynsmail/A 47975-2025 tillsynsbegäran mail.docx", "A 47975-2025")</f>
        <v/>
      </c>
      <c r="AE17">
        <f>HYPERLINK("https://klasma.github.io/Logging_1862/fåglar/A 47975-2025 prioriterade fågelarter.docx", "A 47975-2025")</f>
        <v/>
      </c>
    </row>
    <row r="18" ht="15" customHeight="1">
      <c r="A18" t="inlineStr">
        <is>
          <t>A 38915-2023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46320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4.5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Mattlummer
Spillkråka
Sångsvan</t>
        </is>
      </c>
      <c r="W18">
        <f>HYPERLINK("https://klasma.github.io/Logging_1862/artfynd/A 38915-2023 artfynd.xlsx", "A 38915-2023")</f>
        <v/>
      </c>
      <c r="X18">
        <f>HYPERLINK("https://klasma.github.io/Logging_1862/kartor/A 38915-2023 karta.png", "A 38915-2023")</f>
        <v/>
      </c>
      <c r="Y18">
        <f>HYPERLINK("https://klasma.github.io/Logging_1862/kartor_geotiff/A 38915-2023 georefererad karta.tif", "A 38915-2023")</f>
        <v/>
      </c>
      <c r="AA18">
        <f>HYPERLINK("https://klasma.github.io/Logging_1862/klagomål/A 38915-2023 FSC-klagomål.docx", "A 38915-2023")</f>
        <v/>
      </c>
      <c r="AB18">
        <f>HYPERLINK("https://klasma.github.io/Logging_1862/klagomålsmail/A 38915-2023 FSC-klagomål mail.docx", "A 38915-2023")</f>
        <v/>
      </c>
      <c r="AC18">
        <f>HYPERLINK("https://klasma.github.io/Logging_1862/tillsyn/A 38915-2023 tillsynsbegäran.docx", "A 38915-2023")</f>
        <v/>
      </c>
      <c r="AD18">
        <f>HYPERLINK("https://klasma.github.io/Logging_1862/tillsynsmail/A 38915-2023 tillsynsbegäran mail.docx", "A 38915-2023")</f>
        <v/>
      </c>
      <c r="AE18">
        <f>HYPERLINK("https://klasma.github.io/Logging_1862/fåglar/A 38915-2023 prioriterade fågelarter.docx", "A 38915-2023")</f>
        <v/>
      </c>
    </row>
    <row r="19" ht="15" customHeight="1">
      <c r="A19" t="inlineStr">
        <is>
          <t>A 48284-2023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45205</v>
      </c>
      <c r="E19" s="1" t="n">
        <v>46320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6.7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Spillkråka
Kungsfågel
Revlummer</t>
        </is>
      </c>
      <c r="W19">
        <f>HYPERLINK("https://klasma.github.io/Logging_1862/artfynd/A 48284-2023 artfynd.xlsx", "A 48284-2023")</f>
        <v/>
      </c>
      <c r="X19">
        <f>HYPERLINK("https://klasma.github.io/Logging_1862/kartor/A 48284-2023 karta.png", "A 48284-2023")</f>
        <v/>
      </c>
      <c r="Y19">
        <f>HYPERLINK("https://klasma.github.io/Logging_1862/kartor_geotiff/A 48284-2023 georefererad karta.tif", "A 48284-2023")</f>
        <v/>
      </c>
      <c r="AA19">
        <f>HYPERLINK("https://klasma.github.io/Logging_1862/klagomål/A 48284-2023 FSC-klagomål.docx", "A 48284-2023")</f>
        <v/>
      </c>
      <c r="AB19">
        <f>HYPERLINK("https://klasma.github.io/Logging_1862/klagomålsmail/A 48284-2023 FSC-klagomål mail.docx", "A 48284-2023")</f>
        <v/>
      </c>
      <c r="AC19">
        <f>HYPERLINK("https://klasma.github.io/Logging_1862/tillsyn/A 48284-2023 tillsynsbegäran.docx", "A 48284-2023")</f>
        <v/>
      </c>
      <c r="AD19">
        <f>HYPERLINK("https://klasma.github.io/Logging_1862/tillsynsmail/A 48284-2023 tillsynsbegäran mail.docx", "A 48284-2023")</f>
        <v/>
      </c>
      <c r="AE19">
        <f>HYPERLINK("https://klasma.github.io/Logging_1862/fåglar/A 48284-2023 prioriterade fågelarter.docx", "A 48284-2023")</f>
        <v/>
      </c>
    </row>
    <row r="20" ht="15" customHeight="1">
      <c r="A20" t="inlineStr">
        <is>
          <t>A 12720-2024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45384</v>
      </c>
      <c r="E20" s="1" t="n">
        <v>46320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5.1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7</v>
      </c>
      <c r="U20" t="n">
        <v>7</v>
      </c>
      <c r="V20" s="2" t="inlineStr">
        <is>
          <t>Nordfladdermus
Svinrot
Tretåig hackspett
Fläcknycklar</t>
        </is>
      </c>
      <c r="W20">
        <f>HYPERLINK("https://klasma.github.io/Logging_1862/artfynd/A 12720-2024 artfynd.xlsx", "A 12720-2024")</f>
        <v/>
      </c>
      <c r="X20">
        <f>HYPERLINK("https://klasma.github.io/Logging_1862/kartor/A 12720-2024 karta.png", "A 12720-2024")</f>
        <v/>
      </c>
      <c r="Y20">
        <f>HYPERLINK("https://klasma.github.io/Logging_1862/kartor_geotiff/A 12720-2024 georefererad karta.tif", "A 12720-2024")</f>
        <v/>
      </c>
      <c r="AA20">
        <f>HYPERLINK("https://klasma.github.io/Logging_1862/klagomål/A 12720-2024 FSC-klagomål.docx", "A 12720-2024")</f>
        <v/>
      </c>
      <c r="AB20">
        <f>HYPERLINK("https://klasma.github.io/Logging_1862/klagomålsmail/A 12720-2024 FSC-klagomål mail.docx", "A 12720-2024")</f>
        <v/>
      </c>
      <c r="AC20">
        <f>HYPERLINK("https://klasma.github.io/Logging_1862/tillsyn/A 12720-2024 tillsynsbegäran.docx", "A 12720-2024")</f>
        <v/>
      </c>
      <c r="AD20">
        <f>HYPERLINK("https://klasma.github.io/Logging_1862/tillsynsmail/A 12720-2024 tillsynsbegäran mail.docx", "A 12720-2024")</f>
        <v/>
      </c>
      <c r="AE20">
        <f>HYPERLINK("https://klasma.github.io/Logging_1862/fåglar/A 12720-2024 prioriterade fågelarter.docx", "A 12720-2024")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46320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46320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46320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27671-2026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46190</v>
      </c>
      <c r="E24" s="1" t="n">
        <v>46320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Spillkråka
Tjäder
Fläcknycklar</t>
        </is>
      </c>
      <c r="W24">
        <f>HYPERLINK("https://klasma.github.io/Logging_1862/artfynd/A 27671-2026 artfynd.xlsx", "A 27671-2026")</f>
        <v/>
      </c>
      <c r="X24">
        <f>HYPERLINK("https://klasma.github.io/Logging_1862/kartor/A 27671-2026 karta.png", "A 27671-2026")</f>
        <v/>
      </c>
      <c r="Y24">
        <f>HYPERLINK("https://klasma.github.io/Logging_1862/kartor_geotiff/A 27671-2026 georefererad karta.tif", "A 27671-2026")</f>
        <v/>
      </c>
      <c r="AA24">
        <f>HYPERLINK("https://klasma.github.io/Logging_1862/klagomål/A 27671-2026 FSC-klagomål.docx", "A 27671-2026")</f>
        <v/>
      </c>
      <c r="AB24">
        <f>HYPERLINK("https://klasma.github.io/Logging_1862/klagomålsmail/A 27671-2026 FSC-klagomål mail.docx", "A 27671-2026")</f>
        <v/>
      </c>
      <c r="AC24">
        <f>HYPERLINK("https://klasma.github.io/Logging_1862/tillsyn/A 27671-2026 tillsynsbegäran.docx", "A 27671-2026")</f>
        <v/>
      </c>
      <c r="AD24">
        <f>HYPERLINK("https://klasma.github.io/Logging_1862/tillsynsmail/A 27671-2026 tillsynsbegäran mail.docx", "A 27671-2026")</f>
        <v/>
      </c>
      <c r="AE24">
        <f>HYPERLINK("https://klasma.github.io/Logging_1862/fåglar/A 27671-2026 prioriterade fågelarter.docx", "A 27671-2026")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46320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47785-2025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46320</v>
      </c>
      <c r="F26" t="inlineStr">
        <is>
          <t>ÖREBRO LÄN</t>
        </is>
      </c>
      <c r="G26" t="inlineStr">
        <is>
          <t>DEGERFORS</t>
        </is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Spillkråka
Kungsfågel</t>
        </is>
      </c>
      <c r="W26">
        <f>HYPERLINK("https://klasma.github.io/Logging_1862/artfynd/A 47785-2025 artfynd.xlsx", "A 47785-2025")</f>
        <v/>
      </c>
      <c r="X26">
        <f>HYPERLINK("https://klasma.github.io/Logging_1862/kartor/A 47785-2025 karta.png", "A 47785-2025")</f>
        <v/>
      </c>
      <c r="Y26">
        <f>HYPERLINK("https://klasma.github.io/Logging_1862/kartor_geotiff/A 47785-2025 georefererad karta.tif", "A 47785-2025")</f>
        <v/>
      </c>
      <c r="AA26">
        <f>HYPERLINK("https://klasma.github.io/Logging_1862/klagomål/A 47785-2025 FSC-klagomål.docx", "A 47785-2025")</f>
        <v/>
      </c>
      <c r="AB26">
        <f>HYPERLINK("https://klasma.github.io/Logging_1862/klagomålsmail/A 47785-2025 FSC-klagomål mail.docx", "A 47785-2025")</f>
        <v/>
      </c>
      <c r="AC26">
        <f>HYPERLINK("https://klasma.github.io/Logging_1862/tillsyn/A 47785-2025 tillsynsbegäran.docx", "A 47785-2025")</f>
        <v/>
      </c>
      <c r="AD26">
        <f>HYPERLINK("https://klasma.github.io/Logging_1862/tillsynsmail/A 47785-2025 tillsynsbegäran mail.docx", "A 47785-2025")</f>
        <v/>
      </c>
      <c r="AE26">
        <f>HYPERLINK("https://klasma.github.io/Logging_1862/fåglar/A 47785-2025 prioriterade fågelarter.docx", "A 47785-2025")</f>
        <v/>
      </c>
    </row>
    <row r="27" ht="15" customHeight="1">
      <c r="A27" t="inlineStr">
        <is>
          <t>A 28976-2026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46320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2.3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Orange taggsvamp
Talltita</t>
        </is>
      </c>
      <c r="W27">
        <f>HYPERLINK("https://klasma.github.io/Logging_1862/artfynd/A 28976-2026 artfynd.xlsx", "A 28976-2026")</f>
        <v/>
      </c>
      <c r="X27">
        <f>HYPERLINK("https://klasma.github.io/Logging_1862/kartor/A 28976-2026 karta.png", "A 28976-2026")</f>
        <v/>
      </c>
      <c r="Y27">
        <f>HYPERLINK("https://klasma.github.io/Logging_1862/kartor_geotiff/A 28976-2026 georefererad karta.tif", "A 28976-2026")</f>
        <v/>
      </c>
      <c r="AA27">
        <f>HYPERLINK("https://klasma.github.io/Logging_1862/klagomål/A 28976-2026 FSC-klagomål.docx", "A 28976-2026")</f>
        <v/>
      </c>
      <c r="AB27">
        <f>HYPERLINK("https://klasma.github.io/Logging_1862/klagomålsmail/A 28976-2026 FSC-klagomål mail.docx", "A 28976-2026")</f>
        <v/>
      </c>
      <c r="AC27">
        <f>HYPERLINK("https://klasma.github.io/Logging_1862/tillsyn/A 28976-2026 tillsynsbegäran.docx", "A 28976-2026")</f>
        <v/>
      </c>
      <c r="AD27">
        <f>HYPERLINK("https://klasma.github.io/Logging_1862/tillsynsmail/A 28976-2026 tillsynsbegäran mail.docx", "A 28976-2026")</f>
        <v/>
      </c>
      <c r="AE27">
        <f>HYPERLINK("https://klasma.github.io/Logging_1862/fåglar/A 28976-2026 prioriterade fågelarter.docx", "A 28976-2026")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46320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46320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46320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4256-2026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46320</v>
      </c>
      <c r="F31" t="inlineStr">
        <is>
          <t>ÖREBRO LÄN</t>
        </is>
      </c>
      <c r="G31" t="inlineStr">
        <is>
          <t>DEGERFORS</t>
        </is>
      </c>
      <c r="I31" t="n">
        <v>2.9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Skogsklocka
Slåtterfibbla</t>
        </is>
      </c>
      <c r="W31">
        <f>HYPERLINK("https://klasma.github.io/Logging_1862/artfynd/A 4256-2026 artfynd.xlsx", "A 4256-2026")</f>
        <v/>
      </c>
      <c r="X31">
        <f>HYPERLINK("https://klasma.github.io/Logging_1862/kartor/A 4256-2026 karta.png", "A 4256-2026")</f>
        <v/>
      </c>
      <c r="Y31">
        <f>HYPERLINK("https://klasma.github.io/Logging_1862/kartor_geotiff/A 4256-2026 georefererad karta.tif", "A 4256-2026")</f>
        <v/>
      </c>
      <c r="AA31">
        <f>HYPERLINK("https://klasma.github.io/Logging_1862/klagomål/A 4256-2026 FSC-klagomål.docx", "A 4256-2026")</f>
        <v/>
      </c>
      <c r="AB31">
        <f>HYPERLINK("https://klasma.github.io/Logging_1862/klagomålsmail/A 4256-2026 FSC-klagomål mail.docx", "A 4256-2026")</f>
        <v/>
      </c>
      <c r="AC31">
        <f>HYPERLINK("https://klasma.github.io/Logging_1862/tillsyn/A 4256-2026 tillsynsbegäran.docx", "A 4256-2026")</f>
        <v/>
      </c>
      <c r="AD31">
        <f>HYPERLINK("https://klasma.github.io/Logging_1862/tillsynsmail/A 4256-2026 tillsynsbegäran mail.docx", "A 4256-2026")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46320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14121-2022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46320</v>
      </c>
      <c r="F33" t="inlineStr">
        <is>
          <t>ÖREBRO LÄN</t>
        </is>
      </c>
      <c r="G33" t="inlineStr">
        <is>
          <t>DEGERFORS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Hårklomossa</t>
        </is>
      </c>
      <c r="W33">
        <f>HYPERLINK("https://klasma.github.io/Logging_1862/artfynd/A 14121-2022 artfynd.xlsx", "A 14121-2022")</f>
        <v/>
      </c>
      <c r="X33">
        <f>HYPERLINK("https://klasma.github.io/Logging_1862/kartor/A 14121-2022 karta.png", "A 14121-2022")</f>
        <v/>
      </c>
      <c r="Y33">
        <f>HYPERLINK("https://klasma.github.io/Logging_1862/kartor_geotiff/A 14121-2022 georefererad karta.tif", "A 14121-2022")</f>
        <v/>
      </c>
      <c r="AA33">
        <f>HYPERLINK("https://klasma.github.io/Logging_1862/klagomål/A 14121-2022 FSC-klagomål.docx", "A 14121-2022")</f>
        <v/>
      </c>
      <c r="AB33">
        <f>HYPERLINK("https://klasma.github.io/Logging_1862/klagomålsmail/A 14121-2022 FSC-klagomål mail.docx", "A 14121-2022")</f>
        <v/>
      </c>
      <c r="AC33">
        <f>HYPERLINK("https://klasma.github.io/Logging_1862/tillsyn/A 14121-2022 tillsynsbegäran.docx", "A 14121-2022")</f>
        <v/>
      </c>
      <c r="AD33">
        <f>HYPERLINK("https://klasma.github.io/Logging_1862/tillsynsmail/A 14121-2022 tillsynsbegäran mail.docx", "A 14121-2022")</f>
        <v/>
      </c>
    </row>
    <row r="34" ht="15" customHeight="1">
      <c r="A34" t="inlineStr">
        <is>
          <t>A 49306-2025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45938</v>
      </c>
      <c r="E34" s="1" t="n">
        <v>46320</v>
      </c>
      <c r="F34" t="inlineStr">
        <is>
          <t>ÖREBRO LÄN</t>
        </is>
      </c>
      <c r="G34" t="inlineStr">
        <is>
          <t>DEGERFORS</t>
        </is>
      </c>
      <c r="I34" t="n">
        <v>5.8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 trolldruva</t>
        </is>
      </c>
      <c r="W34">
        <f>HYPERLINK("https://klasma.github.io/Logging_1862/artfynd/A 49306-2025 artfynd.xlsx", "A 49306-2025")</f>
        <v/>
      </c>
      <c r="X34">
        <f>HYPERLINK("https://klasma.github.io/Logging_1862/kartor/A 49306-2025 karta.png", "A 49306-2025")</f>
        <v/>
      </c>
      <c r="Y34">
        <f>HYPERLINK("https://klasma.github.io/Logging_1862/kartor_geotiff/A 49306-2025 georefererad karta.tif", "A 49306-2025")</f>
        <v/>
      </c>
      <c r="AA34">
        <f>HYPERLINK("https://klasma.github.io/Logging_1862/klagomål/A 49306-2025 FSC-klagomål.docx", "A 49306-2025")</f>
        <v/>
      </c>
      <c r="AB34">
        <f>HYPERLINK("https://klasma.github.io/Logging_1862/klagomålsmail/A 49306-2025 FSC-klagomål mail.docx", "A 49306-2025")</f>
        <v/>
      </c>
      <c r="AC34">
        <f>HYPERLINK("https://klasma.github.io/Logging_1862/tillsyn/A 49306-2025 tillsynsbegäran.docx", "A 49306-2025")</f>
        <v/>
      </c>
      <c r="AD34">
        <f>HYPERLINK("https://klasma.github.io/Logging_1862/tillsynsmail/A 49306-2025 tillsynsbegäran mail.docx", "A 49306-2025")</f>
        <v/>
      </c>
    </row>
    <row r="35" ht="15" customHeight="1">
      <c r="A35" t="inlineStr">
        <is>
          <t>A 27071-2026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46186</v>
      </c>
      <c r="E35" s="1" t="n">
        <v>46320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9.9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Vedticka</t>
        </is>
      </c>
      <c r="W35">
        <f>HYPERLINK("https://klasma.github.io/Logging_1862/artfynd/A 27071-2026 artfynd.xlsx", "A 27071-2026")</f>
        <v/>
      </c>
      <c r="X35">
        <f>HYPERLINK("https://klasma.github.io/Logging_1862/kartor/A 27071-2026 karta.png", "A 27071-2026")</f>
        <v/>
      </c>
      <c r="Y35">
        <f>HYPERLINK("https://klasma.github.io/Logging_1862/kartor_geotiff/A 27071-2026 georefererad karta.tif", "A 27071-2026")</f>
        <v/>
      </c>
      <c r="AA35">
        <f>HYPERLINK("https://klasma.github.io/Logging_1862/klagomål/A 27071-2026 FSC-klagomål.docx", "A 27071-2026")</f>
        <v/>
      </c>
      <c r="AB35">
        <f>HYPERLINK("https://klasma.github.io/Logging_1862/klagomålsmail/A 27071-2026 FSC-klagomål mail.docx", "A 27071-2026")</f>
        <v/>
      </c>
      <c r="AC35">
        <f>HYPERLINK("https://klasma.github.io/Logging_1862/tillsyn/A 27071-2026 tillsynsbegäran.docx", "A 27071-2026")</f>
        <v/>
      </c>
      <c r="AD35">
        <f>HYPERLINK("https://klasma.github.io/Logging_1862/tillsynsmail/A 27071-2026 tillsynsbegäran mail.docx", "A 27071-2026")</f>
        <v/>
      </c>
    </row>
    <row r="36" ht="15" customHeight="1">
      <c r="A36" t="inlineStr">
        <is>
          <t>A 27072-2026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46186</v>
      </c>
      <c r="E36" s="1" t="n">
        <v>46320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7.6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HYPERLINK("https://klasma.github.io/Logging_1862/artfynd/A 27072-2026 artfynd.xlsx", "A 27072-2026")</f>
        <v/>
      </c>
      <c r="X36">
        <f>HYPERLINK("https://klasma.github.io/Logging_1862/kartor/A 27072-2026 karta.png", "A 27072-2026")</f>
        <v/>
      </c>
      <c r="Y36">
        <f>HYPERLINK("https://klasma.github.io/Logging_1862/kartor_geotiff/A 27072-2026 georefererad karta.tif", "A 27072-2026")</f>
        <v/>
      </c>
      <c r="AA36">
        <f>HYPERLINK("https://klasma.github.io/Logging_1862/klagomål/A 27072-2026 FSC-klagomål.docx", "A 27072-2026")</f>
        <v/>
      </c>
      <c r="AB36">
        <f>HYPERLINK("https://klasma.github.io/Logging_1862/klagomålsmail/A 27072-2026 FSC-klagomål mail.docx", "A 27072-2026")</f>
        <v/>
      </c>
      <c r="AC36">
        <f>HYPERLINK("https://klasma.github.io/Logging_1862/tillsyn/A 27072-2026 tillsynsbegäran.docx", "A 27072-2026")</f>
        <v/>
      </c>
      <c r="AD36">
        <f>HYPERLINK("https://klasma.github.io/Logging_1862/tillsynsmail/A 27072-2026 tillsynsbegäran mail.docx", "A 27072-2026")</f>
        <v/>
      </c>
      <c r="AE36">
        <f>HYPERLINK("https://klasma.github.io/Logging_1862/fåglar/A 27072-2026 prioriterade fågelarter.docx", "A 27072-2026")</f>
        <v/>
      </c>
    </row>
    <row r="37" ht="15" customHeight="1">
      <c r="A37" t="inlineStr">
        <is>
          <t>A 47787-2025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46320</v>
      </c>
      <c r="F37" t="inlineStr">
        <is>
          <t>ÖREBRO LÄN</t>
        </is>
      </c>
      <c r="G37" t="inlineStr">
        <is>
          <t>DEGERFORS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Tretåig hackspett</t>
        </is>
      </c>
      <c r="W37">
        <f>HYPERLINK("https://klasma.github.io/Logging_1862/artfynd/A 47787-2025 artfynd.xlsx", "A 47787-2025")</f>
        <v/>
      </c>
      <c r="X37">
        <f>HYPERLINK("https://klasma.github.io/Logging_1862/kartor/A 47787-2025 karta.png", "A 47787-2025")</f>
        <v/>
      </c>
      <c r="Y37">
        <f>HYPERLINK("https://klasma.github.io/Logging_1862/kartor_geotiff/A 47787-2025 georefererad karta.tif", "A 47787-2025")</f>
        <v/>
      </c>
      <c r="AA37">
        <f>HYPERLINK("https://klasma.github.io/Logging_1862/klagomål/A 47787-2025 FSC-klagomål.docx", "A 47787-2025")</f>
        <v/>
      </c>
      <c r="AB37">
        <f>HYPERLINK("https://klasma.github.io/Logging_1862/klagomålsmail/A 47787-2025 FSC-klagomål mail.docx", "A 47787-2025")</f>
        <v/>
      </c>
      <c r="AC37">
        <f>HYPERLINK("https://klasma.github.io/Logging_1862/tillsyn/A 47787-2025 tillsynsbegäran.docx", "A 47787-2025")</f>
        <v/>
      </c>
      <c r="AD37">
        <f>HYPERLINK("https://klasma.github.io/Logging_1862/tillsynsmail/A 47787-2025 tillsynsbegäran mail.docx", "A 47787-2025")</f>
        <v/>
      </c>
      <c r="AE37">
        <f>HYPERLINK("https://klasma.github.io/Logging_1862/fåglar/A 47787-2025 prioriterade fågelarter.docx", "A 47787-2025")</f>
        <v/>
      </c>
    </row>
    <row r="38" ht="15" customHeight="1">
      <c r="A38" t="inlineStr">
        <is>
          <t>A 26971-2026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46320</v>
      </c>
      <c r="F38" t="inlineStr">
        <is>
          <t>ÖREBRO LÄN</t>
        </is>
      </c>
      <c r="G38" t="inlineStr">
        <is>
          <t>DEGERFORS</t>
        </is>
      </c>
      <c r="I38" t="n">
        <v>2.1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Stuplav</t>
        </is>
      </c>
      <c r="W38">
        <f>HYPERLINK("https://klasma.github.io/Logging_1862/artfynd/A 26971-2026 artfynd.xlsx", "A 26971-2026")</f>
        <v/>
      </c>
      <c r="X38">
        <f>HYPERLINK("https://klasma.github.io/Logging_1862/kartor/A 26971-2026 karta.png", "A 26971-2026")</f>
        <v/>
      </c>
      <c r="Y38">
        <f>HYPERLINK("https://klasma.github.io/Logging_1862/kartor_geotiff/A 26971-2026 georefererad karta.tif", "A 26971-2026")</f>
        <v/>
      </c>
      <c r="AA38">
        <f>HYPERLINK("https://klasma.github.io/Logging_1862/klagomål/A 26971-2026 FSC-klagomål.docx", "A 26971-2026")</f>
        <v/>
      </c>
      <c r="AB38">
        <f>HYPERLINK("https://klasma.github.io/Logging_1862/klagomålsmail/A 26971-2026 FSC-klagomål mail.docx", "A 26971-2026")</f>
        <v/>
      </c>
      <c r="AC38">
        <f>HYPERLINK("https://klasma.github.io/Logging_1862/tillsyn/A 26971-2026 tillsynsbegäran.docx", "A 26971-2026")</f>
        <v/>
      </c>
      <c r="AD38">
        <f>HYPERLINK("https://klasma.github.io/Logging_1862/tillsynsmail/A 26971-2026 tillsynsbegäran mail.docx", "A 26971-2026")</f>
        <v/>
      </c>
    </row>
    <row r="39" ht="15" customHeight="1">
      <c r="A39" t="inlineStr">
        <is>
          <t>A 38907-2023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46320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38907-2023 artfynd.xlsx", "A 38907-2023")</f>
        <v/>
      </c>
      <c r="X39">
        <f>HYPERLINK("https://klasma.github.io/Logging_1862/kartor/A 38907-2023 karta.png", "A 38907-2023")</f>
        <v/>
      </c>
      <c r="Y39">
        <f>HYPERLINK("https://klasma.github.io/Logging_1862/kartor_geotiff/A 38907-2023 georefererad karta.tif", "A 38907-2023")</f>
        <v/>
      </c>
      <c r="AA39">
        <f>HYPERLINK("https://klasma.github.io/Logging_1862/klagomål/A 38907-2023 FSC-klagomål.docx", "A 38907-2023")</f>
        <v/>
      </c>
      <c r="AB39">
        <f>HYPERLINK("https://klasma.github.io/Logging_1862/klagomålsmail/A 38907-2023 FSC-klagomål mail.docx", "A 38907-2023")</f>
        <v/>
      </c>
      <c r="AC39">
        <f>HYPERLINK("https://klasma.github.io/Logging_1862/tillsyn/A 38907-2023 tillsynsbegäran.docx", "A 38907-2023")</f>
        <v/>
      </c>
      <c r="AD39">
        <f>HYPERLINK("https://klasma.github.io/Logging_1862/tillsynsmail/A 38907-2023 tillsynsbegäran mail.docx", "A 38907-2023")</f>
        <v/>
      </c>
      <c r="AE39">
        <f>HYPERLINK("https://klasma.github.io/Logging_1862/fåglar/A 38907-2023 prioriterade fågelarter.docx", "A 38907-2023")</f>
        <v/>
      </c>
    </row>
    <row r="40" ht="15" customHeight="1">
      <c r="A40" t="inlineStr">
        <is>
          <t>A 2357-2022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44578</v>
      </c>
      <c r="E40" s="1" t="n">
        <v>46320</v>
      </c>
      <c r="F40" t="inlineStr">
        <is>
          <t>ÖREBRO LÄN</t>
        </is>
      </c>
      <c r="G40" t="inlineStr">
        <is>
          <t>DEGERFORS</t>
        </is>
      </c>
      <c r="I40" t="n">
        <v>4.5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HYPERLINK("https://klasma.github.io/Logging_1862/artfynd/A 2357-2022 artfynd.xlsx", "A 2357-2022")</f>
        <v/>
      </c>
      <c r="X40">
        <f>HYPERLINK("https://klasma.github.io/Logging_1862/kartor/A 2357-2022 karta.png", "A 2357-2022")</f>
        <v/>
      </c>
      <c r="Y40">
        <f>HYPERLINK("https://klasma.github.io/Logging_1862/kartor_geotiff/A 2357-2022 georefererad karta.tif", "A 2357-2022")</f>
        <v/>
      </c>
      <c r="AA40">
        <f>HYPERLINK("https://klasma.github.io/Logging_1862/klagomål/A 2357-2022 FSC-klagomål.docx", "A 2357-2022")</f>
        <v/>
      </c>
      <c r="AB40">
        <f>HYPERLINK("https://klasma.github.io/Logging_1862/klagomålsmail/A 2357-2022 FSC-klagomål mail.docx", "A 2357-2022")</f>
        <v/>
      </c>
      <c r="AC40">
        <f>HYPERLINK("https://klasma.github.io/Logging_1862/tillsyn/A 2357-2022 tillsynsbegäran.docx", "A 2357-2022")</f>
        <v/>
      </c>
      <c r="AD40">
        <f>HYPERLINK("https://klasma.github.io/Logging_1862/tillsynsmail/A 2357-2022 tillsynsbegäran mail.docx", "A 2357-2022")</f>
        <v/>
      </c>
      <c r="AE40">
        <f>HYPERLINK("https://klasma.github.io/Logging_1862/fåglar/A 2357-2022 prioriterade fågelarter.docx", "A 2357-2022")</f>
        <v/>
      </c>
    </row>
    <row r="41" ht="15" customHeight="1">
      <c r="A41" t="inlineStr">
        <is>
          <t>A 53838-2024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45614</v>
      </c>
      <c r="E41" s="1" t="n">
        <v>46320</v>
      </c>
      <c r="F41" t="inlineStr">
        <is>
          <t>ÖREBRO LÄN</t>
        </is>
      </c>
      <c r="G41" t="inlineStr">
        <is>
          <t>DEGERFORS</t>
        </is>
      </c>
      <c r="I41" t="n">
        <v>4.3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HYPERLINK("https://klasma.github.io/Logging_1862/artfynd/A 53838-2024 artfynd.xlsx", "A 53838-2024")</f>
        <v/>
      </c>
      <c r="X41">
        <f>HYPERLINK("https://klasma.github.io/Logging_1862/kartor/A 53838-2024 karta.png", "A 53838-2024")</f>
        <v/>
      </c>
      <c r="Y41">
        <f>HYPERLINK("https://klasma.github.io/Logging_1862/kartor_geotiff/A 53838-2024 georefererad karta.tif", "A 53838-2024")</f>
        <v/>
      </c>
      <c r="AA41">
        <f>HYPERLINK("https://klasma.github.io/Logging_1862/klagomål/A 53838-2024 FSC-klagomål.docx", "A 53838-2024")</f>
        <v/>
      </c>
      <c r="AB41">
        <f>HYPERLINK("https://klasma.github.io/Logging_1862/klagomålsmail/A 53838-2024 FSC-klagomål mail.docx", "A 53838-2024")</f>
        <v/>
      </c>
      <c r="AC41">
        <f>HYPERLINK("https://klasma.github.io/Logging_1862/tillsyn/A 53838-2024 tillsynsbegäran.docx", "A 53838-2024")</f>
        <v/>
      </c>
      <c r="AD41">
        <f>HYPERLINK("https://klasma.github.io/Logging_1862/tillsynsmail/A 53838-2024 tillsynsbegäran mail.docx", "A 53838-2024")</f>
        <v/>
      </c>
      <c r="AE41">
        <f>HYPERLINK("https://klasma.github.io/Logging_1862/fåglar/A 53838-2024 prioriterade fågelarter.docx", "A 53838-2024")</f>
        <v/>
      </c>
    </row>
    <row r="42" ht="15" customHeight="1">
      <c r="A42" t="inlineStr">
        <is>
          <t>A 14177-2026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46320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HYPERLINK("https://klasma.github.io/Logging_1862/artfynd/A 14177-2026 artfynd.xlsx", "A 14177-2026")</f>
        <v/>
      </c>
      <c r="X42">
        <f>HYPERLINK("https://klasma.github.io/Logging_1862/kartor/A 14177-2026 karta.png", "A 14177-2026")</f>
        <v/>
      </c>
      <c r="Y42">
        <f>HYPERLINK("https://klasma.github.io/Logging_1862/kartor_geotiff/A 14177-2026 georefererad karta.tif", "A 14177-2026")</f>
        <v/>
      </c>
      <c r="AA42">
        <f>HYPERLINK("https://klasma.github.io/Logging_1862/klagomål/A 14177-2026 FSC-klagomål.docx", "A 14177-2026")</f>
        <v/>
      </c>
      <c r="AB42">
        <f>HYPERLINK("https://klasma.github.io/Logging_1862/klagomålsmail/A 14177-2026 FSC-klagomål mail.docx", "A 14177-2026")</f>
        <v/>
      </c>
      <c r="AC42">
        <f>HYPERLINK("https://klasma.github.io/Logging_1862/tillsyn/A 14177-2026 tillsynsbegäran.docx", "A 14177-2026")</f>
        <v/>
      </c>
      <c r="AD42">
        <f>HYPERLINK("https://klasma.github.io/Logging_1862/tillsynsmail/A 14177-2026 tillsynsbegäran mail.docx", "A 14177-2026")</f>
        <v/>
      </c>
    </row>
    <row r="43" ht="15" customHeight="1">
      <c r="A43" t="inlineStr">
        <is>
          <t>A 42337-2026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46307</v>
      </c>
      <c r="E43" s="1" t="n">
        <v>46320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HYPERLINK("https://klasma.github.io/Logging_1862/artfynd/A 42337-2026 artfynd.xlsx", "A 42337-2026")</f>
        <v/>
      </c>
      <c r="X43">
        <f>HYPERLINK("https://klasma.github.io/Logging_1862/kartor/A 42337-2026 karta.png", "A 42337-2026")</f>
        <v/>
      </c>
      <c r="Y43">
        <f>HYPERLINK("https://klasma.github.io/Logging_1862/kartor_geotiff/A 42337-2026 georefererad karta.tif", "A 42337-2026")</f>
        <v/>
      </c>
      <c r="AA43">
        <f>HYPERLINK("https://klasma.github.io/Logging_1862/klagomål/A 42337-2026 FSC-klagomål.docx", "A 42337-2026")</f>
        <v/>
      </c>
      <c r="AB43">
        <f>HYPERLINK("https://klasma.github.io/Logging_1862/klagomålsmail/A 42337-2026 FSC-klagomål mail.docx", "A 42337-2026")</f>
        <v/>
      </c>
      <c r="AC43">
        <f>HYPERLINK("https://klasma.github.io/Logging_1862/tillsyn/A 42337-2026 tillsynsbegäran.docx", "A 42337-2026")</f>
        <v/>
      </c>
      <c r="AD43">
        <f>HYPERLINK("https://klasma.github.io/Logging_1862/tillsynsmail/A 42337-2026 tillsynsbegäran mail.docx", "A 42337-2026")</f>
        <v/>
      </c>
    </row>
    <row r="44" ht="15" customHeight="1">
      <c r="A44" t="inlineStr">
        <is>
          <t>A 47915-2024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45589</v>
      </c>
      <c r="E44" s="1" t="n">
        <v>46320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HYPERLINK("https://klasma.github.io/Logging_1862/artfynd/A 47915-2024 artfynd.xlsx", "A 47915-2024")</f>
        <v/>
      </c>
      <c r="X44">
        <f>HYPERLINK("https://klasma.github.io/Logging_1862/kartor/A 47915-2024 karta.png", "A 47915-2024")</f>
        <v/>
      </c>
      <c r="Y44">
        <f>HYPERLINK("https://klasma.github.io/Logging_1862/kartor_geotiff/A 47915-2024 georefererad karta.tif", "A 47915-2024")</f>
        <v/>
      </c>
      <c r="AA44">
        <f>HYPERLINK("https://klasma.github.io/Logging_1862/klagomål/A 47915-2024 FSC-klagomål.docx", "A 47915-2024")</f>
        <v/>
      </c>
      <c r="AB44">
        <f>HYPERLINK("https://klasma.github.io/Logging_1862/klagomålsmail/A 47915-2024 FSC-klagomål mail.docx", "A 47915-2024")</f>
        <v/>
      </c>
      <c r="AC44">
        <f>HYPERLINK("https://klasma.github.io/Logging_1862/tillsyn/A 47915-2024 tillsynsbegäran.docx", "A 47915-2024")</f>
        <v/>
      </c>
      <c r="AD44">
        <f>HYPERLINK("https://klasma.github.io/Logging_1862/tillsynsmail/A 47915-2024 tillsynsbegäran mail.docx", "A 47915-2024")</f>
        <v/>
      </c>
    </row>
    <row r="45" ht="15" customHeight="1">
      <c r="A45" t="inlineStr">
        <is>
          <t>A 38904-2023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45163</v>
      </c>
      <c r="E45" s="1" t="n">
        <v>46320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38904-2023 artfynd.xlsx", "A 38904-2023")</f>
        <v/>
      </c>
      <c r="X45">
        <f>HYPERLINK("https://klasma.github.io/Logging_1862/kartor/A 38904-2023 karta.png", "A 38904-2023")</f>
        <v/>
      </c>
      <c r="Y45">
        <f>HYPERLINK("https://klasma.github.io/Logging_1862/kartor_geotiff/A 38904-2023 georefererad karta.tif", "A 38904-2023")</f>
        <v/>
      </c>
      <c r="AA45">
        <f>HYPERLINK("https://klasma.github.io/Logging_1862/klagomål/A 38904-2023 FSC-klagomål.docx", "A 38904-2023")</f>
        <v/>
      </c>
      <c r="AB45">
        <f>HYPERLINK("https://klasma.github.io/Logging_1862/klagomålsmail/A 38904-2023 FSC-klagomål mail.docx", "A 38904-2023")</f>
        <v/>
      </c>
      <c r="AC45">
        <f>HYPERLINK("https://klasma.github.io/Logging_1862/tillsyn/A 38904-2023 tillsynsbegäran.docx", "A 38904-2023")</f>
        <v/>
      </c>
      <c r="AD45">
        <f>HYPERLINK("https://klasma.github.io/Logging_1862/tillsynsmail/A 38904-2023 tillsynsbegäran mail.docx", "A 38904-2023")</f>
        <v/>
      </c>
      <c r="AE45">
        <f>HYPERLINK("https://klasma.github.io/Logging_1862/fåglar/A 38904-2023 prioriterade fågelarter.docx", "A 38904-2023")</f>
        <v/>
      </c>
    </row>
    <row r="46" ht="15" customHeight="1">
      <c r="A46" t="inlineStr">
        <is>
          <t>A 48285-2023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45205</v>
      </c>
      <c r="E46" s="1" t="n">
        <v>46320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HYPERLINK("https://klasma.github.io/Logging_1862/artfynd/A 48285-2023 artfynd.xlsx", "A 48285-2023")</f>
        <v/>
      </c>
      <c r="X46">
        <f>HYPERLINK("https://klasma.github.io/Logging_1862/kartor/A 48285-2023 karta.png", "A 48285-2023")</f>
        <v/>
      </c>
      <c r="Y46">
        <f>HYPERLINK("https://klasma.github.io/Logging_1862/kartor_geotiff/A 48285-2023 georefererad karta.tif", "A 48285-2023")</f>
        <v/>
      </c>
      <c r="AA46">
        <f>HYPERLINK("https://klasma.github.io/Logging_1862/klagomål/A 48285-2023 FSC-klagomål.docx", "A 48285-2023")</f>
        <v/>
      </c>
      <c r="AB46">
        <f>HYPERLINK("https://klasma.github.io/Logging_1862/klagomålsmail/A 48285-2023 FSC-klagomål mail.docx", "A 48285-2023")</f>
        <v/>
      </c>
      <c r="AC46">
        <f>HYPERLINK("https://klasma.github.io/Logging_1862/tillsyn/A 48285-2023 tillsynsbegäran.docx", "A 48285-2023")</f>
        <v/>
      </c>
      <c r="AD46">
        <f>HYPERLINK("https://klasma.github.io/Logging_1862/tillsynsmail/A 48285-2023 tillsynsbegäran mail.docx", "A 48285-2023")</f>
        <v/>
      </c>
      <c r="AE46">
        <f>HYPERLINK("https://klasma.github.io/Logging_1862/fåglar/A 48285-2023 prioriterade fågelarter.docx", "A 48285-2023")</f>
        <v/>
      </c>
    </row>
    <row r="47" ht="15" customHeight="1">
      <c r="A47" t="inlineStr">
        <is>
          <t>A 27093-2023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46320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5.9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HYPERLINK("https://klasma.github.io/Logging_1862/artfynd/A 27093-2023 artfynd.xlsx", "A 27093-2023")</f>
        <v/>
      </c>
      <c r="X47">
        <f>HYPERLINK("https://klasma.github.io/Logging_1862/kartor/A 27093-2023 karta.png", "A 27093-2023")</f>
        <v/>
      </c>
      <c r="Y47">
        <f>HYPERLINK("https://klasma.github.io/Logging_1862/kartor_geotiff/A 27093-2023 georefererad karta.tif", "A 27093-2023")</f>
        <v/>
      </c>
      <c r="AA47">
        <f>HYPERLINK("https://klasma.github.io/Logging_1862/klagomål/A 27093-2023 FSC-klagomål.docx", "A 27093-2023")</f>
        <v/>
      </c>
      <c r="AB47">
        <f>HYPERLINK("https://klasma.github.io/Logging_1862/klagomålsmail/A 27093-2023 FSC-klagomål mail.docx", "A 27093-2023")</f>
        <v/>
      </c>
      <c r="AC47">
        <f>HYPERLINK("https://klasma.github.io/Logging_1862/tillsyn/A 27093-2023 tillsynsbegäran.docx", "A 27093-2023")</f>
        <v/>
      </c>
      <c r="AD47">
        <f>HYPERLINK("https://klasma.github.io/Logging_1862/tillsynsmail/A 27093-2023 tillsynsbegäran mail.docx", "A 27093-2023")</f>
        <v/>
      </c>
      <c r="AE47">
        <f>HYPERLINK("https://klasma.github.io/Logging_1862/fåglar/A 27093-2023 prioriterade fågelarter.docx", "A 27093-2023")</f>
        <v/>
      </c>
    </row>
    <row r="48" ht="15" customHeight="1">
      <c r="A48" t="inlineStr">
        <is>
          <t>A 47941-2024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46320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Brunfläckig pärlemorfjäril</t>
        </is>
      </c>
      <c r="W48">
        <f>HYPERLINK("https://klasma.github.io/Logging_1862/artfynd/A 47941-2024 artfynd.xlsx", "A 47941-2024")</f>
        <v/>
      </c>
      <c r="X48">
        <f>HYPERLINK("https://klasma.github.io/Logging_1862/kartor/A 47941-2024 karta.png", "A 47941-2024")</f>
        <v/>
      </c>
      <c r="Y48">
        <f>HYPERLINK("https://klasma.github.io/Logging_1862/kartor_geotiff/A 47941-2024 georefererad karta.tif", "A 47941-2024")</f>
        <v/>
      </c>
      <c r="AA48">
        <f>HYPERLINK("https://klasma.github.io/Logging_1862/klagomål/A 47941-2024 FSC-klagomål.docx", "A 47941-2024")</f>
        <v/>
      </c>
      <c r="AB48">
        <f>HYPERLINK("https://klasma.github.io/Logging_1862/klagomålsmail/A 47941-2024 FSC-klagomål mail.docx", "A 47941-2024")</f>
        <v/>
      </c>
      <c r="AC48">
        <f>HYPERLINK("https://klasma.github.io/Logging_1862/tillsyn/A 47941-2024 tillsynsbegäran.docx", "A 47941-2024")</f>
        <v/>
      </c>
      <c r="AD48">
        <f>HYPERLINK("https://klasma.github.io/Logging_1862/tillsynsmail/A 47941-2024 tillsynsbegäran mail.docx", "A 47941-2024")</f>
        <v/>
      </c>
    </row>
    <row r="49" ht="15" customHeight="1">
      <c r="A49" t="inlineStr">
        <is>
          <t>A 33297-2023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45116</v>
      </c>
      <c r="E49" s="1" t="n">
        <v>46320</v>
      </c>
      <c r="F49" t="inlineStr">
        <is>
          <t>ÖREBRO LÄN</t>
        </is>
      </c>
      <c r="G49" t="inlineStr">
        <is>
          <t>DEGERFORS</t>
        </is>
      </c>
      <c r="I49" t="n">
        <v>7.2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HYPERLINK("https://klasma.github.io/Logging_1862/artfynd/A 33297-2023 artfynd.xlsx", "A 33297-2023")</f>
        <v/>
      </c>
      <c r="X49">
        <f>HYPERLINK("https://klasma.github.io/Logging_1862/kartor/A 33297-2023 karta.png", "A 33297-2023")</f>
        <v/>
      </c>
      <c r="Y49">
        <f>HYPERLINK("https://klasma.github.io/Logging_1862/kartor_geotiff/A 33297-2023 georefererad karta.tif", "A 33297-2023")</f>
        <v/>
      </c>
      <c r="AA49">
        <f>HYPERLINK("https://klasma.github.io/Logging_1862/klagomål/A 33297-2023 FSC-klagomål.docx", "A 33297-2023")</f>
        <v/>
      </c>
      <c r="AB49">
        <f>HYPERLINK("https://klasma.github.io/Logging_1862/klagomålsmail/A 33297-2023 FSC-klagomål mail.docx", "A 33297-2023")</f>
        <v/>
      </c>
      <c r="AC49">
        <f>HYPERLINK("https://klasma.github.io/Logging_1862/tillsyn/A 33297-2023 tillsynsbegäran.docx", "A 33297-2023")</f>
        <v/>
      </c>
      <c r="AD49">
        <f>HYPERLINK("https://klasma.github.io/Logging_1862/tillsynsmail/A 33297-2023 tillsynsbegäran mail.docx", "A 33297-2023")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46320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46320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46320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46320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46320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46320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60889-2021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44497</v>
      </c>
      <c r="E56" s="1" t="n">
        <v>46320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46320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46320</v>
      </c>
      <c r="F58" t="inlineStr">
        <is>
          <t>ÖREBRO LÄN</t>
        </is>
      </c>
      <c r="G58" t="inlineStr">
        <is>
          <t>DEGERFORS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65456-2021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46320</v>
      </c>
      <c r="F59" t="inlineStr">
        <is>
          <t>ÖREBRO LÄN</t>
        </is>
      </c>
      <c r="G59" t="inlineStr">
        <is>
          <t>DEGERFORS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44643</v>
      </c>
      <c r="E60" s="1" t="n">
        <v>46320</v>
      </c>
      <c r="F60" t="inlineStr">
        <is>
          <t>ÖREBRO LÄN</t>
        </is>
      </c>
      <c r="G60" t="inlineStr">
        <is>
          <t>DEGERFORS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46320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46320</v>
      </c>
      <c r="F62" t="inlineStr">
        <is>
          <t>ÖREBRO LÄN</t>
        </is>
      </c>
      <c r="G62" t="inlineStr">
        <is>
          <t>DEGERFORS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46320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38874-2025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45887</v>
      </c>
      <c r="E64" s="1" t="n">
        <v>46320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46320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46320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45192</v>
      </c>
      <c r="E67" s="1" t="n">
        <v>46320</v>
      </c>
      <c r="F67" t="inlineStr">
        <is>
          <t>ÖREBRO LÄN</t>
        </is>
      </c>
      <c r="G67" t="inlineStr">
        <is>
          <t>DEGERFORS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37672-2024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45541</v>
      </c>
      <c r="E68" s="1" t="n">
        <v>46320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45861-2023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45195</v>
      </c>
      <c r="E69" s="1" t="n">
        <v>46320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6394-2024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45338</v>
      </c>
      <c r="E70" s="1" t="n">
        <v>46320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46320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46320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14678-2025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45742</v>
      </c>
      <c r="E73" s="1" t="n">
        <v>46320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46320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46162</v>
      </c>
      <c r="E75" s="1" t="n">
        <v>46320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46320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46320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46320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46320</v>
      </c>
      <c r="F79" t="inlineStr">
        <is>
          <t>ÖREBRO LÄN</t>
        </is>
      </c>
      <c r="G79" t="inlineStr">
        <is>
          <t>DEGERFORS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23854-2026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46167</v>
      </c>
      <c r="E80" s="1" t="n">
        <v>46320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20.9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46170</v>
      </c>
      <c r="E81" s="1" t="n">
        <v>46320</v>
      </c>
      <c r="F81" t="inlineStr">
        <is>
          <t>ÖREBRO LÄN</t>
        </is>
      </c>
      <c r="G81" t="inlineStr">
        <is>
          <t>DEGERFORS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46320</v>
      </c>
      <c r="F82" t="inlineStr">
        <is>
          <t>ÖREBRO LÄN</t>
        </is>
      </c>
      <c r="G82" t="inlineStr">
        <is>
          <t>DEGERFORS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24689-2026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46171</v>
      </c>
      <c r="E83" s="1" t="n">
        <v>46320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46170</v>
      </c>
      <c r="E84" s="1" t="n">
        <v>46320</v>
      </c>
      <c r="F84" t="inlineStr">
        <is>
          <t>ÖREBRO LÄN</t>
        </is>
      </c>
      <c r="G84" t="inlineStr">
        <is>
          <t>DEGERFORS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10674-2024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45369</v>
      </c>
      <c r="E85" s="1" t="n">
        <v>46320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46320</v>
      </c>
      <c r="F86" t="inlineStr">
        <is>
          <t>ÖREBRO LÄN</t>
        </is>
      </c>
      <c r="G86" t="inlineStr">
        <is>
          <t>DEGERFORS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46320</v>
      </c>
      <c r="F87" t="inlineStr">
        <is>
          <t>ÖREBRO LÄN</t>
        </is>
      </c>
      <c r="G87" t="inlineStr">
        <is>
          <t>DEGERFORS</t>
        </is>
      </c>
      <c r="I87" t="n">
        <v>13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46320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45376</v>
      </c>
      <c r="E89" s="1" t="n">
        <v>46320</v>
      </c>
      <c r="F89" t="inlineStr">
        <is>
          <t>ÖREBRO LÄN</t>
        </is>
      </c>
      <c r="G89" t="inlineStr">
        <is>
          <t>DEGERFORS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54994-2024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45621</v>
      </c>
      <c r="E90" s="1" t="n">
        <v>46320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44816</v>
      </c>
      <c r="E91" s="1" t="n">
        <v>46320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45387</v>
      </c>
      <c r="E92" s="1" t="n">
        <v>46320</v>
      </c>
      <c r="F92" t="inlineStr">
        <is>
          <t>ÖREBRO LÄN</t>
        </is>
      </c>
      <c r="G92" t="inlineStr">
        <is>
          <t>DEGERFORS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46320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46320</v>
      </c>
      <c r="F94" t="inlineStr">
        <is>
          <t>ÖREBRO LÄN</t>
        </is>
      </c>
      <c r="G94" t="inlineStr">
        <is>
          <t>DEGERFORS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46185</v>
      </c>
      <c r="E95" s="1" t="n">
        <v>46320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15.1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46185</v>
      </c>
      <c r="E96" s="1" t="n">
        <v>46320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46185</v>
      </c>
      <c r="E97" s="1" t="n">
        <v>46320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46320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46320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46320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27745-2026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46191</v>
      </c>
      <c r="E101" s="1" t="n">
        <v>46320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46191</v>
      </c>
      <c r="E102" s="1" t="n">
        <v>46320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46320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46320</v>
      </c>
      <c r="F104" t="inlineStr">
        <is>
          <t>ÖREBRO LÄN</t>
        </is>
      </c>
      <c r="G104" t="inlineStr">
        <is>
          <t>DEGERFORS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46320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28708-2026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46198</v>
      </c>
      <c r="E106" s="1" t="n">
        <v>46320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46320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46199</v>
      </c>
      <c r="E108" s="1" t="n">
        <v>46320</v>
      </c>
      <c r="F108" t="inlineStr">
        <is>
          <t>ÖREBRO LÄN</t>
        </is>
      </c>
      <c r="G108" t="inlineStr">
        <is>
          <t>DEGERFORS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28695-2026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46198</v>
      </c>
      <c r="E109" s="1" t="n">
        <v>46320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46202</v>
      </c>
      <c r="E110" s="1" t="n">
        <v>46320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57086-2025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45979</v>
      </c>
      <c r="E111" s="1" t="n">
        <v>46320</v>
      </c>
      <c r="F111" t="inlineStr">
        <is>
          <t>ÖREBRO LÄN</t>
        </is>
      </c>
      <c r="G111" t="inlineStr">
        <is>
          <t>DEGERFORS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45384</v>
      </c>
      <c r="E112" s="1" t="n">
        <v>46320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10320-2023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44986</v>
      </c>
      <c r="E113" s="1" t="n">
        <v>46320</v>
      </c>
      <c r="F113" t="inlineStr">
        <is>
          <t>ÖREBRO LÄN</t>
        </is>
      </c>
      <c r="G113" t="inlineStr">
        <is>
          <t>DEGERFORS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45705</v>
      </c>
      <c r="E114" s="1" t="n">
        <v>46320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45707</v>
      </c>
      <c r="E115" s="1" t="n">
        <v>46320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46320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45996</v>
      </c>
      <c r="E117" s="1" t="n">
        <v>46320</v>
      </c>
      <c r="F117" t="inlineStr">
        <is>
          <t>ÖREBRO LÄN</t>
        </is>
      </c>
      <c r="G117" t="inlineStr">
        <is>
          <t>DEGERFORS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45996</v>
      </c>
      <c r="E118" s="1" t="n">
        <v>46320</v>
      </c>
      <c r="F118" t="inlineStr">
        <is>
          <t>ÖREBRO LÄN</t>
        </is>
      </c>
      <c r="G118" t="inlineStr">
        <is>
          <t>DEGERFORS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45205</v>
      </c>
      <c r="E119" s="1" t="n">
        <v>46320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46320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31813-2026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46230</v>
      </c>
      <c r="E121" s="1" t="n">
        <v>46320</v>
      </c>
      <c r="F121" t="inlineStr">
        <is>
          <t>ÖREBRO LÄN</t>
        </is>
      </c>
      <c r="G121" t="inlineStr">
        <is>
          <t>DEGERFORS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31870-2026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46231</v>
      </c>
      <c r="E122" s="1" t="n">
        <v>46320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46231</v>
      </c>
      <c r="E123" s="1" t="n">
        <v>46320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46320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46320</v>
      </c>
      <c r="F125" t="inlineStr">
        <is>
          <t>ÖREBRO LÄN</t>
        </is>
      </c>
      <c r="G125" t="inlineStr">
        <is>
          <t>DEGERFORS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46320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45223</v>
      </c>
      <c r="E127" s="1" t="n">
        <v>46320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62982-2023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46320</v>
      </c>
      <c r="F128" t="inlineStr">
        <is>
          <t>ÖREBRO LÄN</t>
        </is>
      </c>
      <c r="G128" t="inlineStr">
        <is>
          <t>DEGERFORS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46320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37809-2026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46279</v>
      </c>
      <c r="E130" s="1" t="n">
        <v>46320</v>
      </c>
      <c r="F130" t="inlineStr">
        <is>
          <t>ÖREBRO LÄN</t>
        </is>
      </c>
      <c r="G130" t="inlineStr">
        <is>
          <t>DEGERFORS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46281</v>
      </c>
      <c r="E131" s="1" t="n">
        <v>46320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46282</v>
      </c>
      <c r="E132" s="1" t="n">
        <v>46320</v>
      </c>
      <c r="F132" t="inlineStr">
        <is>
          <t>ÖREBRO LÄN</t>
        </is>
      </c>
      <c r="G132" t="inlineStr">
        <is>
          <t>DEGERFORS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46320</v>
      </c>
      <c r="F133" t="inlineStr">
        <is>
          <t>ÖREBRO LÄN</t>
        </is>
      </c>
      <c r="G133" t="inlineStr">
        <is>
          <t>DEGERFORS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46239</v>
      </c>
      <c r="E134" s="1" t="n">
        <v>46320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46239</v>
      </c>
      <c r="E135" s="1" t="n">
        <v>46320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38659-2026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46283</v>
      </c>
      <c r="E136" s="1" t="n">
        <v>46320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45443</v>
      </c>
      <c r="E137" s="1" t="n">
        <v>46320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32810-2026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46241</v>
      </c>
      <c r="E138" s="1" t="n">
        <v>46320</v>
      </c>
      <c r="F138" t="inlineStr">
        <is>
          <t>ÖREBRO LÄN</t>
        </is>
      </c>
      <c r="G138" t="inlineStr">
        <is>
          <t>DEGERFORS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46320</v>
      </c>
      <c r="F139" t="inlineStr">
        <is>
          <t>ÖREBRO LÄN</t>
        </is>
      </c>
      <c r="G139" t="inlineStr">
        <is>
          <t>DEGERFORS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46283</v>
      </c>
      <c r="E140" s="1" t="n">
        <v>46320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44582</v>
      </c>
      <c r="E141" s="1" t="n">
        <v>46320</v>
      </c>
      <c r="F141" t="inlineStr">
        <is>
          <t>ÖREBRO LÄN</t>
        </is>
      </c>
      <c r="G141" t="inlineStr">
        <is>
          <t>DEGERFORS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45330</v>
      </c>
      <c r="E142" s="1" t="n">
        <v>46320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45601</v>
      </c>
      <c r="E143" s="1" t="n">
        <v>46320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46320</v>
      </c>
      <c r="F144" t="inlineStr">
        <is>
          <t>ÖREBRO LÄN</t>
        </is>
      </c>
      <c r="G144" t="inlineStr">
        <is>
          <t>DEGERFORS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45810</v>
      </c>
      <c r="E145" s="1" t="n">
        <v>46320</v>
      </c>
      <c r="F145" t="inlineStr">
        <is>
          <t>ÖREBRO LÄN</t>
        </is>
      </c>
      <c r="G145" t="inlineStr">
        <is>
          <t>DEGERFORS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46320</v>
      </c>
      <c r="F146" t="inlineStr">
        <is>
          <t>ÖREBRO LÄN</t>
        </is>
      </c>
      <c r="G146" t="inlineStr">
        <is>
          <t>DEGERFORS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46320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46320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44719</v>
      </c>
      <c r="E149" s="1" t="n">
        <v>46320</v>
      </c>
      <c r="F149" t="inlineStr">
        <is>
          <t>ÖREBRO LÄN</t>
        </is>
      </c>
      <c r="G149" t="inlineStr">
        <is>
          <t>DEGERFORS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46070</v>
      </c>
      <c r="E150" s="1" t="n">
        <v>46320</v>
      </c>
      <c r="F150" t="inlineStr">
        <is>
          <t>ÖREBRO LÄN</t>
        </is>
      </c>
      <c r="G150" t="inlineStr">
        <is>
          <t>DEGERFORS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46320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12160-2026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46086</v>
      </c>
      <c r="E152" s="1" t="n">
        <v>46320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46320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46093</v>
      </c>
      <c r="E154" s="1" t="n">
        <v>46320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46320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46320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46320</v>
      </c>
      <c r="F157" t="inlineStr">
        <is>
          <t>ÖREBRO LÄN</t>
        </is>
      </c>
      <c r="G157" t="inlineStr">
        <is>
          <t>DEGERFORS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46231</v>
      </c>
      <c r="E158" s="1" t="n">
        <v>46320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46320</v>
      </c>
      <c r="F159" t="inlineStr">
        <is>
          <t>ÖREBRO LÄN</t>
        </is>
      </c>
      <c r="G159" t="inlineStr">
        <is>
          <t>DEGERFORS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44986</v>
      </c>
      <c r="E160" s="1" t="n">
        <v>46320</v>
      </c>
      <c r="F160" t="inlineStr">
        <is>
          <t>ÖREBRO LÄN</t>
        </is>
      </c>
      <c r="G160" t="inlineStr">
        <is>
          <t>DEGERFORS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46320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46303</v>
      </c>
      <c r="E162" s="1" t="n">
        <v>46320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18506-2026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46320</v>
      </c>
      <c r="F163" t="inlineStr">
        <is>
          <t>ÖREBRO LÄN</t>
        </is>
      </c>
      <c r="G163" t="inlineStr">
        <is>
          <t>DEGERFORS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37333-2025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45876</v>
      </c>
      <c r="E164" s="1" t="n">
        <v>46320</v>
      </c>
      <c r="F164" t="inlineStr">
        <is>
          <t>ÖREBRO LÄN</t>
        </is>
      </c>
      <c r="G164" t="inlineStr">
        <is>
          <t>DEGERFORS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45876</v>
      </c>
      <c r="E165" s="1" t="n">
        <v>46320</v>
      </c>
      <c r="F165" t="inlineStr">
        <is>
          <t>ÖREBRO LÄN</t>
        </is>
      </c>
      <c r="G165" t="inlineStr">
        <is>
          <t>DEGERFORS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46260</v>
      </c>
      <c r="E166" s="1" t="n">
        <v>46320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9.5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46132</v>
      </c>
      <c r="E167" s="1" t="n">
        <v>46320</v>
      </c>
      <c r="F167" t="inlineStr">
        <is>
          <t>ÖREBRO LÄN</t>
        </is>
      </c>
      <c r="G167" t="inlineStr">
        <is>
          <t>DEGERFORS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46129</v>
      </c>
      <c r="E168" s="1" t="n">
        <v>46320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8.300000000000001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46320</v>
      </c>
      <c r="F169" t="inlineStr">
        <is>
          <t>ÖREBRO LÄN</t>
        </is>
      </c>
      <c r="G169" t="inlineStr">
        <is>
          <t>DEGERFORS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6387-2024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45338</v>
      </c>
      <c r="E170" s="1" t="n">
        <v>46320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28789-2026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46320</v>
      </c>
      <c r="F171" t="inlineStr">
        <is>
          <t>ÖREBRO LÄN</t>
        </is>
      </c>
      <c r="G171" t="inlineStr">
        <is>
          <t>DEGERFORS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46307</v>
      </c>
      <c r="E172" s="1" t="n">
        <v>46320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59158-2022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44904</v>
      </c>
      <c r="E173" s="1" t="n">
        <v>46320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41889-2026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46303</v>
      </c>
      <c r="E174" s="1" t="n">
        <v>46320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45912</v>
      </c>
      <c r="E175" s="1" t="n">
        <v>46320</v>
      </c>
      <c r="F175" t="inlineStr">
        <is>
          <t>ÖREBRO LÄN</t>
        </is>
      </c>
      <c r="G175" t="inlineStr">
        <is>
          <t>DEGERFORS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36336-2026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46268</v>
      </c>
      <c r="E176" s="1" t="n">
        <v>46320</v>
      </c>
      <c r="F176" t="inlineStr">
        <is>
          <t>ÖREBRO LÄN</t>
        </is>
      </c>
      <c r="G176" t="inlineStr">
        <is>
          <t>DEGERFORS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46268</v>
      </c>
      <c r="E177" s="1" t="n">
        <v>46320</v>
      </c>
      <c r="F177" t="inlineStr">
        <is>
          <t>ÖREBRO LÄN</t>
        </is>
      </c>
      <c r="G177" t="inlineStr">
        <is>
          <t>DEGERFORS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46268</v>
      </c>
      <c r="E178" s="1" t="n">
        <v>46320</v>
      </c>
      <c r="F178" t="inlineStr">
        <is>
          <t>ÖREBRO LÄN</t>
        </is>
      </c>
      <c r="G178" t="inlineStr">
        <is>
          <t>DEGERFORS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45330</v>
      </c>
      <c r="E179" s="1" t="n">
        <v>46320</v>
      </c>
      <c r="F179" t="inlineStr">
        <is>
          <t>ÖREBRO LÄN</t>
        </is>
      </c>
      <c r="G179" t="inlineStr">
        <is>
          <t>DEGERFORS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45616</v>
      </c>
      <c r="E180" s="1" t="n">
        <v>46320</v>
      </c>
      <c r="F180" t="inlineStr">
        <is>
          <t>ÖREBRO LÄN</t>
        </is>
      </c>
      <c r="G180" t="inlineStr">
        <is>
          <t>DEGERFORS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46320</v>
      </c>
      <c r="F181" t="inlineStr">
        <is>
          <t>ÖREBRO LÄN</t>
        </is>
      </c>
      <c r="G181" t="inlineStr">
        <is>
          <t>DEGERFORS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20478-2026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46140</v>
      </c>
      <c r="E182" s="1" t="n">
        <v>46320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20567-2026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46320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46320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45589</v>
      </c>
      <c r="E185" s="1" t="n">
        <v>46320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21440-2026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46148</v>
      </c>
      <c r="E186" s="1" t="n">
        <v>46320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21952-2024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45443</v>
      </c>
      <c r="E187" s="1" t="n">
        <v>46320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46148</v>
      </c>
      <c r="E188" s="1" t="n">
        <v>46320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46148</v>
      </c>
      <c r="E189" s="1" t="n">
        <v>46320</v>
      </c>
      <c r="F189" t="inlineStr">
        <is>
          <t>ÖREBRO LÄN</t>
        </is>
      </c>
      <c r="G189" t="inlineStr">
        <is>
          <t>DEGERFORS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46320</v>
      </c>
      <c r="F190" t="inlineStr">
        <is>
          <t>ÖREBRO LÄN</t>
        </is>
      </c>
      <c r="G190" t="inlineStr">
        <is>
          <t>DEGERFORS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62972-2023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45272</v>
      </c>
      <c r="E191" s="1" t="n">
        <v>46320</v>
      </c>
      <c r="F191" t="inlineStr">
        <is>
          <t>ÖREBRO LÄN</t>
        </is>
      </c>
      <c r="G191" t="inlineStr">
        <is>
          <t>DEGERFORS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46320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45190</v>
      </c>
      <c r="E193" s="1" t="n">
        <v>46320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46320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46320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44986</v>
      </c>
      <c r="E196" s="1" t="n">
        <v>46320</v>
      </c>
      <c r="F196" t="inlineStr">
        <is>
          <t>ÖREBRO LÄN</t>
        </is>
      </c>
      <c r="G196" t="inlineStr">
        <is>
          <t>DEGERFORS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50764-2024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46320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46320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63905-2021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46320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20577-2023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45057</v>
      </c>
      <c r="E200" s="1" t="n">
        <v>46320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44989</v>
      </c>
      <c r="E201" s="1" t="n">
        <v>46320</v>
      </c>
      <c r="F201" t="inlineStr">
        <is>
          <t>ÖREBRO LÄN</t>
        </is>
      </c>
      <c r="G201" t="inlineStr">
        <is>
          <t>DEGERFORS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44839</v>
      </c>
      <c r="E202" s="1" t="n">
        <v>46320</v>
      </c>
      <c r="F202" t="inlineStr">
        <is>
          <t>ÖREBRO LÄN</t>
        </is>
      </c>
      <c r="G202" t="inlineStr">
        <is>
          <t>DEGERFORS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46320</v>
      </c>
      <c r="F203" t="inlineStr">
        <is>
          <t>ÖREBRO LÄN</t>
        </is>
      </c>
      <c r="G203" t="inlineStr">
        <is>
          <t>DEGERFORS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45735</v>
      </c>
      <c r="E204" s="1" t="n">
        <v>46320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44986</v>
      </c>
      <c r="E205" s="1" t="n">
        <v>46320</v>
      </c>
      <c r="F205" t="inlineStr">
        <is>
          <t>ÖREBRO LÄN</t>
        </is>
      </c>
      <c r="G205" t="inlineStr">
        <is>
          <t>DEGERFORS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56478-2024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46320</v>
      </c>
      <c r="F206" t="inlineStr">
        <is>
          <t>ÖREBRO LÄN</t>
        </is>
      </c>
      <c r="G206" t="inlineStr">
        <is>
          <t>DEGERFORS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46320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61750-2021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46320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29607-2022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44754</v>
      </c>
      <c r="E209" s="1" t="n">
        <v>46320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45337</v>
      </c>
      <c r="E210" s="1" t="n">
        <v>46320</v>
      </c>
      <c r="F210" t="inlineStr">
        <is>
          <t>ÖREBRO LÄN</t>
        </is>
      </c>
      <c r="G210" t="inlineStr">
        <is>
          <t>DEGERFORS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45520</v>
      </c>
      <c r="E211" s="1" t="n">
        <v>46320</v>
      </c>
      <c r="F211" t="inlineStr">
        <is>
          <t>ÖREBRO LÄN</t>
        </is>
      </c>
      <c r="G211" t="inlineStr">
        <is>
          <t>DEGERFORS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38233-2023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45160</v>
      </c>
      <c r="E212" s="1" t="n">
        <v>46320</v>
      </c>
      <c r="F212" t="inlineStr">
        <is>
          <t>ÖREBRO LÄN</t>
        </is>
      </c>
      <c r="G212" t="inlineStr">
        <is>
          <t>DEGERFORS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46320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45600</v>
      </c>
      <c r="E214" s="1" t="n">
        <v>46320</v>
      </c>
      <c r="F214" t="inlineStr">
        <is>
          <t>ÖREBRO LÄN</t>
        </is>
      </c>
      <c r="G214" t="inlineStr">
        <is>
          <t>DEGERFORS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45600</v>
      </c>
      <c r="E215" s="1" t="n">
        <v>46320</v>
      </c>
      <c r="F215" t="inlineStr">
        <is>
          <t>ÖREBRO LÄN</t>
        </is>
      </c>
      <c r="G215" t="inlineStr">
        <is>
          <t>DEGERFORS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12143-2025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45729</v>
      </c>
      <c r="E216" s="1" t="n">
        <v>46320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45609</v>
      </c>
      <c r="E217" s="1" t="n">
        <v>46320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8184-2022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44609</v>
      </c>
      <c r="E218" s="1" t="n">
        <v>46320</v>
      </c>
      <c r="F218" t="inlineStr">
        <is>
          <t>ÖREBRO LÄN</t>
        </is>
      </c>
      <c r="G218" t="inlineStr">
        <is>
          <t>DEGERFORS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46320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46320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45190</v>
      </c>
      <c r="E221" s="1" t="n">
        <v>46320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45222</v>
      </c>
      <c r="E222" s="1" t="n">
        <v>46320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45116</v>
      </c>
      <c r="E223" s="1" t="n">
        <v>46320</v>
      </c>
      <c r="F223" t="inlineStr">
        <is>
          <t>ÖREBRO LÄN</t>
        </is>
      </c>
      <c r="G223" t="inlineStr">
        <is>
          <t>DEGERFORS</t>
        </is>
      </c>
      <c r="I223" t="n">
        <v>17.2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32154-2023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46320</v>
      </c>
      <c r="F224" t="inlineStr">
        <is>
          <t>ÖREBRO LÄN</t>
        </is>
      </c>
      <c r="G224" t="inlineStr">
        <is>
          <t>DEGERFORS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8062-2024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45351</v>
      </c>
      <c r="E225" s="1" t="n">
        <v>46320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45351</v>
      </c>
      <c r="E226" s="1" t="n">
        <v>46320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60907-2023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45261</v>
      </c>
      <c r="E227" s="1" t="n">
        <v>46320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32211-2022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44781</v>
      </c>
      <c r="E228" s="1" t="n">
        <v>46320</v>
      </c>
      <c r="F228" t="inlineStr">
        <is>
          <t>ÖREBRO LÄN</t>
        </is>
      </c>
      <c r="G228" t="inlineStr">
        <is>
          <t>DEGERFORS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73693-2021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44552</v>
      </c>
      <c r="E229" s="1" t="n">
        <v>46320</v>
      </c>
      <c r="F229" t="inlineStr">
        <is>
          <t>ÖREBRO LÄN</t>
        </is>
      </c>
      <c r="G229" t="inlineStr">
        <is>
          <t>DEGERFORS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36437-2024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45535</v>
      </c>
      <c r="E230" s="1" t="n">
        <v>46320</v>
      </c>
      <c r="F230" t="inlineStr">
        <is>
          <t>ÖREBRO LÄN</t>
        </is>
      </c>
      <c r="G230" t="inlineStr">
        <is>
          <t>DEGERFORS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46320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46320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46320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46320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46320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46320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46320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46320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2026-10-25T02:05:34Z</dcterms:created>
  <dcterms:modified xmlns:dcterms="http://purl.org/dc/terms/" xmlns:xsi="http://www.w3.org/2001/XMLSchema-instance" xsi:type="dcterms:W3CDTF">2026-10-25T02:05:34Z</dcterms:modified>
</cp:coreProperties>
</file>