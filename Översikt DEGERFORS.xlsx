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48258-2020</t>
        </is>
      </c>
      <c r="B2" s="1" t="n">
        <v>44102</v>
      </c>
      <c r="C2" s="1" t="n">
        <v>45363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1.7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Triplax rufipes
Dorcatoma dresdensis
Robust tickgnagare
Thymalus limbatus
Vanlig flatbagge</t>
        </is>
      </c>
      <c r="S2">
        <f>HYPERLINK("https://klasma.github.io/Logging_1862/artfynd/A 48258-2020 artfynd.xlsx", "A 48258-2020")</f>
        <v/>
      </c>
      <c r="T2">
        <f>HYPERLINK("https://klasma.github.io/Logging_1862/kartor/A 48258-2020 karta.png", "A 48258-2020")</f>
        <v/>
      </c>
      <c r="V2">
        <f>HYPERLINK("https://klasma.github.io/Logging_1862/klagomål/A 48258-2020 FSC-klagomål.docx", "A 48258-2020")</f>
        <v/>
      </c>
      <c r="W2">
        <f>HYPERLINK("https://klasma.github.io/Logging_1862/klagomålsmail/A 48258-2020 FSC-klagomål mail.docx", "A 48258-2020")</f>
        <v/>
      </c>
      <c r="X2">
        <f>HYPERLINK("https://klasma.github.io/Logging_1862/tillsyn/A 48258-2020 tillsynsbegäran.docx", "A 48258-2020")</f>
        <v/>
      </c>
      <c r="Y2">
        <f>HYPERLINK("https://klasma.github.io/Logging_1862/tillsynsmail/A 48258-2020 tillsynsbegäran mail.docx", "A 48258-2020")</f>
        <v/>
      </c>
    </row>
    <row r="3" ht="15" customHeight="1">
      <c r="A3" t="inlineStr">
        <is>
          <t>A 50106-2023</t>
        </is>
      </c>
      <c r="B3" s="1" t="n">
        <v>45215</v>
      </c>
      <c r="C3" s="1" t="n">
        <v>45363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6.2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Dropptaggsvamp
Grönpyrola
Tjäder</t>
        </is>
      </c>
      <c r="S3">
        <f>HYPERLINK("https://klasma.github.io/Logging_1862/artfynd/A 50106-2023 artfynd.xlsx", "A 50106-2023")</f>
        <v/>
      </c>
      <c r="T3">
        <f>HYPERLINK("https://klasma.github.io/Logging_1862/kartor/A 50106-2023 karta.png", "A 50106-2023")</f>
        <v/>
      </c>
      <c r="V3">
        <f>HYPERLINK("https://klasma.github.io/Logging_1862/klagomål/A 50106-2023 FSC-klagomål.docx", "A 50106-2023")</f>
        <v/>
      </c>
      <c r="W3">
        <f>HYPERLINK("https://klasma.github.io/Logging_1862/klagomålsmail/A 50106-2023 FSC-klagomål mail.docx", "A 50106-2023")</f>
        <v/>
      </c>
      <c r="X3">
        <f>HYPERLINK("https://klasma.github.io/Logging_1862/tillsyn/A 50106-2023 tillsynsbegäran.docx", "A 50106-2023")</f>
        <v/>
      </c>
      <c r="Y3">
        <f>HYPERLINK("https://klasma.github.io/Logging_1862/tillsynsmail/A 50106-2023 tillsynsbegäran mail.docx", "A 50106-2023")</f>
        <v/>
      </c>
      <c r="Z3">
        <f>HYPERLINK("https://klasma.github.io/Logging_1862/fåglar/A 50106-2023 prioriterade fågelarter.docx", "A 50106-2023")</f>
        <v/>
      </c>
    </row>
    <row r="4" ht="15" customHeight="1">
      <c r="A4" t="inlineStr">
        <is>
          <t>A 58132-2021</t>
        </is>
      </c>
      <c r="B4" s="1" t="n">
        <v>44487</v>
      </c>
      <c r="C4" s="1" t="n">
        <v>45363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1.2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Hårklomossa</t>
        </is>
      </c>
      <c r="S4">
        <f>HYPERLINK("https://klasma.github.io/Logging_1862/artfynd/A 58132-2021 artfynd.xlsx", "A 58132-2021")</f>
        <v/>
      </c>
      <c r="T4">
        <f>HYPERLINK("https://klasma.github.io/Logging_1862/kartor/A 58132-2021 karta.png", "A 58132-2021")</f>
        <v/>
      </c>
      <c r="V4">
        <f>HYPERLINK("https://klasma.github.io/Logging_1862/klagomål/A 58132-2021 FSC-klagomål.docx", "A 58132-2021")</f>
        <v/>
      </c>
      <c r="W4">
        <f>HYPERLINK("https://klasma.github.io/Logging_1862/klagomålsmail/A 58132-2021 FSC-klagomål mail.docx", "A 58132-2021")</f>
        <v/>
      </c>
      <c r="X4">
        <f>HYPERLINK("https://klasma.github.io/Logging_1862/tillsyn/A 58132-2021 tillsynsbegäran.docx", "A 58132-2021")</f>
        <v/>
      </c>
      <c r="Y4">
        <f>HYPERLINK("https://klasma.github.io/Logging_1862/tillsynsmail/A 58132-2021 tillsynsbegäran mail.docx", "A 58132-2021")</f>
        <v/>
      </c>
    </row>
    <row r="5" ht="15" customHeight="1">
      <c r="A5" t="inlineStr">
        <is>
          <t>A 7384-2023</t>
        </is>
      </c>
      <c r="B5" s="1" t="n">
        <v>44966</v>
      </c>
      <c r="C5" s="1" t="n">
        <v>45363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HYPERLINK("https://klasma.github.io/Logging_1862/artfynd/A 7384-2023 artfynd.xlsx", "A 7384-2023")</f>
        <v/>
      </c>
      <c r="T5">
        <f>HYPERLINK("https://klasma.github.io/Logging_1862/kartor/A 7384-2023 karta.png", "A 7384-2023")</f>
        <v/>
      </c>
      <c r="V5">
        <f>HYPERLINK("https://klasma.github.io/Logging_1862/klagomål/A 7384-2023 FSC-klagomål.docx", "A 7384-2023")</f>
        <v/>
      </c>
      <c r="W5">
        <f>HYPERLINK("https://klasma.github.io/Logging_1862/klagomålsmail/A 7384-2023 FSC-klagomål mail.docx", "A 7384-2023")</f>
        <v/>
      </c>
      <c r="X5">
        <f>HYPERLINK("https://klasma.github.io/Logging_1862/tillsyn/A 7384-2023 tillsynsbegäran.docx", "A 7384-2023")</f>
        <v/>
      </c>
      <c r="Y5">
        <f>HYPERLINK("https://klasma.github.io/Logging_1862/tillsynsmail/A 7384-2023 tillsynsbegäran mail.docx", "A 7384-2023")</f>
        <v/>
      </c>
    </row>
    <row r="6" ht="15" customHeight="1">
      <c r="A6" t="inlineStr">
        <is>
          <t>A 51630-2023</t>
        </is>
      </c>
      <c r="B6" s="1" t="n">
        <v>45222</v>
      </c>
      <c r="C6" s="1" t="n">
        <v>45363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Sångsvan</t>
        </is>
      </c>
      <c r="S6">
        <f>HYPERLINK("https://klasma.github.io/Logging_1862/artfynd/A 51630-2023 artfynd.xlsx", "A 51630-2023")</f>
        <v/>
      </c>
      <c r="T6">
        <f>HYPERLINK("https://klasma.github.io/Logging_1862/kartor/A 51630-2023 karta.png", "A 51630-2023")</f>
        <v/>
      </c>
      <c r="V6">
        <f>HYPERLINK("https://klasma.github.io/Logging_1862/klagomål/A 51630-2023 FSC-klagomål.docx", "A 51630-2023")</f>
        <v/>
      </c>
      <c r="W6">
        <f>HYPERLINK("https://klasma.github.io/Logging_1862/klagomålsmail/A 51630-2023 FSC-klagomål mail.docx", "A 51630-2023")</f>
        <v/>
      </c>
      <c r="X6">
        <f>HYPERLINK("https://klasma.github.io/Logging_1862/tillsyn/A 51630-2023 tillsynsbegäran.docx", "A 51630-2023")</f>
        <v/>
      </c>
      <c r="Y6">
        <f>HYPERLINK("https://klasma.github.io/Logging_1862/tillsynsmail/A 51630-2023 tillsynsbegäran mail.docx", "A 51630-2023")</f>
        <v/>
      </c>
      <c r="Z6">
        <f>HYPERLINK("https://klasma.github.io/Logging_1862/fåglar/A 51630-2023 prioriterade fågelarter.docx", "A 51630-2023")</f>
        <v/>
      </c>
    </row>
    <row r="7" ht="15" customHeight="1">
      <c r="A7" t="inlineStr">
        <is>
          <t>A 53895-2023</t>
        </is>
      </c>
      <c r="B7" s="1" t="n">
        <v>45224</v>
      </c>
      <c r="C7" s="1" t="n">
        <v>45363</v>
      </c>
      <c r="D7" t="inlineStr">
        <is>
          <t>ÖREBRO LÄN</t>
        </is>
      </c>
      <c r="E7" t="inlineStr">
        <is>
          <t>DEGERFORS</t>
        </is>
      </c>
      <c r="G7" t="n">
        <v>2.1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HYPERLINK("https://klasma.github.io/Logging_1862/artfynd/A 53895-2023 artfynd.xlsx", "A 53895-2023")</f>
        <v/>
      </c>
      <c r="T7">
        <f>HYPERLINK("https://klasma.github.io/Logging_1862/kartor/A 53895-2023 karta.png", "A 53895-2023")</f>
        <v/>
      </c>
      <c r="V7">
        <f>HYPERLINK("https://klasma.github.io/Logging_1862/klagomål/A 53895-2023 FSC-klagomål.docx", "A 53895-2023")</f>
        <v/>
      </c>
      <c r="W7">
        <f>HYPERLINK("https://klasma.github.io/Logging_1862/klagomålsmail/A 53895-2023 FSC-klagomål mail.docx", "A 53895-2023")</f>
        <v/>
      </c>
      <c r="X7">
        <f>HYPERLINK("https://klasma.github.io/Logging_1862/tillsyn/A 53895-2023 tillsynsbegäran.docx", "A 53895-2023")</f>
        <v/>
      </c>
      <c r="Y7">
        <f>HYPERLINK("https://klasma.github.io/Logging_1862/tillsynsmail/A 53895-2023 tillsynsbegäran mail.docx", "A 53895-2023")</f>
        <v/>
      </c>
    </row>
    <row r="8" ht="15" customHeight="1">
      <c r="A8" t="inlineStr">
        <is>
          <t>A 36405-2018</t>
        </is>
      </c>
      <c r="B8" s="1" t="n">
        <v>43329</v>
      </c>
      <c r="C8" s="1" t="n">
        <v>45363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6.3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36404-2018</t>
        </is>
      </c>
      <c r="B9" s="1" t="n">
        <v>43329</v>
      </c>
      <c r="C9" s="1" t="n">
        <v>45363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8.300000000000001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36736-2018</t>
        </is>
      </c>
      <c r="B10" s="1" t="n">
        <v>43332</v>
      </c>
      <c r="C10" s="1" t="n">
        <v>45363</v>
      </c>
      <c r="D10" t="inlineStr">
        <is>
          <t>ÖREBRO LÄN</t>
        </is>
      </c>
      <c r="E10" t="inlineStr">
        <is>
          <t>DEGERFORS</t>
        </is>
      </c>
      <c r="F10" t="inlineStr">
        <is>
          <t>Kommuner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38322-2018</t>
        </is>
      </c>
      <c r="B11" s="1" t="n">
        <v>43339</v>
      </c>
      <c r="C11" s="1" t="n">
        <v>45363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44665-2018</t>
        </is>
      </c>
      <c r="B12" s="1" t="n">
        <v>43357</v>
      </c>
      <c r="C12" s="1" t="n">
        <v>45363</v>
      </c>
      <c r="D12" t="inlineStr">
        <is>
          <t>ÖREBRO LÄN</t>
        </is>
      </c>
      <c r="E12" t="inlineStr">
        <is>
          <t>DEGERFORS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46230-2018</t>
        </is>
      </c>
      <c r="B13" s="1" t="n">
        <v>43367</v>
      </c>
      <c r="C13" s="1" t="n">
        <v>45363</v>
      </c>
      <c r="D13" t="inlineStr">
        <is>
          <t>ÖREBRO LÄN</t>
        </is>
      </c>
      <c r="E13" t="inlineStr">
        <is>
          <t>DEGERFORS</t>
        </is>
      </c>
      <c r="G13" t="n">
        <v>10.6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49646-2018</t>
        </is>
      </c>
      <c r="B14" s="1" t="n">
        <v>43377</v>
      </c>
      <c r="C14" s="1" t="n">
        <v>45363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49648-2018</t>
        </is>
      </c>
      <c r="B15" s="1" t="n">
        <v>43377</v>
      </c>
      <c r="C15" s="1" t="n">
        <v>45363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63829-2018</t>
        </is>
      </c>
      <c r="B16" s="1" t="n">
        <v>43430</v>
      </c>
      <c r="C16" s="1" t="n">
        <v>45363</v>
      </c>
      <c r="D16" t="inlineStr">
        <is>
          <t>ÖREBRO LÄN</t>
        </is>
      </c>
      <c r="E16" t="inlineStr">
        <is>
          <t>DEGERFORS</t>
        </is>
      </c>
      <c r="G16" t="n">
        <v>5.9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66010-2018</t>
        </is>
      </c>
      <c r="B17" s="1" t="n">
        <v>43434</v>
      </c>
      <c r="C17" s="1" t="n">
        <v>45363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66016-2018</t>
        </is>
      </c>
      <c r="B18" s="1" t="n">
        <v>43434</v>
      </c>
      <c r="C18" s="1" t="n">
        <v>45363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65998-2018</t>
        </is>
      </c>
      <c r="B19" s="1" t="n">
        <v>43434</v>
      </c>
      <c r="C19" s="1" t="n">
        <v>45363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65999-2018</t>
        </is>
      </c>
      <c r="B20" s="1" t="n">
        <v>43434</v>
      </c>
      <c r="C20" s="1" t="n">
        <v>45363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66755-2018</t>
        </is>
      </c>
      <c r="B21" s="1" t="n">
        <v>43438</v>
      </c>
      <c r="C21" s="1" t="n">
        <v>45363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68722-2018</t>
        </is>
      </c>
      <c r="B22" s="1" t="n">
        <v>43444</v>
      </c>
      <c r="C22" s="1" t="n">
        <v>45363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68710-2018</t>
        </is>
      </c>
      <c r="B23" s="1" t="n">
        <v>43444</v>
      </c>
      <c r="C23" s="1" t="n">
        <v>45363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68715-2018</t>
        </is>
      </c>
      <c r="B24" s="1" t="n">
        <v>43444</v>
      </c>
      <c r="C24" s="1" t="n">
        <v>45363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68714-2018</t>
        </is>
      </c>
      <c r="B25" s="1" t="n">
        <v>43444</v>
      </c>
      <c r="C25" s="1" t="n">
        <v>45363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70011-2018</t>
        </is>
      </c>
      <c r="B26" s="1" t="n">
        <v>43448</v>
      </c>
      <c r="C26" s="1" t="n">
        <v>45363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4544-2019</t>
        </is>
      </c>
      <c r="B27" s="1" t="n">
        <v>43486</v>
      </c>
      <c r="C27" s="1" t="n">
        <v>45363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6442-2019</t>
        </is>
      </c>
      <c r="B28" s="1" t="n">
        <v>43487</v>
      </c>
      <c r="C28" s="1" t="n">
        <v>45363</v>
      </c>
      <c r="D28" t="inlineStr">
        <is>
          <t>ÖREBRO LÄN</t>
        </is>
      </c>
      <c r="E28" t="inlineStr">
        <is>
          <t>DEGERFORS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6470-2019</t>
        </is>
      </c>
      <c r="B29" s="1" t="n">
        <v>43487</v>
      </c>
      <c r="C29" s="1" t="n">
        <v>45363</v>
      </c>
      <c r="D29" t="inlineStr">
        <is>
          <t>ÖREBRO LÄN</t>
        </is>
      </c>
      <c r="E29" t="inlineStr">
        <is>
          <t>DEGERFORS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8344-2019</t>
        </is>
      </c>
      <c r="B30" s="1" t="n">
        <v>43497</v>
      </c>
      <c r="C30" s="1" t="n">
        <v>45363</v>
      </c>
      <c r="D30" t="inlineStr">
        <is>
          <t>ÖREBRO LÄN</t>
        </is>
      </c>
      <c r="E30" t="inlineStr">
        <is>
          <t>DEGERFORS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8697-2019</t>
        </is>
      </c>
      <c r="B31" s="1" t="n">
        <v>43501</v>
      </c>
      <c r="C31" s="1" t="n">
        <v>45363</v>
      </c>
      <c r="D31" t="inlineStr">
        <is>
          <t>ÖREBRO LÄN</t>
        </is>
      </c>
      <c r="E31" t="inlineStr">
        <is>
          <t>DEGERFORS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8684-2019</t>
        </is>
      </c>
      <c r="B32" s="1" t="n">
        <v>43501</v>
      </c>
      <c r="C32" s="1" t="n">
        <v>45363</v>
      </c>
      <c r="D32" t="inlineStr">
        <is>
          <t>ÖREBRO LÄN</t>
        </is>
      </c>
      <c r="E32" t="inlineStr">
        <is>
          <t>DEGERFORS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8699-2019</t>
        </is>
      </c>
      <c r="B33" s="1" t="n">
        <v>43501</v>
      </c>
      <c r="C33" s="1" t="n">
        <v>45363</v>
      </c>
      <c r="D33" t="inlineStr">
        <is>
          <t>ÖREBRO LÄN</t>
        </is>
      </c>
      <c r="E33" t="inlineStr">
        <is>
          <t>DEGERFORS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8700-2019</t>
        </is>
      </c>
      <c r="B34" s="1" t="n">
        <v>43501</v>
      </c>
      <c r="C34" s="1" t="n">
        <v>45363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8679-2019</t>
        </is>
      </c>
      <c r="B35" s="1" t="n">
        <v>43501</v>
      </c>
      <c r="C35" s="1" t="n">
        <v>45363</v>
      </c>
      <c r="D35" t="inlineStr">
        <is>
          <t>ÖREBRO LÄN</t>
        </is>
      </c>
      <c r="E35" t="inlineStr">
        <is>
          <t>DEGERFORS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9003-2019</t>
        </is>
      </c>
      <c r="B36" s="1" t="n">
        <v>43504</v>
      </c>
      <c r="C36" s="1" t="n">
        <v>45363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8999-2019</t>
        </is>
      </c>
      <c r="B37" s="1" t="n">
        <v>43504</v>
      </c>
      <c r="C37" s="1" t="n">
        <v>45363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11818-2019</t>
        </is>
      </c>
      <c r="B38" s="1" t="n">
        <v>43521</v>
      </c>
      <c r="C38" s="1" t="n">
        <v>45363</v>
      </c>
      <c r="D38" t="inlineStr">
        <is>
          <t>ÖREBRO LÄN</t>
        </is>
      </c>
      <c r="E38" t="inlineStr">
        <is>
          <t>DEGERFORS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11825-2019</t>
        </is>
      </c>
      <c r="B39" s="1" t="n">
        <v>43521</v>
      </c>
      <c r="C39" s="1" t="n">
        <v>45363</v>
      </c>
      <c r="D39" t="inlineStr">
        <is>
          <t>ÖREBRO LÄN</t>
        </is>
      </c>
      <c r="E39" t="inlineStr">
        <is>
          <t>DEGERFORS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13093-2019</t>
        </is>
      </c>
      <c r="B40" s="1" t="n">
        <v>43528</v>
      </c>
      <c r="C40" s="1" t="n">
        <v>45363</v>
      </c>
      <c r="D40" t="inlineStr">
        <is>
          <t>ÖREBRO LÄN</t>
        </is>
      </c>
      <c r="E40" t="inlineStr">
        <is>
          <t>DEGERFORS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17842-2019</t>
        </is>
      </c>
      <c r="B41" s="1" t="n">
        <v>43556</v>
      </c>
      <c r="C41" s="1" t="n">
        <v>45363</v>
      </c>
      <c r="D41" t="inlineStr">
        <is>
          <t>ÖREBRO LÄN</t>
        </is>
      </c>
      <c r="E41" t="inlineStr">
        <is>
          <t>DEGERFORS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20506-2019</t>
        </is>
      </c>
      <c r="B42" s="1" t="n">
        <v>43572</v>
      </c>
      <c r="C42" s="1" t="n">
        <v>45363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20514-2019</t>
        </is>
      </c>
      <c r="B43" s="1" t="n">
        <v>43572</v>
      </c>
      <c r="C43" s="1" t="n">
        <v>45363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25224-2019</t>
        </is>
      </c>
      <c r="B44" s="1" t="n">
        <v>43601</v>
      </c>
      <c r="C44" s="1" t="n">
        <v>45363</v>
      </c>
      <c r="D44" t="inlineStr">
        <is>
          <t>ÖREBRO LÄN</t>
        </is>
      </c>
      <c r="E44" t="inlineStr">
        <is>
          <t>DEGERFORS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25071-2019</t>
        </is>
      </c>
      <c r="B45" s="1" t="n">
        <v>43601</v>
      </c>
      <c r="C45" s="1" t="n">
        <v>45363</v>
      </c>
      <c r="D45" t="inlineStr">
        <is>
          <t>ÖREBRO LÄN</t>
        </is>
      </c>
      <c r="E45" t="inlineStr">
        <is>
          <t>DEGERFORS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26293-2019</t>
        </is>
      </c>
      <c r="B46" s="1" t="n">
        <v>43611</v>
      </c>
      <c r="C46" s="1" t="n">
        <v>45363</v>
      </c>
      <c r="D46" t="inlineStr">
        <is>
          <t>ÖREBRO LÄN</t>
        </is>
      </c>
      <c r="E46" t="inlineStr">
        <is>
          <t>DEGERFORS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28069-2019</t>
        </is>
      </c>
      <c r="B47" s="1" t="n">
        <v>43613</v>
      </c>
      <c r="C47" s="1" t="n">
        <v>45363</v>
      </c>
      <c r="D47" t="inlineStr">
        <is>
          <t>ÖREBRO LÄN</t>
        </is>
      </c>
      <c r="E47" t="inlineStr">
        <is>
          <t>DEGERFORS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28636-2019</t>
        </is>
      </c>
      <c r="B48" s="1" t="n">
        <v>43614</v>
      </c>
      <c r="C48" s="1" t="n">
        <v>45363</v>
      </c>
      <c r="D48" t="inlineStr">
        <is>
          <t>ÖREBRO LÄN</t>
        </is>
      </c>
      <c r="E48" t="inlineStr">
        <is>
          <t>DEGERFORS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29240-2019</t>
        </is>
      </c>
      <c r="B49" s="1" t="n">
        <v>43623</v>
      </c>
      <c r="C49" s="1" t="n">
        <v>45363</v>
      </c>
      <c r="D49" t="inlineStr">
        <is>
          <t>ÖREBRO LÄN</t>
        </is>
      </c>
      <c r="E49" t="inlineStr">
        <is>
          <t>DEGERFORS</t>
        </is>
      </c>
      <c r="G49" t="n">
        <v>23.2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29242-2019</t>
        </is>
      </c>
      <c r="B50" s="1" t="n">
        <v>43623</v>
      </c>
      <c r="C50" s="1" t="n">
        <v>45363</v>
      </c>
      <c r="D50" t="inlineStr">
        <is>
          <t>ÖREBRO LÄN</t>
        </is>
      </c>
      <c r="E50" t="inlineStr">
        <is>
          <t>DEGERFORS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29239-2019</t>
        </is>
      </c>
      <c r="B51" s="1" t="n">
        <v>43623</v>
      </c>
      <c r="C51" s="1" t="n">
        <v>45363</v>
      </c>
      <c r="D51" t="inlineStr">
        <is>
          <t>ÖREBRO LÄN</t>
        </is>
      </c>
      <c r="E51" t="inlineStr">
        <is>
          <t>DEGERFORS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34508-2019</t>
        </is>
      </c>
      <c r="B52" s="1" t="n">
        <v>43647</v>
      </c>
      <c r="C52" s="1" t="n">
        <v>45363</v>
      </c>
      <c r="D52" t="inlineStr">
        <is>
          <t>ÖREBRO LÄN</t>
        </is>
      </c>
      <c r="E52" t="inlineStr">
        <is>
          <t>DEGERFORS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35426-2019</t>
        </is>
      </c>
      <c r="B53" s="1" t="n">
        <v>43654</v>
      </c>
      <c r="C53" s="1" t="n">
        <v>45363</v>
      </c>
      <c r="D53" t="inlineStr">
        <is>
          <t>ÖREBRO LÄN</t>
        </is>
      </c>
      <c r="E53" t="inlineStr">
        <is>
          <t>DEGERFORS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36913-2019</t>
        </is>
      </c>
      <c r="B54" s="1" t="n">
        <v>43675</v>
      </c>
      <c r="C54" s="1" t="n">
        <v>45363</v>
      </c>
      <c r="D54" t="inlineStr">
        <is>
          <t>ÖREBRO LÄN</t>
        </is>
      </c>
      <c r="E54" t="inlineStr">
        <is>
          <t>DEGERFORS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43762-2019</t>
        </is>
      </c>
      <c r="B55" s="1" t="n">
        <v>43706</v>
      </c>
      <c r="C55" s="1" t="n">
        <v>45363</v>
      </c>
      <c r="D55" t="inlineStr">
        <is>
          <t>ÖREBRO LÄN</t>
        </is>
      </c>
      <c r="E55" t="inlineStr">
        <is>
          <t>DEGERFORS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45669-2019</t>
        </is>
      </c>
      <c r="B56" s="1" t="n">
        <v>43717</v>
      </c>
      <c r="C56" s="1" t="n">
        <v>45363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45689-2019</t>
        </is>
      </c>
      <c r="B57" s="1" t="n">
        <v>43717</v>
      </c>
      <c r="C57" s="1" t="n">
        <v>45363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45688-2019</t>
        </is>
      </c>
      <c r="B58" s="1" t="n">
        <v>43717</v>
      </c>
      <c r="C58" s="1" t="n">
        <v>45363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45718-2019</t>
        </is>
      </c>
      <c r="B59" s="1" t="n">
        <v>43717</v>
      </c>
      <c r="C59" s="1" t="n">
        <v>45363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45706-2019</t>
        </is>
      </c>
      <c r="B60" s="1" t="n">
        <v>43717</v>
      </c>
      <c r="C60" s="1" t="n">
        <v>45363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52400-2019</t>
        </is>
      </c>
      <c r="B61" s="1" t="n">
        <v>43745</v>
      </c>
      <c r="C61" s="1" t="n">
        <v>45363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52360-2019</t>
        </is>
      </c>
      <c r="B62" s="1" t="n">
        <v>43745</v>
      </c>
      <c r="C62" s="1" t="n">
        <v>45363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52357-2019</t>
        </is>
      </c>
      <c r="B63" s="1" t="n">
        <v>43745</v>
      </c>
      <c r="C63" s="1" t="n">
        <v>45363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52372-2019</t>
        </is>
      </c>
      <c r="B64" s="1" t="n">
        <v>43745</v>
      </c>
      <c r="C64" s="1" t="n">
        <v>45363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55179-2019</t>
        </is>
      </c>
      <c r="B65" s="1" t="n">
        <v>43756</v>
      </c>
      <c r="C65" s="1" t="n">
        <v>45363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55879-2019</t>
        </is>
      </c>
      <c r="B66" s="1" t="n">
        <v>43759</v>
      </c>
      <c r="C66" s="1" t="n">
        <v>45363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57741-2019</t>
        </is>
      </c>
      <c r="B67" s="1" t="n">
        <v>43763</v>
      </c>
      <c r="C67" s="1" t="n">
        <v>45363</v>
      </c>
      <c r="D67" t="inlineStr">
        <is>
          <t>ÖREBRO LÄN</t>
        </is>
      </c>
      <c r="E67" t="inlineStr">
        <is>
          <t>DEGERFORS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57737-2019</t>
        </is>
      </c>
      <c r="B68" s="1" t="n">
        <v>43763</v>
      </c>
      <c r="C68" s="1" t="n">
        <v>45363</v>
      </c>
      <c r="D68" t="inlineStr">
        <is>
          <t>ÖREBRO LÄN</t>
        </is>
      </c>
      <c r="E68" t="inlineStr">
        <is>
          <t>DEGERFORS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59713-2019</t>
        </is>
      </c>
      <c r="B69" s="1" t="n">
        <v>43776</v>
      </c>
      <c r="C69" s="1" t="n">
        <v>45363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59673-2019</t>
        </is>
      </c>
      <c r="B70" s="1" t="n">
        <v>43776</v>
      </c>
      <c r="C70" s="1" t="n">
        <v>45363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60002-2019</t>
        </is>
      </c>
      <c r="B71" s="1" t="n">
        <v>43777</v>
      </c>
      <c r="C71" s="1" t="n">
        <v>45363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59993-2019</t>
        </is>
      </c>
      <c r="B72" s="1" t="n">
        <v>43777</v>
      </c>
      <c r="C72" s="1" t="n">
        <v>45363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60005-2019</t>
        </is>
      </c>
      <c r="B73" s="1" t="n">
        <v>43777</v>
      </c>
      <c r="C73" s="1" t="n">
        <v>45363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60004-2019</t>
        </is>
      </c>
      <c r="B74" s="1" t="n">
        <v>43777</v>
      </c>
      <c r="C74" s="1" t="n">
        <v>45363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59986-2019</t>
        </is>
      </c>
      <c r="B75" s="1" t="n">
        <v>43777</v>
      </c>
      <c r="C75" s="1" t="n">
        <v>45363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62821-2019</t>
        </is>
      </c>
      <c r="B76" s="1" t="n">
        <v>43783</v>
      </c>
      <c r="C76" s="1" t="n">
        <v>45363</v>
      </c>
      <c r="D76" t="inlineStr">
        <is>
          <t>ÖREBRO LÄN</t>
        </is>
      </c>
      <c r="E76" t="inlineStr">
        <is>
          <t>DEGERFORS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61579-2019</t>
        </is>
      </c>
      <c r="B77" s="1" t="n">
        <v>43784</v>
      </c>
      <c r="C77" s="1" t="n">
        <v>45363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63600-2019</t>
        </is>
      </c>
      <c r="B78" s="1" t="n">
        <v>43789</v>
      </c>
      <c r="C78" s="1" t="n">
        <v>45363</v>
      </c>
      <c r="D78" t="inlineStr">
        <is>
          <t>ÖREBRO LÄN</t>
        </is>
      </c>
      <c r="E78" t="inlineStr">
        <is>
          <t>DEGERFORS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64828-2019</t>
        </is>
      </c>
      <c r="B79" s="1" t="n">
        <v>43801</v>
      </c>
      <c r="C79" s="1" t="n">
        <v>45363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66547-2019</t>
        </is>
      </c>
      <c r="B80" s="1" t="n">
        <v>43809</v>
      </c>
      <c r="C80" s="1" t="n">
        <v>45363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66546-2019</t>
        </is>
      </c>
      <c r="B81" s="1" t="n">
        <v>43809</v>
      </c>
      <c r="C81" s="1" t="n">
        <v>45363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332-2020</t>
        </is>
      </c>
      <c r="B82" s="1" t="n">
        <v>43816</v>
      </c>
      <c r="C82" s="1" t="n">
        <v>45363</v>
      </c>
      <c r="D82" t="inlineStr">
        <is>
          <t>ÖREBRO LÄN</t>
        </is>
      </c>
      <c r="E82" t="inlineStr">
        <is>
          <t>DEGERFORS</t>
        </is>
      </c>
      <c r="G82" t="n">
        <v>11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68270-2019</t>
        </is>
      </c>
      <c r="B83" s="1" t="n">
        <v>43817</v>
      </c>
      <c r="C83" s="1" t="n">
        <v>45363</v>
      </c>
      <c r="D83" t="inlineStr">
        <is>
          <t>ÖREBRO LÄN</t>
        </is>
      </c>
      <c r="E83" t="inlineStr">
        <is>
          <t>DEGERFORS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3680-2020</t>
        </is>
      </c>
      <c r="B84" s="1" t="n">
        <v>43845</v>
      </c>
      <c r="C84" s="1" t="n">
        <v>45363</v>
      </c>
      <c r="D84" t="inlineStr">
        <is>
          <t>ÖREBRO LÄN</t>
        </is>
      </c>
      <c r="E84" t="inlineStr">
        <is>
          <t>DEGERFORS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2188-2020</t>
        </is>
      </c>
      <c r="B85" s="1" t="n">
        <v>43846</v>
      </c>
      <c r="C85" s="1" t="n">
        <v>45363</v>
      </c>
      <c r="D85" t="inlineStr">
        <is>
          <t>ÖREBRO LÄN</t>
        </is>
      </c>
      <c r="E85" t="inlineStr">
        <is>
          <t>DEGERFORS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5477-2020</t>
        </is>
      </c>
      <c r="B86" s="1" t="n">
        <v>43858</v>
      </c>
      <c r="C86" s="1" t="n">
        <v>45363</v>
      </c>
      <c r="D86" t="inlineStr">
        <is>
          <t>ÖREBRO LÄN</t>
        </is>
      </c>
      <c r="E86" t="inlineStr">
        <is>
          <t>DEGERFORS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7369-2020</t>
        </is>
      </c>
      <c r="B87" s="1" t="n">
        <v>43871</v>
      </c>
      <c r="C87" s="1" t="n">
        <v>45363</v>
      </c>
      <c r="D87" t="inlineStr">
        <is>
          <t>ÖREBRO LÄN</t>
        </is>
      </c>
      <c r="E87" t="inlineStr">
        <is>
          <t>DEGERFORS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8157-2020</t>
        </is>
      </c>
      <c r="B88" s="1" t="n">
        <v>43873</v>
      </c>
      <c r="C88" s="1" t="n">
        <v>45363</v>
      </c>
      <c r="D88" t="inlineStr">
        <is>
          <t>ÖREBRO LÄN</t>
        </is>
      </c>
      <c r="E88" t="inlineStr">
        <is>
          <t>DEGERFORS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12471-2020</t>
        </is>
      </c>
      <c r="B89" s="1" t="n">
        <v>43896</v>
      </c>
      <c r="C89" s="1" t="n">
        <v>45363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16990-2020</t>
        </is>
      </c>
      <c r="B90" s="1" t="n">
        <v>43913</v>
      </c>
      <c r="C90" s="1" t="n">
        <v>45363</v>
      </c>
      <c r="D90" t="inlineStr">
        <is>
          <t>ÖREBRO LÄN</t>
        </is>
      </c>
      <c r="E90" t="inlineStr">
        <is>
          <t>DEGERFORS</t>
        </is>
      </c>
      <c r="G90" t="n">
        <v>11.5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15609-2020</t>
        </is>
      </c>
      <c r="B91" s="1" t="n">
        <v>43914</v>
      </c>
      <c r="C91" s="1" t="n">
        <v>45363</v>
      </c>
      <c r="D91" t="inlineStr">
        <is>
          <t>ÖREBRO LÄN</t>
        </is>
      </c>
      <c r="E91" t="inlineStr">
        <is>
          <t>DEGERFORS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15923-2020</t>
        </is>
      </c>
      <c r="B92" s="1" t="n">
        <v>43916</v>
      </c>
      <c r="C92" s="1" t="n">
        <v>45363</v>
      </c>
      <c r="D92" t="inlineStr">
        <is>
          <t>ÖREBRO LÄN</t>
        </is>
      </c>
      <c r="E92" t="inlineStr">
        <is>
          <t>DEGERFORS</t>
        </is>
      </c>
      <c r="F92" t="inlineStr">
        <is>
          <t>Kommuner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15921-2020</t>
        </is>
      </c>
      <c r="B93" s="1" t="n">
        <v>43916</v>
      </c>
      <c r="C93" s="1" t="n">
        <v>45363</v>
      </c>
      <c r="D93" t="inlineStr">
        <is>
          <t>ÖREBRO LÄN</t>
        </is>
      </c>
      <c r="E93" t="inlineStr">
        <is>
          <t>DEGERFORS</t>
        </is>
      </c>
      <c r="F93" t="inlineStr">
        <is>
          <t>Kommuner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15922-2020</t>
        </is>
      </c>
      <c r="B94" s="1" t="n">
        <v>43916</v>
      </c>
      <c r="C94" s="1" t="n">
        <v>45363</v>
      </c>
      <c r="D94" t="inlineStr">
        <is>
          <t>ÖREBRO LÄN</t>
        </is>
      </c>
      <c r="E94" t="inlineStr">
        <is>
          <t>DEGERFORS</t>
        </is>
      </c>
      <c r="F94" t="inlineStr">
        <is>
          <t>Kommuner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15924-2020</t>
        </is>
      </c>
      <c r="B95" s="1" t="n">
        <v>43916</v>
      </c>
      <c r="C95" s="1" t="n">
        <v>45363</v>
      </c>
      <c r="D95" t="inlineStr">
        <is>
          <t>ÖREBRO LÄN</t>
        </is>
      </c>
      <c r="E95" t="inlineStr">
        <is>
          <t>DEGERFORS</t>
        </is>
      </c>
      <c r="F95" t="inlineStr">
        <is>
          <t>Kommuner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15926-2020</t>
        </is>
      </c>
      <c r="B96" s="1" t="n">
        <v>43916</v>
      </c>
      <c r="C96" s="1" t="n">
        <v>45363</v>
      </c>
      <c r="D96" t="inlineStr">
        <is>
          <t>ÖREBRO LÄN</t>
        </is>
      </c>
      <c r="E96" t="inlineStr">
        <is>
          <t>DEGERFORS</t>
        </is>
      </c>
      <c r="F96" t="inlineStr">
        <is>
          <t>Kommuner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17449-2020</t>
        </is>
      </c>
      <c r="B97" s="1" t="n">
        <v>43923</v>
      </c>
      <c r="C97" s="1" t="n">
        <v>45363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17575-2020</t>
        </is>
      </c>
      <c r="B98" s="1" t="n">
        <v>43923</v>
      </c>
      <c r="C98" s="1" t="n">
        <v>45363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17466-2020</t>
        </is>
      </c>
      <c r="B99" s="1" t="n">
        <v>43923</v>
      </c>
      <c r="C99" s="1" t="n">
        <v>45363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17579-2020</t>
        </is>
      </c>
      <c r="B100" s="1" t="n">
        <v>43923</v>
      </c>
      <c r="C100" s="1" t="n">
        <v>45363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19815-2020</t>
        </is>
      </c>
      <c r="B101" s="1" t="n">
        <v>43942</v>
      </c>
      <c r="C101" s="1" t="n">
        <v>45363</v>
      </c>
      <c r="D101" t="inlineStr">
        <is>
          <t>ÖREBRO LÄN</t>
        </is>
      </c>
      <c r="E101" t="inlineStr">
        <is>
          <t>DEGERFORS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20350-2020</t>
        </is>
      </c>
      <c r="B102" s="1" t="n">
        <v>43945</v>
      </c>
      <c r="C102" s="1" t="n">
        <v>45363</v>
      </c>
      <c r="D102" t="inlineStr">
        <is>
          <t>ÖREBRO LÄN</t>
        </is>
      </c>
      <c r="E102" t="inlineStr">
        <is>
          <t>DEGERFORS</t>
        </is>
      </c>
      <c r="G102" t="n">
        <v>58.8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21855-2020</t>
        </is>
      </c>
      <c r="B103" s="1" t="n">
        <v>43945</v>
      </c>
      <c r="C103" s="1" t="n">
        <v>45363</v>
      </c>
      <c r="D103" t="inlineStr">
        <is>
          <t>ÖREBRO LÄN</t>
        </is>
      </c>
      <c r="E103" t="inlineStr">
        <is>
          <t>DEGERFORS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20595-2020</t>
        </is>
      </c>
      <c r="B104" s="1" t="n">
        <v>43948</v>
      </c>
      <c r="C104" s="1" t="n">
        <v>45363</v>
      </c>
      <c r="D104" t="inlineStr">
        <is>
          <t>ÖREBRO LÄN</t>
        </is>
      </c>
      <c r="E104" t="inlineStr">
        <is>
          <t>DEGERFORS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21850-2020</t>
        </is>
      </c>
      <c r="B105" s="1" t="n">
        <v>43958</v>
      </c>
      <c r="C105" s="1" t="n">
        <v>45363</v>
      </c>
      <c r="D105" t="inlineStr">
        <is>
          <t>ÖREBRO LÄN</t>
        </is>
      </c>
      <c r="E105" t="inlineStr">
        <is>
          <t>DEGERFORS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25043-2020</t>
        </is>
      </c>
      <c r="B106" s="1" t="n">
        <v>43979</v>
      </c>
      <c r="C106" s="1" t="n">
        <v>45363</v>
      </c>
      <c r="D106" t="inlineStr">
        <is>
          <t>ÖREBRO LÄN</t>
        </is>
      </c>
      <c r="E106" t="inlineStr">
        <is>
          <t>DEGERFORS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31435-2020</t>
        </is>
      </c>
      <c r="B107" s="1" t="n">
        <v>44013</v>
      </c>
      <c r="C107" s="1" t="n">
        <v>45363</v>
      </c>
      <c r="D107" t="inlineStr">
        <is>
          <t>ÖREBRO LÄN</t>
        </is>
      </c>
      <c r="E107" t="inlineStr">
        <is>
          <t>DEGERFORS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31440-2020</t>
        </is>
      </c>
      <c r="B108" s="1" t="n">
        <v>44013</v>
      </c>
      <c r="C108" s="1" t="n">
        <v>45363</v>
      </c>
      <c r="D108" t="inlineStr">
        <is>
          <t>ÖREBRO LÄN</t>
        </is>
      </c>
      <c r="E108" t="inlineStr">
        <is>
          <t>DEGERFORS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31450-2020</t>
        </is>
      </c>
      <c r="B109" s="1" t="n">
        <v>44013</v>
      </c>
      <c r="C109" s="1" t="n">
        <v>45363</v>
      </c>
      <c r="D109" t="inlineStr">
        <is>
          <t>ÖREBRO LÄN</t>
        </is>
      </c>
      <c r="E109" t="inlineStr">
        <is>
          <t>DEGERFORS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31446-2020</t>
        </is>
      </c>
      <c r="B110" s="1" t="n">
        <v>44013</v>
      </c>
      <c r="C110" s="1" t="n">
        <v>45363</v>
      </c>
      <c r="D110" t="inlineStr">
        <is>
          <t>ÖREBRO LÄN</t>
        </is>
      </c>
      <c r="E110" t="inlineStr">
        <is>
          <t>DEGERFORS</t>
        </is>
      </c>
      <c r="G110" t="n">
        <v>13.9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32899-2020</t>
        </is>
      </c>
      <c r="B111" s="1" t="n">
        <v>44020</v>
      </c>
      <c r="C111" s="1" t="n">
        <v>45363</v>
      </c>
      <c r="D111" t="inlineStr">
        <is>
          <t>ÖREBRO LÄN</t>
        </is>
      </c>
      <c r="E111" t="inlineStr">
        <is>
          <t>DEGERFORS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40383-2020</t>
        </is>
      </c>
      <c r="B112" s="1" t="n">
        <v>44068</v>
      </c>
      <c r="C112" s="1" t="n">
        <v>45363</v>
      </c>
      <c r="D112" t="inlineStr">
        <is>
          <t>ÖREBRO LÄN</t>
        </is>
      </c>
      <c r="E112" t="inlineStr">
        <is>
          <t>DEGERFORS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41056-2020</t>
        </is>
      </c>
      <c r="B113" s="1" t="n">
        <v>44069</v>
      </c>
      <c r="C113" s="1" t="n">
        <v>45363</v>
      </c>
      <c r="D113" t="inlineStr">
        <is>
          <t>ÖREBRO LÄN</t>
        </is>
      </c>
      <c r="E113" t="inlineStr">
        <is>
          <t>DEGERFORS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40810-2020</t>
        </is>
      </c>
      <c r="B114" s="1" t="n">
        <v>44070</v>
      </c>
      <c r="C114" s="1" t="n">
        <v>45363</v>
      </c>
      <c r="D114" t="inlineStr">
        <is>
          <t>ÖREBRO LÄN</t>
        </is>
      </c>
      <c r="E114" t="inlineStr">
        <is>
          <t>DEGERFORS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48197-2020</t>
        </is>
      </c>
      <c r="B115" s="1" t="n">
        <v>44102</v>
      </c>
      <c r="C115" s="1" t="n">
        <v>45363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50358-2020</t>
        </is>
      </c>
      <c r="B116" s="1" t="n">
        <v>44110</v>
      </c>
      <c r="C116" s="1" t="n">
        <v>45363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51130-2020</t>
        </is>
      </c>
      <c r="B117" s="1" t="n">
        <v>44112</v>
      </c>
      <c r="C117" s="1" t="n">
        <v>45363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66667-2020</t>
        </is>
      </c>
      <c r="B118" s="1" t="n">
        <v>44179</v>
      </c>
      <c r="C118" s="1" t="n">
        <v>45363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5735-2021</t>
        </is>
      </c>
      <c r="B119" s="1" t="n">
        <v>44230</v>
      </c>
      <c r="C119" s="1" t="n">
        <v>45363</v>
      </c>
      <c r="D119" t="inlineStr">
        <is>
          <t>ÖREBRO LÄN</t>
        </is>
      </c>
      <c r="E119" t="inlineStr">
        <is>
          <t>DEGERFORS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19070-2021</t>
        </is>
      </c>
      <c r="B120" s="1" t="n">
        <v>44308</v>
      </c>
      <c r="C120" s="1" t="n">
        <v>45363</v>
      </c>
      <c r="D120" t="inlineStr">
        <is>
          <t>ÖREBRO LÄN</t>
        </is>
      </c>
      <c r="E120" t="inlineStr">
        <is>
          <t>DEGERFORS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19084-2021</t>
        </is>
      </c>
      <c r="B121" s="1" t="n">
        <v>44308</v>
      </c>
      <c r="C121" s="1" t="n">
        <v>45363</v>
      </c>
      <c r="D121" t="inlineStr">
        <is>
          <t>ÖREBRO LÄN</t>
        </is>
      </c>
      <c r="E121" t="inlineStr">
        <is>
          <t>DEGERFORS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32582-2021</t>
        </is>
      </c>
      <c r="B122" s="1" t="n">
        <v>44375</v>
      </c>
      <c r="C122" s="1" t="n">
        <v>45363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32590-2021</t>
        </is>
      </c>
      <c r="B123" s="1" t="n">
        <v>44375</v>
      </c>
      <c r="C123" s="1" t="n">
        <v>45363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32729-2021</t>
        </is>
      </c>
      <c r="B124" s="1" t="n">
        <v>44375</v>
      </c>
      <c r="C124" s="1" t="n">
        <v>45363</v>
      </c>
      <c r="D124" t="inlineStr">
        <is>
          <t>ÖREBRO LÄN</t>
        </is>
      </c>
      <c r="E124" t="inlineStr">
        <is>
          <t>DEGERFORS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34690-2021</t>
        </is>
      </c>
      <c r="B125" s="1" t="n">
        <v>44382</v>
      </c>
      <c r="C125" s="1" t="n">
        <v>45363</v>
      </c>
      <c r="D125" t="inlineStr">
        <is>
          <t>ÖREBRO LÄN</t>
        </is>
      </c>
      <c r="E125" t="inlineStr">
        <is>
          <t>DEGERFORS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34695-2021</t>
        </is>
      </c>
      <c r="B126" s="1" t="n">
        <v>44382</v>
      </c>
      <c r="C126" s="1" t="n">
        <v>45363</v>
      </c>
      <c r="D126" t="inlineStr">
        <is>
          <t>ÖREBRO LÄN</t>
        </is>
      </c>
      <c r="E126" t="inlineStr">
        <is>
          <t>DEGERFORS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36963-2021</t>
        </is>
      </c>
      <c r="B127" s="1" t="n">
        <v>44393</v>
      </c>
      <c r="C127" s="1" t="n">
        <v>45363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37122-2021</t>
        </is>
      </c>
      <c r="B128" s="1" t="n">
        <v>44396</v>
      </c>
      <c r="C128" s="1" t="n">
        <v>45363</v>
      </c>
      <c r="D128" t="inlineStr">
        <is>
          <t>ÖREBRO LÄN</t>
        </is>
      </c>
      <c r="E128" t="inlineStr">
        <is>
          <t>DEGERFORS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37302-2021</t>
        </is>
      </c>
      <c r="B129" s="1" t="n">
        <v>44397</v>
      </c>
      <c r="C129" s="1" t="n">
        <v>45363</v>
      </c>
      <c r="D129" t="inlineStr">
        <is>
          <t>ÖREBRO LÄN</t>
        </is>
      </c>
      <c r="E129" t="inlineStr">
        <is>
          <t>DEGERFORS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38421-2021</t>
        </is>
      </c>
      <c r="B130" s="1" t="n">
        <v>44407</v>
      </c>
      <c r="C130" s="1" t="n">
        <v>45363</v>
      </c>
      <c r="D130" t="inlineStr">
        <is>
          <t>ÖREBRO LÄN</t>
        </is>
      </c>
      <c r="E130" t="inlineStr">
        <is>
          <t>DEGERFORS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42122-2021</t>
        </is>
      </c>
      <c r="B131" s="1" t="n">
        <v>44426</v>
      </c>
      <c r="C131" s="1" t="n">
        <v>45363</v>
      </c>
      <c r="D131" t="inlineStr">
        <is>
          <t>ÖREBRO LÄN</t>
        </is>
      </c>
      <c r="E131" t="inlineStr">
        <is>
          <t>DEGERFORS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43393-2021</t>
        </is>
      </c>
      <c r="B132" s="1" t="n">
        <v>44432</v>
      </c>
      <c r="C132" s="1" t="n">
        <v>45363</v>
      </c>
      <c r="D132" t="inlineStr">
        <is>
          <t>ÖREBRO LÄN</t>
        </is>
      </c>
      <c r="E132" t="inlineStr">
        <is>
          <t>DEGERFORS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44735-2021</t>
        </is>
      </c>
      <c r="B133" s="1" t="n">
        <v>44438</v>
      </c>
      <c r="C133" s="1" t="n">
        <v>45363</v>
      </c>
      <c r="D133" t="inlineStr">
        <is>
          <t>ÖREBRO LÄN</t>
        </is>
      </c>
      <c r="E133" t="inlineStr">
        <is>
          <t>DEGERFORS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52126-2021</t>
        </is>
      </c>
      <c r="B134" s="1" t="n">
        <v>44463</v>
      </c>
      <c r="C134" s="1" t="n">
        <v>45363</v>
      </c>
      <c r="D134" t="inlineStr">
        <is>
          <t>ÖREBRO LÄN</t>
        </is>
      </c>
      <c r="E134" t="inlineStr">
        <is>
          <t>DEGERFORS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52131-2021</t>
        </is>
      </c>
      <c r="B135" s="1" t="n">
        <v>44463</v>
      </c>
      <c r="C135" s="1" t="n">
        <v>45363</v>
      </c>
      <c r="D135" t="inlineStr">
        <is>
          <t>ÖREBRO LÄN</t>
        </is>
      </c>
      <c r="E135" t="inlineStr">
        <is>
          <t>DEGERFORS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52457-2021</t>
        </is>
      </c>
      <c r="B136" s="1" t="n">
        <v>44466</v>
      </c>
      <c r="C136" s="1" t="n">
        <v>45363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54137-2021</t>
        </is>
      </c>
      <c r="B137" s="1" t="n">
        <v>44470</v>
      </c>
      <c r="C137" s="1" t="n">
        <v>45363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54130-2021</t>
        </is>
      </c>
      <c r="B138" s="1" t="n">
        <v>44470</v>
      </c>
      <c r="C138" s="1" t="n">
        <v>45363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54134-2021</t>
        </is>
      </c>
      <c r="B139" s="1" t="n">
        <v>44470</v>
      </c>
      <c r="C139" s="1" t="n">
        <v>45363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54139-2021</t>
        </is>
      </c>
      <c r="B140" s="1" t="n">
        <v>44470</v>
      </c>
      <c r="C140" s="1" t="n">
        <v>45363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60889-2021</t>
        </is>
      </c>
      <c r="B141" s="1" t="n">
        <v>44497</v>
      </c>
      <c r="C141" s="1" t="n">
        <v>45363</v>
      </c>
      <c r="D141" t="inlineStr">
        <is>
          <t>ÖREBRO LÄN</t>
        </is>
      </c>
      <c r="E141" t="inlineStr">
        <is>
          <t>DEGERFORS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61750-2021</t>
        </is>
      </c>
      <c r="B142" s="1" t="n">
        <v>44501</v>
      </c>
      <c r="C142" s="1" t="n">
        <v>45363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63010-2021</t>
        </is>
      </c>
      <c r="B143" s="1" t="n">
        <v>44505</v>
      </c>
      <c r="C143" s="1" t="n">
        <v>45363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63906-2021</t>
        </is>
      </c>
      <c r="B144" s="1" t="n">
        <v>44509</v>
      </c>
      <c r="C144" s="1" t="n">
        <v>45363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63904-2021</t>
        </is>
      </c>
      <c r="B145" s="1" t="n">
        <v>44509</v>
      </c>
      <c r="C145" s="1" t="n">
        <v>45363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13.3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63905-2021</t>
        </is>
      </c>
      <c r="B146" s="1" t="n">
        <v>44509</v>
      </c>
      <c r="C146" s="1" t="n">
        <v>45363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65456-2021</t>
        </is>
      </c>
      <c r="B147" s="1" t="n">
        <v>44515</v>
      </c>
      <c r="C147" s="1" t="n">
        <v>45363</v>
      </c>
      <c r="D147" t="inlineStr">
        <is>
          <t>ÖREBRO LÄN</t>
        </is>
      </c>
      <c r="E147" t="inlineStr">
        <is>
          <t>DEGERFORS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67499-2021</t>
        </is>
      </c>
      <c r="B148" s="1" t="n">
        <v>44524</v>
      </c>
      <c r="C148" s="1" t="n">
        <v>45363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67998-2021</t>
        </is>
      </c>
      <c r="B149" s="1" t="n">
        <v>44525</v>
      </c>
      <c r="C149" s="1" t="n">
        <v>45363</v>
      </c>
      <c r="D149" t="inlineStr">
        <is>
          <t>ÖREBRO LÄN</t>
        </is>
      </c>
      <c r="E149" t="inlineStr">
        <is>
          <t>DEGERFORS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68578-2021</t>
        </is>
      </c>
      <c r="B150" s="1" t="n">
        <v>44529</v>
      </c>
      <c r="C150" s="1" t="n">
        <v>45363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68576-2021</t>
        </is>
      </c>
      <c r="B151" s="1" t="n">
        <v>44529</v>
      </c>
      <c r="C151" s="1" t="n">
        <v>45363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68581-2021</t>
        </is>
      </c>
      <c r="B152" s="1" t="n">
        <v>44529</v>
      </c>
      <c r="C152" s="1" t="n">
        <v>45363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68582-2021</t>
        </is>
      </c>
      <c r="B153" s="1" t="n">
        <v>44529</v>
      </c>
      <c r="C153" s="1" t="n">
        <v>45363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73321-2021</t>
        </is>
      </c>
      <c r="B154" s="1" t="n">
        <v>44550</v>
      </c>
      <c r="C154" s="1" t="n">
        <v>45363</v>
      </c>
      <c r="D154" t="inlineStr">
        <is>
          <t>ÖREBRO LÄN</t>
        </is>
      </c>
      <c r="E154" t="inlineStr">
        <is>
          <t>DEGERFORS</t>
        </is>
      </c>
      <c r="G154" t="n">
        <v>17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73693-2021</t>
        </is>
      </c>
      <c r="B155" s="1" t="n">
        <v>44552</v>
      </c>
      <c r="C155" s="1" t="n">
        <v>45363</v>
      </c>
      <c r="D155" t="inlineStr">
        <is>
          <t>ÖREBRO LÄN</t>
        </is>
      </c>
      <c r="E155" t="inlineStr">
        <is>
          <t>DEGERFORS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2357-2022</t>
        </is>
      </c>
      <c r="B156" s="1" t="n">
        <v>44578</v>
      </c>
      <c r="C156" s="1" t="n">
        <v>45363</v>
      </c>
      <c r="D156" t="inlineStr">
        <is>
          <t>ÖREBRO LÄN</t>
        </is>
      </c>
      <c r="E156" t="inlineStr">
        <is>
          <t>DEGERFORS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2565-2022</t>
        </is>
      </c>
      <c r="B157" s="1" t="n">
        <v>44579</v>
      </c>
      <c r="C157" s="1" t="n">
        <v>45363</v>
      </c>
      <c r="D157" t="inlineStr">
        <is>
          <t>ÖREBRO LÄN</t>
        </is>
      </c>
      <c r="E157" t="inlineStr">
        <is>
          <t>DEGERFORS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3177-2022</t>
        </is>
      </c>
      <c r="B158" s="1" t="n">
        <v>44582</v>
      </c>
      <c r="C158" s="1" t="n">
        <v>45363</v>
      </c>
      <c r="D158" t="inlineStr">
        <is>
          <t>ÖREBRO LÄN</t>
        </is>
      </c>
      <c r="E158" t="inlineStr">
        <is>
          <t>DEGERFORS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5319-2022</t>
        </is>
      </c>
      <c r="B159" s="1" t="n">
        <v>44594</v>
      </c>
      <c r="C159" s="1" t="n">
        <v>45363</v>
      </c>
      <c r="D159" t="inlineStr">
        <is>
          <t>ÖREBRO LÄN</t>
        </is>
      </c>
      <c r="E159" t="inlineStr">
        <is>
          <t>DEGERFORS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7510-2022</t>
        </is>
      </c>
      <c r="B160" s="1" t="n">
        <v>44607</v>
      </c>
      <c r="C160" s="1" t="n">
        <v>45363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8184-2022</t>
        </is>
      </c>
      <c r="B161" s="1" t="n">
        <v>44609</v>
      </c>
      <c r="C161" s="1" t="n">
        <v>45363</v>
      </c>
      <c r="D161" t="inlineStr">
        <is>
          <t>ÖREBRO LÄN</t>
        </is>
      </c>
      <c r="E161" t="inlineStr">
        <is>
          <t>DEGERFORS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8186-2022</t>
        </is>
      </c>
      <c r="B162" s="1" t="n">
        <v>44609</v>
      </c>
      <c r="C162" s="1" t="n">
        <v>45363</v>
      </c>
      <c r="D162" t="inlineStr">
        <is>
          <t>ÖREBRO LÄN</t>
        </is>
      </c>
      <c r="E162" t="inlineStr">
        <is>
          <t>DEGERFORS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12977-2022</t>
        </is>
      </c>
      <c r="B163" s="1" t="n">
        <v>44643</v>
      </c>
      <c r="C163" s="1" t="n">
        <v>45363</v>
      </c>
      <c r="D163" t="inlineStr">
        <is>
          <t>ÖREBRO LÄN</t>
        </is>
      </c>
      <c r="E163" t="inlineStr">
        <is>
          <t>DEGERFORS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14121-2022</t>
        </is>
      </c>
      <c r="B164" s="1" t="n">
        <v>44651</v>
      </c>
      <c r="C164" s="1" t="n">
        <v>45363</v>
      </c>
      <c r="D164" t="inlineStr">
        <is>
          <t>ÖREBRO LÄN</t>
        </is>
      </c>
      <c r="E164" t="inlineStr">
        <is>
          <t>DEGERFORS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16451-2022</t>
        </is>
      </c>
      <c r="B165" s="1" t="n">
        <v>44671</v>
      </c>
      <c r="C165" s="1" t="n">
        <v>45363</v>
      </c>
      <c r="D165" t="inlineStr">
        <is>
          <t>ÖREBRO LÄN</t>
        </is>
      </c>
      <c r="E165" t="inlineStr">
        <is>
          <t>DEGERFORS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19371-2022</t>
        </is>
      </c>
      <c r="B166" s="1" t="n">
        <v>44692</v>
      </c>
      <c r="C166" s="1" t="n">
        <v>45363</v>
      </c>
      <c r="D166" t="inlineStr">
        <is>
          <t>ÖREBRO LÄN</t>
        </is>
      </c>
      <c r="E166" t="inlineStr">
        <is>
          <t>DEGERFORS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21529-2022</t>
        </is>
      </c>
      <c r="B167" s="1" t="n">
        <v>44706</v>
      </c>
      <c r="C167" s="1" t="n">
        <v>45363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21512-2022</t>
        </is>
      </c>
      <c r="B168" s="1" t="n">
        <v>44706</v>
      </c>
      <c r="C168" s="1" t="n">
        <v>45363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23064-2022</t>
        </is>
      </c>
      <c r="B169" s="1" t="n">
        <v>44719</v>
      </c>
      <c r="C169" s="1" t="n">
        <v>45363</v>
      </c>
      <c r="D169" t="inlineStr">
        <is>
          <t>ÖREBRO LÄN</t>
        </is>
      </c>
      <c r="E169" t="inlineStr">
        <is>
          <t>DEGERFORS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23066-2022</t>
        </is>
      </c>
      <c r="B170" s="1" t="n">
        <v>44719</v>
      </c>
      <c r="C170" s="1" t="n">
        <v>45363</v>
      </c>
      <c r="D170" t="inlineStr">
        <is>
          <t>ÖREBRO LÄN</t>
        </is>
      </c>
      <c r="E170" t="inlineStr">
        <is>
          <t>DEGERFORS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23058-2022</t>
        </is>
      </c>
      <c r="B171" s="1" t="n">
        <v>44719</v>
      </c>
      <c r="C171" s="1" t="n">
        <v>45363</v>
      </c>
      <c r="D171" t="inlineStr">
        <is>
          <t>ÖREBRO LÄN</t>
        </is>
      </c>
      <c r="E171" t="inlineStr">
        <is>
          <t>DEGERFORS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29605-2022</t>
        </is>
      </c>
      <c r="B172" s="1" t="n">
        <v>44754</v>
      </c>
      <c r="C172" s="1" t="n">
        <v>45363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29607-2022</t>
        </is>
      </c>
      <c r="B173" s="1" t="n">
        <v>44754</v>
      </c>
      <c r="C173" s="1" t="n">
        <v>45363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32211-2022</t>
        </is>
      </c>
      <c r="B174" s="1" t="n">
        <v>44781</v>
      </c>
      <c r="C174" s="1" t="n">
        <v>45363</v>
      </c>
      <c r="D174" t="inlineStr">
        <is>
          <t>ÖREBRO LÄN</t>
        </is>
      </c>
      <c r="E174" t="inlineStr">
        <is>
          <t>DEGERFORS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34884-2022</t>
        </is>
      </c>
      <c r="B175" s="1" t="n">
        <v>44796</v>
      </c>
      <c r="C175" s="1" t="n">
        <v>45363</v>
      </c>
      <c r="D175" t="inlineStr">
        <is>
          <t>ÖREBRO LÄN</t>
        </is>
      </c>
      <c r="E175" t="inlineStr">
        <is>
          <t>DEGERFORS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35107-2022</t>
        </is>
      </c>
      <c r="B176" s="1" t="n">
        <v>44797</v>
      </c>
      <c r="C176" s="1" t="n">
        <v>45363</v>
      </c>
      <c r="D176" t="inlineStr">
        <is>
          <t>ÖREBRO LÄN</t>
        </is>
      </c>
      <c r="E176" t="inlineStr">
        <is>
          <t>DEGERFORS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36784-2022</t>
        </is>
      </c>
      <c r="B177" s="1" t="n">
        <v>44805</v>
      </c>
      <c r="C177" s="1" t="n">
        <v>45363</v>
      </c>
      <c r="D177" t="inlineStr">
        <is>
          <t>ÖREBRO LÄN</t>
        </is>
      </c>
      <c r="E177" t="inlineStr">
        <is>
          <t>DEGERFORS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36798-2022</t>
        </is>
      </c>
      <c r="B178" s="1" t="n">
        <v>44805</v>
      </c>
      <c r="C178" s="1" t="n">
        <v>45363</v>
      </c>
      <c r="D178" t="inlineStr">
        <is>
          <t>ÖREBRO LÄN</t>
        </is>
      </c>
      <c r="E178" t="inlineStr">
        <is>
          <t>DEGERFORS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38738-2022</t>
        </is>
      </c>
      <c r="B179" s="1" t="n">
        <v>44816</v>
      </c>
      <c r="C179" s="1" t="n">
        <v>45363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38746-2022</t>
        </is>
      </c>
      <c r="B180" s="1" t="n">
        <v>44816</v>
      </c>
      <c r="C180" s="1" t="n">
        <v>45363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38743-2022</t>
        </is>
      </c>
      <c r="B181" s="1" t="n">
        <v>44816</v>
      </c>
      <c r="C181" s="1" t="n">
        <v>45363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38748-2022</t>
        </is>
      </c>
      <c r="B182" s="1" t="n">
        <v>44816</v>
      </c>
      <c r="C182" s="1" t="n">
        <v>45363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38747-2022</t>
        </is>
      </c>
      <c r="B183" s="1" t="n">
        <v>44816</v>
      </c>
      <c r="C183" s="1" t="n">
        <v>45363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44457-2022</t>
        </is>
      </c>
      <c r="B184" s="1" t="n">
        <v>44839</v>
      </c>
      <c r="C184" s="1" t="n">
        <v>45363</v>
      </c>
      <c r="D184" t="inlineStr">
        <is>
          <t>ÖREBRO LÄN</t>
        </is>
      </c>
      <c r="E184" t="inlineStr">
        <is>
          <t>DEGERFORS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45166-2022</t>
        </is>
      </c>
      <c r="B185" s="1" t="n">
        <v>44844</v>
      </c>
      <c r="C185" s="1" t="n">
        <v>45363</v>
      </c>
      <c r="D185" t="inlineStr">
        <is>
          <t>ÖREBRO LÄN</t>
        </is>
      </c>
      <c r="E185" t="inlineStr">
        <is>
          <t>DEGERFORS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45292-2022</t>
        </is>
      </c>
      <c r="B186" s="1" t="n">
        <v>44844</v>
      </c>
      <c r="C186" s="1" t="n">
        <v>45363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45291-2022</t>
        </is>
      </c>
      <c r="B187" s="1" t="n">
        <v>44844</v>
      </c>
      <c r="C187" s="1" t="n">
        <v>45363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45298-2022</t>
        </is>
      </c>
      <c r="B188" s="1" t="n">
        <v>44844</v>
      </c>
      <c r="C188" s="1" t="n">
        <v>45363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45296-2022</t>
        </is>
      </c>
      <c r="B189" s="1" t="n">
        <v>44844</v>
      </c>
      <c r="C189" s="1" t="n">
        <v>45363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47569-2022</t>
        </is>
      </c>
      <c r="B190" s="1" t="n">
        <v>44853</v>
      </c>
      <c r="C190" s="1" t="n">
        <v>45363</v>
      </c>
      <c r="D190" t="inlineStr">
        <is>
          <t>ÖREBRO LÄN</t>
        </is>
      </c>
      <c r="E190" t="inlineStr">
        <is>
          <t>DEGERFORS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48216-2022</t>
        </is>
      </c>
      <c r="B191" s="1" t="n">
        <v>44858</v>
      </c>
      <c r="C191" s="1" t="n">
        <v>45363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49282-2022</t>
        </is>
      </c>
      <c r="B192" s="1" t="n">
        <v>44861</v>
      </c>
      <c r="C192" s="1" t="n">
        <v>45363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12.2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50600-2022</t>
        </is>
      </c>
      <c r="B193" s="1" t="n">
        <v>44861</v>
      </c>
      <c r="C193" s="1" t="n">
        <v>45363</v>
      </c>
      <c r="D193" t="inlineStr">
        <is>
          <t>ÖREBRO LÄN</t>
        </is>
      </c>
      <c r="E193" t="inlineStr">
        <is>
          <t>DEGERFORS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50599-2022</t>
        </is>
      </c>
      <c r="B194" s="1" t="n">
        <v>44861</v>
      </c>
      <c r="C194" s="1" t="n">
        <v>45363</v>
      </c>
      <c r="D194" t="inlineStr">
        <is>
          <t>ÖREBRO LÄN</t>
        </is>
      </c>
      <c r="E194" t="inlineStr">
        <is>
          <t>DEGERFORS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50416-2022</t>
        </is>
      </c>
      <c r="B195" s="1" t="n">
        <v>44866</v>
      </c>
      <c r="C195" s="1" t="n">
        <v>45363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51468-2022</t>
        </is>
      </c>
      <c r="B196" s="1" t="n">
        <v>44869</v>
      </c>
      <c r="C196" s="1" t="n">
        <v>45363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12.3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55443-2022</t>
        </is>
      </c>
      <c r="B197" s="1" t="n">
        <v>44887</v>
      </c>
      <c r="C197" s="1" t="n">
        <v>45363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55446-2022</t>
        </is>
      </c>
      <c r="B198" s="1" t="n">
        <v>44887</v>
      </c>
      <c r="C198" s="1" t="n">
        <v>45363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59158-2022</t>
        </is>
      </c>
      <c r="B199" s="1" t="n">
        <v>44904</v>
      </c>
      <c r="C199" s="1" t="n">
        <v>45363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59390-2022</t>
        </is>
      </c>
      <c r="B200" s="1" t="n">
        <v>44906</v>
      </c>
      <c r="C200" s="1" t="n">
        <v>45363</v>
      </c>
      <c r="D200" t="inlineStr">
        <is>
          <t>ÖREBRO LÄN</t>
        </is>
      </c>
      <c r="E200" t="inlineStr">
        <is>
          <t>DEGERFORS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2997-2023</t>
        </is>
      </c>
      <c r="B201" s="1" t="n">
        <v>44945</v>
      </c>
      <c r="C201" s="1" t="n">
        <v>45363</v>
      </c>
      <c r="D201" t="inlineStr">
        <is>
          <t>ÖREBRO LÄN</t>
        </is>
      </c>
      <c r="E201" t="inlineStr">
        <is>
          <t>DEGERFORS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7909-2023</t>
        </is>
      </c>
      <c r="B202" s="1" t="n">
        <v>44973</v>
      </c>
      <c r="C202" s="1" t="n">
        <v>45363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8993-2023</t>
        </is>
      </c>
      <c r="B203" s="1" t="n">
        <v>44979</v>
      </c>
      <c r="C203" s="1" t="n">
        <v>45363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8992-2023</t>
        </is>
      </c>
      <c r="B204" s="1" t="n">
        <v>44979</v>
      </c>
      <c r="C204" s="1" t="n">
        <v>45363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8994-2023</t>
        </is>
      </c>
      <c r="B205" s="1" t="n">
        <v>44979</v>
      </c>
      <c r="C205" s="1" t="n">
        <v>45363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9501-2023</t>
        </is>
      </c>
      <c r="B206" s="1" t="n">
        <v>44981</v>
      </c>
      <c r="C206" s="1" t="n">
        <v>45363</v>
      </c>
      <c r="D206" t="inlineStr">
        <is>
          <t>ÖREBRO LÄN</t>
        </is>
      </c>
      <c r="E206" t="inlineStr">
        <is>
          <t>DEGERFORS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10321-2023</t>
        </is>
      </c>
      <c r="B207" s="1" t="n">
        <v>44987</v>
      </c>
      <c r="C207" s="1" t="n">
        <v>45363</v>
      </c>
      <c r="D207" t="inlineStr">
        <is>
          <t>ÖREBRO LÄN</t>
        </is>
      </c>
      <c r="E207" t="inlineStr">
        <is>
          <t>DEGERFORS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11085-2023</t>
        </is>
      </c>
      <c r="B208" s="1" t="n">
        <v>44986</v>
      </c>
      <c r="C208" s="1" t="n">
        <v>45363</v>
      </c>
      <c r="D208" t="inlineStr">
        <is>
          <t>ÖREBRO LÄN</t>
        </is>
      </c>
      <c r="E208" t="inlineStr">
        <is>
          <t>DEGERFORS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10320-2023</t>
        </is>
      </c>
      <c r="B209" s="1" t="n">
        <v>44986</v>
      </c>
      <c r="C209" s="1" t="n">
        <v>45363</v>
      </c>
      <c r="D209" t="inlineStr">
        <is>
          <t>ÖREBRO LÄN</t>
        </is>
      </c>
      <c r="E209" t="inlineStr">
        <is>
          <t>DEGERFORS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11084-2023</t>
        </is>
      </c>
      <c r="B210" s="1" t="n">
        <v>44986</v>
      </c>
      <c r="C210" s="1" t="n">
        <v>45363</v>
      </c>
      <c r="D210" t="inlineStr">
        <is>
          <t>ÖREBRO LÄN</t>
        </is>
      </c>
      <c r="E210" t="inlineStr">
        <is>
          <t>DEGERFORS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10322-2023</t>
        </is>
      </c>
      <c r="B211" s="1" t="n">
        <v>44986</v>
      </c>
      <c r="C211" s="1" t="n">
        <v>45363</v>
      </c>
      <c r="D211" t="inlineStr">
        <is>
          <t>ÖREBRO LÄN</t>
        </is>
      </c>
      <c r="E211" t="inlineStr">
        <is>
          <t>DEGERFORS</t>
        </is>
      </c>
      <c r="G211" t="n">
        <v>10.9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10765-2023</t>
        </is>
      </c>
      <c r="B212" s="1" t="n">
        <v>44988</v>
      </c>
      <c r="C212" s="1" t="n">
        <v>45363</v>
      </c>
      <c r="D212" t="inlineStr">
        <is>
          <t>ÖREBRO LÄN</t>
        </is>
      </c>
      <c r="E212" t="inlineStr">
        <is>
          <t>DEGERFORS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10781-2023</t>
        </is>
      </c>
      <c r="B213" s="1" t="n">
        <v>44988</v>
      </c>
      <c r="C213" s="1" t="n">
        <v>45363</v>
      </c>
      <c r="D213" t="inlineStr">
        <is>
          <t>ÖREBRO LÄN</t>
        </is>
      </c>
      <c r="E213" t="inlineStr">
        <is>
          <t>DEGERFORS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10797-2023</t>
        </is>
      </c>
      <c r="B214" s="1" t="n">
        <v>44989</v>
      </c>
      <c r="C214" s="1" t="n">
        <v>45363</v>
      </c>
      <c r="D214" t="inlineStr">
        <is>
          <t>ÖREBRO LÄN</t>
        </is>
      </c>
      <c r="E214" t="inlineStr">
        <is>
          <t>DEGERFORS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10796-2023</t>
        </is>
      </c>
      <c r="B215" s="1" t="n">
        <v>44989</v>
      </c>
      <c r="C215" s="1" t="n">
        <v>45363</v>
      </c>
      <c r="D215" t="inlineStr">
        <is>
          <t>ÖREBRO LÄN</t>
        </is>
      </c>
      <c r="E215" t="inlineStr">
        <is>
          <t>DEGERFORS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12143-2023</t>
        </is>
      </c>
      <c r="B216" s="1" t="n">
        <v>44995</v>
      </c>
      <c r="C216" s="1" t="n">
        <v>45363</v>
      </c>
      <c r="D216" t="inlineStr">
        <is>
          <t>ÖREBRO LÄN</t>
        </is>
      </c>
      <c r="E216" t="inlineStr">
        <is>
          <t>DEGERFORS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12859-2023</t>
        </is>
      </c>
      <c r="B217" s="1" t="n">
        <v>45001</v>
      </c>
      <c r="C217" s="1" t="n">
        <v>45363</v>
      </c>
      <c r="D217" t="inlineStr">
        <is>
          <t>ÖREBRO LÄN</t>
        </is>
      </c>
      <c r="E217" t="inlineStr">
        <is>
          <t>DEGERFORS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14725-2023</t>
        </is>
      </c>
      <c r="B218" s="1" t="n">
        <v>45014</v>
      </c>
      <c r="C218" s="1" t="n">
        <v>45363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14723-2023</t>
        </is>
      </c>
      <c r="B219" s="1" t="n">
        <v>45014</v>
      </c>
      <c r="C219" s="1" t="n">
        <v>45363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16257-2023</t>
        </is>
      </c>
      <c r="B220" s="1" t="n">
        <v>45028</v>
      </c>
      <c r="C220" s="1" t="n">
        <v>45363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19305-2023</t>
        </is>
      </c>
      <c r="B221" s="1" t="n">
        <v>45049</v>
      </c>
      <c r="C221" s="1" t="n">
        <v>45363</v>
      </c>
      <c r="D221" t="inlineStr">
        <is>
          <t>ÖREBRO LÄN</t>
        </is>
      </c>
      <c r="E221" t="inlineStr">
        <is>
          <t>DEGERFORS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20383-2023</t>
        </is>
      </c>
      <c r="B222" s="1" t="n">
        <v>45056</v>
      </c>
      <c r="C222" s="1" t="n">
        <v>45363</v>
      </c>
      <c r="D222" t="inlineStr">
        <is>
          <t>ÖREBRO LÄN</t>
        </is>
      </c>
      <c r="E222" t="inlineStr">
        <is>
          <t>DEGERFORS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20578-2023</t>
        </is>
      </c>
      <c r="B223" s="1" t="n">
        <v>45057</v>
      </c>
      <c r="C223" s="1" t="n">
        <v>45363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20577-2023</t>
        </is>
      </c>
      <c r="B224" s="1" t="n">
        <v>45057</v>
      </c>
      <c r="C224" s="1" t="n">
        <v>45363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20576-2023</t>
        </is>
      </c>
      <c r="B225" s="1" t="n">
        <v>45057</v>
      </c>
      <c r="C225" s="1" t="n">
        <v>45363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20575-2023</t>
        </is>
      </c>
      <c r="B226" s="1" t="n">
        <v>45057</v>
      </c>
      <c r="C226" s="1" t="n">
        <v>45363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22201-2023</t>
        </is>
      </c>
      <c r="B227" s="1" t="n">
        <v>45069</v>
      </c>
      <c r="C227" s="1" t="n">
        <v>45363</v>
      </c>
      <c r="D227" t="inlineStr">
        <is>
          <t>ÖREBRO LÄN</t>
        </is>
      </c>
      <c r="E227" t="inlineStr">
        <is>
          <t>DEGERFORS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22653-2023</t>
        </is>
      </c>
      <c r="B228" s="1" t="n">
        <v>45071</v>
      </c>
      <c r="C228" s="1" t="n">
        <v>45363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22652-2023</t>
        </is>
      </c>
      <c r="B229" s="1" t="n">
        <v>45071</v>
      </c>
      <c r="C229" s="1" t="n">
        <v>45363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23082-2023</t>
        </is>
      </c>
      <c r="B230" s="1" t="n">
        <v>45075</v>
      </c>
      <c r="C230" s="1" t="n">
        <v>45363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23076-2023</t>
        </is>
      </c>
      <c r="B231" s="1" t="n">
        <v>45075</v>
      </c>
      <c r="C231" s="1" t="n">
        <v>45363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23081-2023</t>
        </is>
      </c>
      <c r="B232" s="1" t="n">
        <v>45075</v>
      </c>
      <c r="C232" s="1" t="n">
        <v>45363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25541-2023</t>
        </is>
      </c>
      <c r="B233" s="1" t="n">
        <v>45089</v>
      </c>
      <c r="C233" s="1" t="n">
        <v>45363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27088-2023</t>
        </is>
      </c>
      <c r="B234" s="1" t="n">
        <v>45096</v>
      </c>
      <c r="C234" s="1" t="n">
        <v>45363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27093-2023</t>
        </is>
      </c>
      <c r="B235" s="1" t="n">
        <v>45096</v>
      </c>
      <c r="C235" s="1" t="n">
        <v>45363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29108-2023</t>
        </is>
      </c>
      <c r="B236" s="1" t="n">
        <v>45105</v>
      </c>
      <c r="C236" s="1" t="n">
        <v>45363</v>
      </c>
      <c r="D236" t="inlineStr">
        <is>
          <t>ÖREBRO LÄN</t>
        </is>
      </c>
      <c r="E236" t="inlineStr">
        <is>
          <t>DEGERFORS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29482-2023</t>
        </is>
      </c>
      <c r="B237" s="1" t="n">
        <v>45106</v>
      </c>
      <c r="C237" s="1" t="n">
        <v>45363</v>
      </c>
      <c r="D237" t="inlineStr">
        <is>
          <t>ÖREBRO LÄN</t>
        </is>
      </c>
      <c r="E237" t="inlineStr">
        <is>
          <t>DEGERFORS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33293-2023</t>
        </is>
      </c>
      <c r="B238" s="1" t="n">
        <v>45116</v>
      </c>
      <c r="C238" s="1" t="n">
        <v>45363</v>
      </c>
      <c r="D238" t="inlineStr">
        <is>
          <t>ÖREBRO LÄN</t>
        </is>
      </c>
      <c r="E238" t="inlineStr">
        <is>
          <t>DEGERFORS</t>
        </is>
      </c>
      <c r="G238" t="n">
        <v>17.2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33297-2023</t>
        </is>
      </c>
      <c r="B239" s="1" t="n">
        <v>45116</v>
      </c>
      <c r="C239" s="1" t="n">
        <v>45363</v>
      </c>
      <c r="D239" t="inlineStr">
        <is>
          <t>ÖREBRO LÄN</t>
        </is>
      </c>
      <c r="E239" t="inlineStr">
        <is>
          <t>DEGERFORS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32154-2023</t>
        </is>
      </c>
      <c r="B240" s="1" t="n">
        <v>45119</v>
      </c>
      <c r="C240" s="1" t="n">
        <v>45363</v>
      </c>
      <c r="D240" t="inlineStr">
        <is>
          <t>ÖREBRO LÄN</t>
        </is>
      </c>
      <c r="E240" t="inlineStr">
        <is>
          <t>DEGERFORS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32885-2023</t>
        </is>
      </c>
      <c r="B241" s="1" t="n">
        <v>45124</v>
      </c>
      <c r="C241" s="1" t="n">
        <v>45363</v>
      </c>
      <c r="D241" t="inlineStr">
        <is>
          <t>ÖREBRO LÄN</t>
        </is>
      </c>
      <c r="E241" t="inlineStr">
        <is>
          <t>DEGERFORS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34301-2023</t>
        </is>
      </c>
      <c r="B242" s="1" t="n">
        <v>45138</v>
      </c>
      <c r="C242" s="1" t="n">
        <v>45363</v>
      </c>
      <c r="D242" t="inlineStr">
        <is>
          <t>ÖREBRO LÄN</t>
        </is>
      </c>
      <c r="E242" t="inlineStr">
        <is>
          <t>DEGERFORS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35907-2023</t>
        </is>
      </c>
      <c r="B243" s="1" t="n">
        <v>45148</v>
      </c>
      <c r="C243" s="1" t="n">
        <v>45363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37895-2023</t>
        </is>
      </c>
      <c r="B244" s="1" t="n">
        <v>45160</v>
      </c>
      <c r="C244" s="1" t="n">
        <v>45363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37896-2023</t>
        </is>
      </c>
      <c r="B245" s="1" t="n">
        <v>45160</v>
      </c>
      <c r="C245" s="1" t="n">
        <v>45363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38233-2023</t>
        </is>
      </c>
      <c r="B246" s="1" t="n">
        <v>45160</v>
      </c>
      <c r="C246" s="1" t="n">
        <v>45363</v>
      </c>
      <c r="D246" t="inlineStr">
        <is>
          <t>ÖREBRO LÄN</t>
        </is>
      </c>
      <c r="E246" t="inlineStr">
        <is>
          <t>DEGERFORS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38891-2023</t>
        </is>
      </c>
      <c r="B247" s="1" t="n">
        <v>45163</v>
      </c>
      <c r="C247" s="1" t="n">
        <v>45363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38903-2023</t>
        </is>
      </c>
      <c r="B248" s="1" t="n">
        <v>45163</v>
      </c>
      <c r="C248" s="1" t="n">
        <v>45363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38917-2023</t>
        </is>
      </c>
      <c r="B249" s="1" t="n">
        <v>45163</v>
      </c>
      <c r="C249" s="1" t="n">
        <v>45363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38887-2023</t>
        </is>
      </c>
      <c r="B250" s="1" t="n">
        <v>45163</v>
      </c>
      <c r="C250" s="1" t="n">
        <v>45363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38896-2023</t>
        </is>
      </c>
      <c r="B251" s="1" t="n">
        <v>45163</v>
      </c>
      <c r="C251" s="1" t="n">
        <v>45363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38904-2023</t>
        </is>
      </c>
      <c r="B252" s="1" t="n">
        <v>45163</v>
      </c>
      <c r="C252" s="1" t="n">
        <v>45363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38901-2023</t>
        </is>
      </c>
      <c r="B253" s="1" t="n">
        <v>45163</v>
      </c>
      <c r="C253" s="1" t="n">
        <v>45363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38914-2023</t>
        </is>
      </c>
      <c r="B254" s="1" t="n">
        <v>45163</v>
      </c>
      <c r="C254" s="1" t="n">
        <v>45363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38910-2023</t>
        </is>
      </c>
      <c r="B255" s="1" t="n">
        <v>45163</v>
      </c>
      <c r="C255" s="1" t="n">
        <v>45363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38915-2023</t>
        </is>
      </c>
      <c r="B256" s="1" t="n">
        <v>45163</v>
      </c>
      <c r="C256" s="1" t="n">
        <v>45363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38907-2023</t>
        </is>
      </c>
      <c r="B257" s="1" t="n">
        <v>45163</v>
      </c>
      <c r="C257" s="1" t="n">
        <v>45363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38912-2023</t>
        </is>
      </c>
      <c r="B258" s="1" t="n">
        <v>45163</v>
      </c>
      <c r="C258" s="1" t="n">
        <v>45363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38916-2023</t>
        </is>
      </c>
      <c r="B259" s="1" t="n">
        <v>45163</v>
      </c>
      <c r="C259" s="1" t="n">
        <v>45363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38921-2023</t>
        </is>
      </c>
      <c r="B260" s="1" t="n">
        <v>45163</v>
      </c>
      <c r="C260" s="1" t="n">
        <v>45363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39593-2023</t>
        </is>
      </c>
      <c r="B261" s="1" t="n">
        <v>45163</v>
      </c>
      <c r="C261" s="1" t="n">
        <v>45363</v>
      </c>
      <c r="D261" t="inlineStr">
        <is>
          <t>ÖREBRO LÄN</t>
        </is>
      </c>
      <c r="E261" t="inlineStr">
        <is>
          <t>DEGERFORS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39600-2023</t>
        </is>
      </c>
      <c r="B262" s="1" t="n">
        <v>45163</v>
      </c>
      <c r="C262" s="1" t="n">
        <v>45363</v>
      </c>
      <c r="D262" t="inlineStr">
        <is>
          <t>ÖREBRO LÄN</t>
        </is>
      </c>
      <c r="E262" t="inlineStr">
        <is>
          <t>DEGERFORS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40596-2023</t>
        </is>
      </c>
      <c r="B263" s="1" t="n">
        <v>45170</v>
      </c>
      <c r="C263" s="1" t="n">
        <v>45363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41286-2023</t>
        </is>
      </c>
      <c r="B264" s="1" t="n">
        <v>45174</v>
      </c>
      <c r="C264" s="1" t="n">
        <v>45363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41520-2023</t>
        </is>
      </c>
      <c r="B265" s="1" t="n">
        <v>45175</v>
      </c>
      <c r="C265" s="1" t="n">
        <v>45363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41519-2023</t>
        </is>
      </c>
      <c r="B266" s="1" t="n">
        <v>45175</v>
      </c>
      <c r="C266" s="1" t="n">
        <v>45363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41518-2023</t>
        </is>
      </c>
      <c r="B267" s="1" t="n">
        <v>45175</v>
      </c>
      <c r="C267" s="1" t="n">
        <v>45363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43587-2023</t>
        </is>
      </c>
      <c r="B268" s="1" t="n">
        <v>45181</v>
      </c>
      <c r="C268" s="1" t="n">
        <v>45363</v>
      </c>
      <c r="D268" t="inlineStr">
        <is>
          <t>ÖREBRO LÄN</t>
        </is>
      </c>
      <c r="E268" t="inlineStr">
        <is>
          <t>DEGERFORS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43331-2023</t>
        </is>
      </c>
      <c r="B269" s="1" t="n">
        <v>45183</v>
      </c>
      <c r="C269" s="1" t="n">
        <v>45363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43330-2023</t>
        </is>
      </c>
      <c r="B270" s="1" t="n">
        <v>45183</v>
      </c>
      <c r="C270" s="1" t="n">
        <v>45363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44807-2023</t>
        </is>
      </c>
      <c r="B271" s="1" t="n">
        <v>45190</v>
      </c>
      <c r="C271" s="1" t="n">
        <v>45363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44841-2023</t>
        </is>
      </c>
      <c r="B272" s="1" t="n">
        <v>45190</v>
      </c>
      <c r="C272" s="1" t="n">
        <v>45363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44858-2023</t>
        </is>
      </c>
      <c r="B273" s="1" t="n">
        <v>45190</v>
      </c>
      <c r="C273" s="1" t="n">
        <v>45363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14.6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44862-2023</t>
        </is>
      </c>
      <c r="B274" s="1" t="n">
        <v>45190</v>
      </c>
      <c r="C274" s="1" t="n">
        <v>45363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44806-2023</t>
        </is>
      </c>
      <c r="B275" s="1" t="n">
        <v>45190</v>
      </c>
      <c r="C275" s="1" t="n">
        <v>45363</v>
      </c>
      <c r="D275" t="inlineStr">
        <is>
          <t>ÖREBRO LÄN</t>
        </is>
      </c>
      <c r="E275" t="inlineStr">
        <is>
          <t>DEGERFORS</t>
        </is>
      </c>
      <c r="F275" t="inlineStr">
        <is>
          <t>Sveaskog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44840-2023</t>
        </is>
      </c>
      <c r="B276" s="1" t="n">
        <v>45190</v>
      </c>
      <c r="C276" s="1" t="n">
        <v>45363</v>
      </c>
      <c r="D276" t="inlineStr">
        <is>
          <t>ÖREBRO LÄN</t>
        </is>
      </c>
      <c r="E276" t="inlineStr">
        <is>
          <t>DEGERFORS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45365-2023</t>
        </is>
      </c>
      <c r="B277" s="1" t="n">
        <v>45192</v>
      </c>
      <c r="C277" s="1" t="n">
        <v>45363</v>
      </c>
      <c r="D277" t="inlineStr">
        <is>
          <t>ÖREBRO LÄN</t>
        </is>
      </c>
      <c r="E277" t="inlineStr">
        <is>
          <t>DEGERFORS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45861-2023</t>
        </is>
      </c>
      <c r="B278" s="1" t="n">
        <v>45195</v>
      </c>
      <c r="C278" s="1" t="n">
        <v>45363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48118-2023</t>
        </is>
      </c>
      <c r="B279" s="1" t="n">
        <v>45205</v>
      </c>
      <c r="C279" s="1" t="n">
        <v>45363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48232-2023</t>
        </is>
      </c>
      <c r="B280" s="1" t="n">
        <v>45205</v>
      </c>
      <c r="C280" s="1" t="n">
        <v>45363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48240-2023</t>
        </is>
      </c>
      <c r="B281" s="1" t="n">
        <v>45205</v>
      </c>
      <c r="C281" s="1" t="n">
        <v>45363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48234-2023</t>
        </is>
      </c>
      <c r="B282" s="1" t="n">
        <v>45205</v>
      </c>
      <c r="C282" s="1" t="n">
        <v>45363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48285-2023</t>
        </is>
      </c>
      <c r="B283" s="1" t="n">
        <v>45205</v>
      </c>
      <c r="C283" s="1" t="n">
        <v>45363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48112-2023</t>
        </is>
      </c>
      <c r="B284" s="1" t="n">
        <v>45205</v>
      </c>
      <c r="C284" s="1" t="n">
        <v>45363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48238-2023</t>
        </is>
      </c>
      <c r="B285" s="1" t="n">
        <v>45205</v>
      </c>
      <c r="C285" s="1" t="n">
        <v>45363</v>
      </c>
      <c r="D285" t="inlineStr">
        <is>
          <t>ÖREBRO LÄN</t>
        </is>
      </c>
      <c r="E285" t="inlineStr">
        <is>
          <t>DEGERFORS</t>
        </is>
      </c>
      <c r="F285" t="inlineStr">
        <is>
          <t>Sveaskog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48278-2023</t>
        </is>
      </c>
      <c r="B286" s="1" t="n">
        <v>45205</v>
      </c>
      <c r="C286" s="1" t="n">
        <v>45363</v>
      </c>
      <c r="D286" t="inlineStr">
        <is>
          <t>ÖREBRO LÄN</t>
        </is>
      </c>
      <c r="E286" t="inlineStr">
        <is>
          <t>DEGERFORS</t>
        </is>
      </c>
      <c r="F286" t="inlineStr">
        <is>
          <t>Sveaskog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48284-2023</t>
        </is>
      </c>
      <c r="B287" s="1" t="n">
        <v>45205</v>
      </c>
      <c r="C287" s="1" t="n">
        <v>45363</v>
      </c>
      <c r="D287" t="inlineStr">
        <is>
          <t>ÖREBRO LÄN</t>
        </is>
      </c>
      <c r="E287" t="inlineStr">
        <is>
          <t>DEGERFORS</t>
        </is>
      </c>
      <c r="F287" t="inlineStr">
        <is>
          <t>Sveaskog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48286-2023</t>
        </is>
      </c>
      <c r="B288" s="1" t="n">
        <v>45205</v>
      </c>
      <c r="C288" s="1" t="n">
        <v>45363</v>
      </c>
      <c r="D288" t="inlineStr">
        <is>
          <t>ÖREBRO LÄN</t>
        </is>
      </c>
      <c r="E288" t="inlineStr">
        <is>
          <t>DEGERFORS</t>
        </is>
      </c>
      <c r="F288" t="inlineStr">
        <is>
          <t>Sveaskog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50102-2023</t>
        </is>
      </c>
      <c r="B289" s="1" t="n">
        <v>45215</v>
      </c>
      <c r="C289" s="1" t="n">
        <v>45363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52566-2023</t>
        </is>
      </c>
      <c r="B290" s="1" t="n">
        <v>45219</v>
      </c>
      <c r="C290" s="1" t="n">
        <v>45363</v>
      </c>
      <c r="D290" t="inlineStr">
        <is>
          <t>ÖREBRO LÄN</t>
        </is>
      </c>
      <c r="E290" t="inlineStr">
        <is>
          <t>DEGERFORS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51635-2023</t>
        </is>
      </c>
      <c r="B291" s="1" t="n">
        <v>45222</v>
      </c>
      <c r="C291" s="1" t="n">
        <v>45363</v>
      </c>
      <c r="D291" t="inlineStr">
        <is>
          <t>ÖREBRO LÄN</t>
        </is>
      </c>
      <c r="E291" t="inlineStr">
        <is>
          <t>DEGERFORS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51632-2023</t>
        </is>
      </c>
      <c r="B292" s="1" t="n">
        <v>45222</v>
      </c>
      <c r="C292" s="1" t="n">
        <v>45363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51636-2023</t>
        </is>
      </c>
      <c r="B293" s="1" t="n">
        <v>45222</v>
      </c>
      <c r="C293" s="1" t="n">
        <v>45363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51652-2023</t>
        </is>
      </c>
      <c r="B294" s="1" t="n">
        <v>45222</v>
      </c>
      <c r="C294" s="1" t="n">
        <v>45363</v>
      </c>
      <c r="D294" t="inlineStr">
        <is>
          <t>ÖREBRO LÄN</t>
        </is>
      </c>
      <c r="E294" t="inlineStr">
        <is>
          <t>DEGERFORS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51634-2023</t>
        </is>
      </c>
      <c r="B295" s="1" t="n">
        <v>45222</v>
      </c>
      <c r="C295" s="1" t="n">
        <v>45363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51653-2023</t>
        </is>
      </c>
      <c r="B296" s="1" t="n">
        <v>45222</v>
      </c>
      <c r="C296" s="1" t="n">
        <v>45363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51992-2023</t>
        </is>
      </c>
      <c r="B297" s="1" t="n">
        <v>45223</v>
      </c>
      <c r="C297" s="1" t="n">
        <v>45363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51996-2023</t>
        </is>
      </c>
      <c r="B298" s="1" t="n">
        <v>45223</v>
      </c>
      <c r="C298" s="1" t="n">
        <v>45363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51991-2023</t>
        </is>
      </c>
      <c r="B299" s="1" t="n">
        <v>45223</v>
      </c>
      <c r="C299" s="1" t="n">
        <v>45363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51995-2023</t>
        </is>
      </c>
      <c r="B300" s="1" t="n">
        <v>45223</v>
      </c>
      <c r="C300" s="1" t="n">
        <v>45363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54517-2023</t>
        </is>
      </c>
      <c r="B301" s="1" t="n">
        <v>45233</v>
      </c>
      <c r="C301" s="1" t="n">
        <v>45363</v>
      </c>
      <c r="D301" t="inlineStr">
        <is>
          <t>ÖREBRO LÄN</t>
        </is>
      </c>
      <c r="E301" t="inlineStr">
        <is>
          <t>DEGERFORS</t>
        </is>
      </c>
      <c r="G301" t="n">
        <v>14.6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54515-2023</t>
        </is>
      </c>
      <c r="B302" s="1" t="n">
        <v>45233</v>
      </c>
      <c r="C302" s="1" t="n">
        <v>45363</v>
      </c>
      <c r="D302" t="inlineStr">
        <is>
          <t>ÖREBRO LÄN</t>
        </is>
      </c>
      <c r="E302" t="inlineStr">
        <is>
          <t>DEGERFORS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56566-2023</t>
        </is>
      </c>
      <c r="B303" s="1" t="n">
        <v>45238</v>
      </c>
      <c r="C303" s="1" t="n">
        <v>45363</v>
      </c>
      <c r="D303" t="inlineStr">
        <is>
          <t>ÖREBRO LÄN</t>
        </is>
      </c>
      <c r="E303" t="inlineStr">
        <is>
          <t>DEGERFORS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55595-2023</t>
        </is>
      </c>
      <c r="B304" s="1" t="n">
        <v>45238</v>
      </c>
      <c r="C304" s="1" t="n">
        <v>45363</v>
      </c>
      <c r="D304" t="inlineStr">
        <is>
          <t>ÖREBRO LÄN</t>
        </is>
      </c>
      <c r="E304" t="inlineStr">
        <is>
          <t>DEGERFORS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59131-2023</t>
        </is>
      </c>
      <c r="B305" s="1" t="n">
        <v>45253</v>
      </c>
      <c r="C305" s="1" t="n">
        <v>45363</v>
      </c>
      <c r="D305" t="inlineStr">
        <is>
          <t>ÖREBRO LÄN</t>
        </is>
      </c>
      <c r="E305" t="inlineStr">
        <is>
          <t>DEGERFORS</t>
        </is>
      </c>
      <c r="F305" t="inlineStr">
        <is>
          <t>Kommuner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60135-2023</t>
        </is>
      </c>
      <c r="B306" s="1" t="n">
        <v>45258</v>
      </c>
      <c r="C306" s="1" t="n">
        <v>45363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60146-2023</t>
        </is>
      </c>
      <c r="B307" s="1" t="n">
        <v>45258</v>
      </c>
      <c r="C307" s="1" t="n">
        <v>45363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60137-2023</t>
        </is>
      </c>
      <c r="B308" s="1" t="n">
        <v>45258</v>
      </c>
      <c r="C308" s="1" t="n">
        <v>45363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60145-2023</t>
        </is>
      </c>
      <c r="B309" s="1" t="n">
        <v>45258</v>
      </c>
      <c r="C309" s="1" t="n">
        <v>45363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60907-2023</t>
        </is>
      </c>
      <c r="B310" s="1" t="n">
        <v>45261</v>
      </c>
      <c r="C310" s="1" t="n">
        <v>45363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62211-2023</t>
        </is>
      </c>
      <c r="B311" s="1" t="n">
        <v>45267</v>
      </c>
      <c r="C311" s="1" t="n">
        <v>45363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62972-2023</t>
        </is>
      </c>
      <c r="B312" s="1" t="n">
        <v>45272</v>
      </c>
      <c r="C312" s="1" t="n">
        <v>45363</v>
      </c>
      <c r="D312" t="inlineStr">
        <is>
          <t>ÖREBRO LÄN</t>
        </is>
      </c>
      <c r="E312" t="inlineStr">
        <is>
          <t>DEGERFORS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62982-2023</t>
        </is>
      </c>
      <c r="B313" s="1" t="n">
        <v>45272</v>
      </c>
      <c r="C313" s="1" t="n">
        <v>45363</v>
      </c>
      <c r="D313" t="inlineStr">
        <is>
          <t>ÖREBRO LÄN</t>
        </is>
      </c>
      <c r="E313" t="inlineStr">
        <is>
          <t>DEGERFORS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63912-2023</t>
        </is>
      </c>
      <c r="B314" s="1" t="n">
        <v>45278</v>
      </c>
      <c r="C314" s="1" t="n">
        <v>45363</v>
      </c>
      <c r="D314" t="inlineStr">
        <is>
          <t>ÖREBRO LÄN</t>
        </is>
      </c>
      <c r="E314" t="inlineStr">
        <is>
          <t>DEGERFORS</t>
        </is>
      </c>
      <c r="F314" t="inlineStr">
        <is>
          <t>Kommuner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63914-2023</t>
        </is>
      </c>
      <c r="B315" s="1" t="n">
        <v>45278</v>
      </c>
      <c r="C315" s="1" t="n">
        <v>45363</v>
      </c>
      <c r="D315" t="inlineStr">
        <is>
          <t>ÖREBRO LÄN</t>
        </is>
      </c>
      <c r="E315" t="inlineStr">
        <is>
          <t>DEGERFORS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64076-2023</t>
        </is>
      </c>
      <c r="B316" s="1" t="n">
        <v>45279</v>
      </c>
      <c r="C316" s="1" t="n">
        <v>45363</v>
      </c>
      <c r="D316" t="inlineStr">
        <is>
          <t>ÖREBRO LÄN</t>
        </is>
      </c>
      <c r="E316" t="inlineStr">
        <is>
          <t>DEGERFORS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65110-2023</t>
        </is>
      </c>
      <c r="B317" s="1" t="n">
        <v>45287</v>
      </c>
      <c r="C317" s="1" t="n">
        <v>45363</v>
      </c>
      <c r="D317" t="inlineStr">
        <is>
          <t>ÖREBRO LÄN</t>
        </is>
      </c>
      <c r="E317" t="inlineStr">
        <is>
          <t>DEGERFORS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1302-2024</t>
        </is>
      </c>
      <c r="B318" s="1" t="n">
        <v>45303</v>
      </c>
      <c r="C318" s="1" t="n">
        <v>45363</v>
      </c>
      <c r="D318" t="inlineStr">
        <is>
          <t>ÖREBRO LÄN</t>
        </is>
      </c>
      <c r="E318" t="inlineStr">
        <is>
          <t>DEGERFORS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2873-2024</t>
        </is>
      </c>
      <c r="B319" s="1" t="n">
        <v>45315</v>
      </c>
      <c r="C319" s="1" t="n">
        <v>45363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4280-2024</t>
        </is>
      </c>
      <c r="B320" s="1" t="n">
        <v>45324</v>
      </c>
      <c r="C320" s="1" t="n">
        <v>45363</v>
      </c>
      <c r="D320" t="inlineStr">
        <is>
          <t>ÖREBRO LÄN</t>
        </is>
      </c>
      <c r="E320" t="inlineStr">
        <is>
          <t>DEGERFORS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5218-2024</t>
        </is>
      </c>
      <c r="B321" s="1" t="n">
        <v>45330</v>
      </c>
      <c r="C321" s="1" t="n">
        <v>45363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5276-2024</t>
        </is>
      </c>
      <c r="B322" s="1" t="n">
        <v>45330</v>
      </c>
      <c r="C322" s="1" t="n">
        <v>45363</v>
      </c>
      <c r="D322" t="inlineStr">
        <is>
          <t>ÖREBRO LÄN</t>
        </is>
      </c>
      <c r="E322" t="inlineStr">
        <is>
          <t>DEGERFORS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5277-2024</t>
        </is>
      </c>
      <c r="B323" s="1" t="n">
        <v>45330</v>
      </c>
      <c r="C323" s="1" t="n">
        <v>45363</v>
      </c>
      <c r="D323" t="inlineStr">
        <is>
          <t>ÖREBRO LÄN</t>
        </is>
      </c>
      <c r="E323" t="inlineStr">
        <is>
          <t>DEGERFORS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5219-2024</t>
        </is>
      </c>
      <c r="B324" s="1" t="n">
        <v>45330</v>
      </c>
      <c r="C324" s="1" t="n">
        <v>45363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6195-2024</t>
        </is>
      </c>
      <c r="B325" s="1" t="n">
        <v>45337</v>
      </c>
      <c r="C325" s="1" t="n">
        <v>45363</v>
      </c>
      <c r="D325" t="inlineStr">
        <is>
          <t>ÖREBRO LÄN</t>
        </is>
      </c>
      <c r="E325" t="inlineStr">
        <is>
          <t>DEGERFORS</t>
        </is>
      </c>
      <c r="F325" t="inlineStr">
        <is>
          <t>Sveaskog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6240-2024</t>
        </is>
      </c>
      <c r="B326" s="1" t="n">
        <v>45337</v>
      </c>
      <c r="C326" s="1" t="n">
        <v>45363</v>
      </c>
      <c r="D326" t="inlineStr">
        <is>
          <t>ÖREBRO LÄN</t>
        </is>
      </c>
      <c r="E326" t="inlineStr">
        <is>
          <t>DEGERFORS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6394-2024</t>
        </is>
      </c>
      <c r="B327" s="1" t="n">
        <v>45338</v>
      </c>
      <c r="C327" s="1" t="n">
        <v>45363</v>
      </c>
      <c r="D327" t="inlineStr">
        <is>
          <t>ÖREBRO LÄN</t>
        </is>
      </c>
      <c r="E327" t="inlineStr">
        <is>
          <t>DEGERFORS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6387-2024</t>
        </is>
      </c>
      <c r="B328" s="1" t="n">
        <v>45338</v>
      </c>
      <c r="C328" s="1" t="n">
        <v>45363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8062-2024</t>
        </is>
      </c>
      <c r="B329" s="1" t="n">
        <v>45351</v>
      </c>
      <c r="C329" s="1" t="n">
        <v>45363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8074-2024</t>
        </is>
      </c>
      <c r="B330" s="1" t="n">
        <v>45351</v>
      </c>
      <c r="C330" s="1" t="n">
        <v>45363</v>
      </c>
      <c r="D330" t="inlineStr">
        <is>
          <t>ÖREBRO LÄN</t>
        </is>
      </c>
      <c r="E330" t="inlineStr">
        <is>
          <t>DEGERFORS</t>
        </is>
      </c>
      <c r="F330" t="inlineStr">
        <is>
          <t>Sveaskog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8105-2024</t>
        </is>
      </c>
      <c r="B331" s="1" t="n">
        <v>45351</v>
      </c>
      <c r="C331" s="1" t="n">
        <v>45363</v>
      </c>
      <c r="D331" t="inlineStr">
        <is>
          <t>ÖREBRO LÄN</t>
        </is>
      </c>
      <c r="E331" t="inlineStr">
        <is>
          <t>DEGERFORS</t>
        </is>
      </c>
      <c r="F331" t="inlineStr">
        <is>
          <t>Sveaskog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8059-2024</t>
        </is>
      </c>
      <c r="B332" s="1" t="n">
        <v>45351</v>
      </c>
      <c r="C332" s="1" t="n">
        <v>45363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8063-2024</t>
        </is>
      </c>
      <c r="B333" s="1" t="n">
        <v>45351</v>
      </c>
      <c r="C333" s="1" t="n">
        <v>45363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8075-2024</t>
        </is>
      </c>
      <c r="B334" s="1" t="n">
        <v>45351</v>
      </c>
      <c r="C334" s="1" t="n">
        <v>45363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8106-2024</t>
        </is>
      </c>
      <c r="B335" s="1" t="n">
        <v>45351</v>
      </c>
      <c r="C335" s="1" t="n">
        <v>45363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8072-2024</t>
        </is>
      </c>
      <c r="B336" s="1" t="n">
        <v>45351</v>
      </c>
      <c r="C336" s="1" t="n">
        <v>45363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>
      <c r="A337" t="inlineStr">
        <is>
          <t>A 8104-2024</t>
        </is>
      </c>
      <c r="B337" s="1" t="n">
        <v>45351</v>
      </c>
      <c r="C337" s="1" t="n">
        <v>45363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2024-03-12T14:01:40Z</dcterms:created>
  <dcterms:modified xmlns:dcterms="http://purl.org/dc/terms/" xmlns:xsi="http://www.w3.org/2001/XMLSchema-instance" xsi:type="dcterms:W3CDTF">2024-03-12T14:01:40Z</dcterms:modified>
</cp:coreProperties>
</file>