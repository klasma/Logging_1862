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46236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46236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46236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46236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23008-2026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46161</v>
      </c>
      <c r="E6" s="1" t="n">
        <v>46236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2.4</v>
      </c>
      <c r="J6" t="n">
        <v>7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12</v>
      </c>
      <c r="U6" t="n">
        <v>11</v>
      </c>
      <c r="V6" s="2" t="inlineStr">
        <is>
          <t>Björktrast
Duvhök
Talltita
Vedskivlav
Brandticka
Nattskärra
Spillkråka
Tjäder
Tofsmes</t>
        </is>
      </c>
      <c r="W6">
        <f>HYPERLINK("https://klasma.github.io/Logging_1862/artfynd/A 23008-2026 artfynd.xlsx", "A 23008-2026")</f>
        <v/>
      </c>
      <c r="X6">
        <f>HYPERLINK("https://klasma.github.io/Logging_1862/kartor/A 23008-2026 karta.png", "A 23008-2026")</f>
        <v/>
      </c>
      <c r="Y6">
        <f>HYPERLINK("https://klasma.github.io/Logging_1862/kartor_geotiff/A 23008-2026 georefererad karta.tif", "A 23008-2026")</f>
        <v/>
      </c>
      <c r="AA6">
        <f>HYPERLINK("https://klasma.github.io/Logging_1862/klagomål/A 23008-2026 FSC-klagomål.docx", "A 23008-2026")</f>
        <v/>
      </c>
      <c r="AB6">
        <f>HYPERLINK("https://klasma.github.io/Logging_1862/klagomålsmail/A 23008-2026 FSC-klagomål mail.docx", "A 23008-2026")</f>
        <v/>
      </c>
      <c r="AC6">
        <f>HYPERLINK("https://klasma.github.io/Logging_1862/tillsyn/A 23008-2026 tillsynsbegäran.docx", "A 23008-2026")</f>
        <v/>
      </c>
      <c r="AD6">
        <f>HYPERLINK("https://klasma.github.io/Logging_1862/tillsynsmail/A 23008-2026 tillsynsbegäran mail.docx", "A 23008-2026")</f>
        <v/>
      </c>
      <c r="AE6">
        <f>HYPERLINK("https://klasma.github.io/Logging_1862/fåglar/A 23008-2026 prioriterade fågelarter.docx", "A 23008-2026")</f>
        <v/>
      </c>
    </row>
    <row r="7" ht="15" customHeight="1">
      <c r="A7" t="inlineStr">
        <is>
          <t>A 25541-2023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45089</v>
      </c>
      <c r="E7" s="1" t="n">
        <v>46236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1.8</v>
      </c>
      <c r="J7" t="n">
        <v>2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9</v>
      </c>
      <c r="U7" t="n">
        <v>9</v>
      </c>
      <c r="V7" s="2" t="inlineStr">
        <is>
          <t>Gräddticka
Gransotdyna
Tretåig hackspett
Ullticka
Vedflikmossa
Brandticka
Vedticka
Spillkråka</t>
        </is>
      </c>
      <c r="W7">
        <f>HYPERLINK("https://klasma.github.io/Logging_1862/artfynd/A 25541-2023 artfynd.xlsx", "A 25541-2023")</f>
        <v/>
      </c>
      <c r="X7">
        <f>HYPERLINK("https://klasma.github.io/Logging_1862/kartor/A 25541-2023 karta.png", "A 25541-2023")</f>
        <v/>
      </c>
      <c r="Y7">
        <f>HYPERLINK("https://klasma.github.io/Logging_1862/kartor_geotiff/A 25541-2023 georefererad karta.tif", "A 25541-2023")</f>
        <v/>
      </c>
      <c r="AA7">
        <f>HYPERLINK("https://klasma.github.io/Logging_1862/klagomål/A 25541-2023 FSC-klagomål.docx", "A 25541-2023")</f>
        <v/>
      </c>
      <c r="AB7">
        <f>HYPERLINK("https://klasma.github.io/Logging_1862/klagomålsmail/A 25541-2023 FSC-klagomål mail.docx", "A 25541-2023")</f>
        <v/>
      </c>
      <c r="AC7">
        <f>HYPERLINK("https://klasma.github.io/Logging_1862/tillsyn/A 25541-2023 tillsynsbegäran.docx", "A 25541-2023")</f>
        <v/>
      </c>
      <c r="AD7">
        <f>HYPERLINK("https://klasma.github.io/Logging_1862/tillsynsmail/A 25541-2023 tillsynsbegäran mail.docx", "A 25541-2023")</f>
        <v/>
      </c>
      <c r="AE7">
        <f>HYPERLINK("https://klasma.github.io/Logging_1862/fåglar/A 25541-2023 prioriterade fågelarter.docx", "A 25541-2023")</f>
        <v/>
      </c>
    </row>
    <row r="8" ht="15" customHeight="1">
      <c r="A8" t="inlineStr">
        <is>
          <t>A 41519-2023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46236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3.3</v>
      </c>
      <c r="J8" t="n">
        <v>6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19</v>
      </c>
      <c r="U8" t="n">
        <v>19</v>
      </c>
      <c r="V8" s="2" t="inlineStr">
        <is>
          <t>Tretåig hackspett
Grönpyrola
Thomsons trägnagare
Spillkråka
Tjäder
Gröngöling
Kungsfågel
Fläcknycklar</t>
        </is>
      </c>
      <c r="W8">
        <f>HYPERLINK("https://klasma.github.io/Logging_1862/artfynd/A 41519-2023 artfynd.xlsx", "A 41519-2023")</f>
        <v/>
      </c>
      <c r="X8">
        <f>HYPERLINK("https://klasma.github.io/Logging_1862/kartor/A 41519-2023 karta.png", "A 41519-2023")</f>
        <v/>
      </c>
      <c r="Y8">
        <f>HYPERLINK("https://klasma.github.io/Logging_1862/kartor_geotiff/A 41519-2023 georefererad karta.tif", "A 41519-2023")</f>
        <v/>
      </c>
      <c r="AA8">
        <f>HYPERLINK("https://klasma.github.io/Logging_1862/klagomål/A 41519-2023 FSC-klagomål.docx", "A 41519-2023")</f>
        <v/>
      </c>
      <c r="AB8">
        <f>HYPERLINK("https://klasma.github.io/Logging_1862/klagomålsmail/A 41519-2023 FSC-klagomål mail.docx", "A 41519-2023")</f>
        <v/>
      </c>
      <c r="AC8">
        <f>HYPERLINK("https://klasma.github.io/Logging_1862/tillsyn/A 41519-2023 tillsynsbegäran.docx", "A 41519-2023")</f>
        <v/>
      </c>
      <c r="AD8">
        <f>HYPERLINK("https://klasma.github.io/Logging_1862/tillsynsmail/A 41519-2023 tillsynsbegäran mail.docx", "A 41519-2023")</f>
        <v/>
      </c>
      <c r="AE8">
        <f>HYPERLINK("https://klasma.github.io/Logging_1862/fåglar/A 41519-2023 prioriterade fågelarter.docx", "A 41519-2023")</f>
        <v/>
      </c>
    </row>
    <row r="9" ht="15" customHeight="1">
      <c r="A9" t="inlineStr">
        <is>
          <t>A 22868-2026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46160</v>
      </c>
      <c r="E9" s="1" t="n">
        <v>46236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7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11</v>
      </c>
      <c r="U9" t="n">
        <v>11</v>
      </c>
      <c r="V9" s="2" t="inlineStr">
        <is>
          <t>Björktrast
Nordfladdermus
Talltita
Grönpyrola
Nattskärra
Spillkråka
Tjäder
Tofsmes</t>
        </is>
      </c>
      <c r="W9">
        <f>HYPERLINK("https://klasma.github.io/Logging_1862/artfynd/A 22868-2026 artfynd.xlsx", "A 22868-2026")</f>
        <v/>
      </c>
      <c r="X9">
        <f>HYPERLINK("https://klasma.github.io/Logging_1862/kartor/A 22868-2026 karta.png", "A 22868-2026")</f>
        <v/>
      </c>
      <c r="Y9">
        <f>HYPERLINK("https://klasma.github.io/Logging_1862/kartor_geotiff/A 22868-2026 georefererad karta.tif", "A 22868-2026")</f>
        <v/>
      </c>
      <c r="AA9">
        <f>HYPERLINK("https://klasma.github.io/Logging_1862/klagomål/A 22868-2026 FSC-klagomål.docx", "A 22868-2026")</f>
        <v/>
      </c>
      <c r="AB9">
        <f>HYPERLINK("https://klasma.github.io/Logging_1862/klagomålsmail/A 22868-2026 FSC-klagomål mail.docx", "A 22868-2026")</f>
        <v/>
      </c>
      <c r="AC9">
        <f>HYPERLINK("https://klasma.github.io/Logging_1862/tillsyn/A 22868-2026 tillsynsbegäran.docx", "A 22868-2026")</f>
        <v/>
      </c>
      <c r="AD9">
        <f>HYPERLINK("https://klasma.github.io/Logging_1862/tillsynsmail/A 22868-2026 tillsynsbegäran mail.docx", "A 22868-2026")</f>
        <v/>
      </c>
      <c r="AE9">
        <f>HYPERLINK("https://klasma.github.io/Logging_1862/fåglar/A 22868-2026 prioriterade fågelarter.docx", "A 22868-2026")</f>
        <v/>
      </c>
    </row>
    <row r="10" ht="15" customHeight="1">
      <c r="A10" t="inlineStr">
        <is>
          <t>A 12721-2024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46236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3.5</v>
      </c>
      <c r="J10" t="n">
        <v>4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Kolflarnlav
Tretåig hackspett
Vaddporing
Flagellkvastmossa
Spillkråka
Tjäder
Fläcknycklar</t>
        </is>
      </c>
      <c r="W10">
        <f>HYPERLINK("https://klasma.github.io/Logging_1862/artfynd/A 12721-2024 artfynd.xlsx", "A 12721-2024")</f>
        <v/>
      </c>
      <c r="X10">
        <f>HYPERLINK("https://klasma.github.io/Logging_1862/kartor/A 12721-2024 karta.png", "A 12721-2024")</f>
        <v/>
      </c>
      <c r="Y10">
        <f>HYPERLINK("https://klasma.github.io/Logging_1862/kartor_geotiff/A 12721-2024 georefererad karta.tif", "A 12721-2024")</f>
        <v/>
      </c>
      <c r="AA10">
        <f>HYPERLINK("https://klasma.github.io/Logging_1862/klagomål/A 12721-2024 FSC-klagomål.docx", "A 12721-2024")</f>
        <v/>
      </c>
      <c r="AB10">
        <f>HYPERLINK("https://klasma.github.io/Logging_1862/klagomålsmail/A 12721-2024 FSC-klagomål mail.docx", "A 12721-2024")</f>
        <v/>
      </c>
      <c r="AC10">
        <f>HYPERLINK("https://klasma.github.io/Logging_1862/tillsyn/A 12721-2024 tillsynsbegäran.docx", "A 12721-2024")</f>
        <v/>
      </c>
      <c r="AD10">
        <f>HYPERLINK("https://klasma.github.io/Logging_1862/tillsynsmail/A 12721-2024 tillsynsbegäran mail.docx", "A 12721-2024")</f>
        <v/>
      </c>
      <c r="AE10">
        <f>HYPERLINK("https://klasma.github.io/Logging_1862/fåglar/A 12721-2024 prioriterade fågelarter.docx", "A 12721-2024")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46236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4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21</v>
      </c>
      <c r="U11" t="n">
        <v>20</v>
      </c>
      <c r="V11" s="2" t="inlineStr">
        <is>
          <t>Jungfrulin
Motaggsvamp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27668-2026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46190</v>
      </c>
      <c r="E12" s="1" t="n">
        <v>46236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2.3</v>
      </c>
      <c r="J12" t="n">
        <v>6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24</v>
      </c>
      <c r="U12" t="n">
        <v>24</v>
      </c>
      <c r="V12" s="2" t="inlineStr">
        <is>
          <t>Tretåig hackspett
Grönpyrola
Mattlummer
Spillkråka
Tjäder
Vanlig snok
Revlummer</t>
        </is>
      </c>
      <c r="W12">
        <f>HYPERLINK("https://klasma.github.io/Logging_1862/artfynd/A 27668-2026 artfynd.xlsx", "A 27668-2026")</f>
        <v/>
      </c>
      <c r="X12">
        <f>HYPERLINK("https://klasma.github.io/Logging_1862/kartor/A 27668-2026 karta.png", "A 27668-2026")</f>
        <v/>
      </c>
      <c r="Y12">
        <f>HYPERLINK("https://klasma.github.io/Logging_1862/kartor_geotiff/A 27668-2026 georefererad karta.tif", "A 27668-2026")</f>
        <v/>
      </c>
      <c r="AA12">
        <f>HYPERLINK("https://klasma.github.io/Logging_1862/klagomål/A 27668-2026 FSC-klagomål.docx", "A 27668-2026")</f>
        <v/>
      </c>
      <c r="AB12">
        <f>HYPERLINK("https://klasma.github.io/Logging_1862/klagomålsmail/A 27668-2026 FSC-klagomål mail.docx", "A 27668-2026")</f>
        <v/>
      </c>
      <c r="AC12">
        <f>HYPERLINK("https://klasma.github.io/Logging_1862/tillsyn/A 27668-2026 tillsynsbegäran.docx", "A 27668-2026")</f>
        <v/>
      </c>
      <c r="AD12">
        <f>HYPERLINK("https://klasma.github.io/Logging_1862/tillsynsmail/A 27668-2026 tillsynsbegäran mail.docx", "A 27668-2026")</f>
        <v/>
      </c>
      <c r="AE12">
        <f>HYPERLINK("https://klasma.github.io/Logging_1862/fåglar/A 27668-2026 prioriterade fågelarter.docx", "A 27668-2026")</f>
        <v/>
      </c>
    </row>
    <row r="13" ht="15" customHeight="1">
      <c r="A13" t="inlineStr">
        <is>
          <t>A 29553-2026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46236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6.5</v>
      </c>
      <c r="J13" t="n">
        <v>2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6</v>
      </c>
      <c r="U13" t="n">
        <v>2</v>
      </c>
      <c r="V13" s="2" t="inlineStr">
        <is>
          <t>Garnlav
Skuggblåslav
Talltita
Ullticka
Vedskivlav
Tofsmes</t>
        </is>
      </c>
      <c r="W13">
        <f>HYPERLINK("https://klasma.github.io/Logging_1862/artfynd/A 29553-2026 artfynd.xlsx", "A 29553-2026")</f>
        <v/>
      </c>
      <c r="X13">
        <f>HYPERLINK("https://klasma.github.io/Logging_1862/kartor/A 29553-2026 karta.png", "A 29553-2026")</f>
        <v/>
      </c>
      <c r="Y13">
        <f>HYPERLINK("https://klasma.github.io/Logging_1862/kartor_geotiff/A 29553-2026 georefererad karta.tif", "A 29553-2026")</f>
        <v/>
      </c>
      <c r="AA13">
        <f>HYPERLINK("https://klasma.github.io/Logging_1862/klagomål/A 29553-2026 FSC-klagomål.docx", "A 29553-2026")</f>
        <v/>
      </c>
      <c r="AB13">
        <f>HYPERLINK("https://klasma.github.io/Logging_1862/klagomålsmail/A 29553-2026 FSC-klagomål mail.docx", "A 29553-2026")</f>
        <v/>
      </c>
      <c r="AC13">
        <f>HYPERLINK("https://klasma.github.io/Logging_1862/tillsyn/A 29553-2026 tillsynsbegäran.docx", "A 29553-2026")</f>
        <v/>
      </c>
      <c r="AD13">
        <f>HYPERLINK("https://klasma.github.io/Logging_1862/tillsynsmail/A 29553-2026 tillsynsbegäran mail.docx", "A 29553-2026")</f>
        <v/>
      </c>
      <c r="AE13">
        <f>HYPERLINK("https://klasma.github.io/Logging_1862/fåglar/A 29553-2026 prioriterade fågelarter.docx", "A 29553-2026")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46236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46236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27663-2026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46236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6.8</v>
      </c>
      <c r="J16" t="n">
        <v>5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15</v>
      </c>
      <c r="U16" t="n">
        <v>15</v>
      </c>
      <c r="V16" s="2" t="inlineStr">
        <is>
          <t>Tretåig hackspett
Thomsons trägnagare
Mattlummer
Spillkråka
Tjäder
Revlummer</t>
        </is>
      </c>
      <c r="W16">
        <f>HYPERLINK("https://klasma.github.io/Logging_1862/artfynd/A 27663-2026 artfynd.xlsx", "A 27663-2026")</f>
        <v/>
      </c>
      <c r="X16">
        <f>HYPERLINK("https://klasma.github.io/Logging_1862/kartor/A 27663-2026 karta.png", "A 27663-2026")</f>
        <v/>
      </c>
      <c r="Y16">
        <f>HYPERLINK("https://klasma.github.io/Logging_1862/kartor_geotiff/A 27663-2026 georefererad karta.tif", "A 27663-2026")</f>
        <v/>
      </c>
      <c r="AA16">
        <f>HYPERLINK("https://klasma.github.io/Logging_1862/klagomål/A 27663-2026 FSC-klagomål.docx", "A 27663-2026")</f>
        <v/>
      </c>
      <c r="AB16">
        <f>HYPERLINK("https://klasma.github.io/Logging_1862/klagomålsmail/A 27663-2026 FSC-klagomål mail.docx", "A 27663-2026")</f>
        <v/>
      </c>
      <c r="AC16">
        <f>HYPERLINK("https://klasma.github.io/Logging_1862/tillsyn/A 27663-2026 tillsynsbegäran.docx", "A 27663-2026")</f>
        <v/>
      </c>
      <c r="AD16">
        <f>HYPERLINK("https://klasma.github.io/Logging_1862/tillsynsmail/A 27663-2026 tillsynsbegäran mail.docx", "A 27663-2026")</f>
        <v/>
      </c>
      <c r="AE16">
        <f>HYPERLINK("https://klasma.github.io/Logging_1862/fåglar/A 27663-2026 prioriterade fågelarter.docx", "A 27663-2026")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46236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46236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46236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46236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46236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46236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46236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46236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46236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46236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46236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28976-2026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46236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2.3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Orange taggsvamp
Talltita</t>
        </is>
      </c>
      <c r="W28">
        <f>HYPERLINK("https://klasma.github.io/Logging_1862/artfynd/A 28976-2026 artfynd.xlsx", "A 28976-2026")</f>
        <v/>
      </c>
      <c r="X28">
        <f>HYPERLINK("https://klasma.github.io/Logging_1862/kartor/A 28976-2026 karta.png", "A 28976-2026")</f>
        <v/>
      </c>
      <c r="Y28">
        <f>HYPERLINK("https://klasma.github.io/Logging_1862/kartor_geotiff/A 28976-2026 georefererad karta.tif", "A 28976-2026")</f>
        <v/>
      </c>
      <c r="AA28">
        <f>HYPERLINK("https://klasma.github.io/Logging_1862/klagomål/A 28976-2026 FSC-klagomål.docx", "A 28976-2026")</f>
        <v/>
      </c>
      <c r="AB28">
        <f>HYPERLINK("https://klasma.github.io/Logging_1862/klagomålsmail/A 28976-2026 FSC-klagomål mail.docx", "A 28976-2026")</f>
        <v/>
      </c>
      <c r="AC28">
        <f>HYPERLINK("https://klasma.github.io/Logging_1862/tillsyn/A 28976-2026 tillsynsbegäran.docx", "A 28976-2026")</f>
        <v/>
      </c>
      <c r="AD28">
        <f>HYPERLINK("https://klasma.github.io/Logging_1862/tillsynsmail/A 28976-2026 tillsynsbegäran mail.docx", "A 28976-2026")</f>
        <v/>
      </c>
      <c r="AE28">
        <f>HYPERLINK("https://klasma.github.io/Logging_1862/fåglar/A 28976-2026 prioriterade fågelarter.docx", "A 28976-2026")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46236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46236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46236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46236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38914-2023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45163</v>
      </c>
      <c r="E33" s="1" t="n">
        <v>46236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Tretåig hackspett
Tjäder</t>
        </is>
      </c>
      <c r="W33">
        <f>HYPERLINK("https://klasma.github.io/Logging_1862/artfynd/A 38914-2023 artfynd.xlsx", "A 38914-2023")</f>
        <v/>
      </c>
      <c r="X33">
        <f>HYPERLINK("https://klasma.github.io/Logging_1862/kartor/A 38914-2023 karta.png", "A 38914-2023")</f>
        <v/>
      </c>
      <c r="Y33">
        <f>HYPERLINK("https://klasma.github.io/Logging_1862/kartor_geotiff/A 38914-2023 georefererad karta.tif", "A 38914-2023")</f>
        <v/>
      </c>
      <c r="AA33">
        <f>HYPERLINK("https://klasma.github.io/Logging_1862/klagomål/A 38914-2023 FSC-klagomål.docx", "A 38914-2023")</f>
        <v/>
      </c>
      <c r="AB33">
        <f>HYPERLINK("https://klasma.github.io/Logging_1862/klagomålsmail/A 38914-2023 FSC-klagomål mail.docx", "A 38914-2023")</f>
        <v/>
      </c>
      <c r="AC33">
        <f>HYPERLINK("https://klasma.github.io/Logging_1862/tillsyn/A 38914-2023 tillsynsbegäran.docx", "A 38914-2023")</f>
        <v/>
      </c>
      <c r="AD33">
        <f>HYPERLINK("https://klasma.github.io/Logging_1862/tillsynsmail/A 38914-2023 tillsynsbegäran mail.docx", "A 38914-2023")</f>
        <v/>
      </c>
      <c r="AE33">
        <f>HYPERLINK("https://klasma.github.io/Logging_1862/fåglar/A 38914-2023 prioriterade fågelarter.docx", "A 38914-2023")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46236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46236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46236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47915-2024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45589</v>
      </c>
      <c r="E37" s="1" t="n">
        <v>46236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HYPERLINK("https://klasma.github.io/Logging_1862/artfynd/A 47915-2024 artfynd.xlsx", "A 47915-2024")</f>
        <v/>
      </c>
      <c r="X37">
        <f>HYPERLINK("https://klasma.github.io/Logging_1862/kartor/A 47915-2024 karta.png", "A 47915-2024")</f>
        <v/>
      </c>
      <c r="Y37">
        <f>HYPERLINK("https://klasma.github.io/Logging_1862/kartor_geotiff/A 47915-2024 georefererad karta.tif", "A 47915-2024")</f>
        <v/>
      </c>
      <c r="AA37">
        <f>HYPERLINK("https://klasma.github.io/Logging_1862/klagomål/A 47915-2024 FSC-klagomål.docx", "A 47915-2024")</f>
        <v/>
      </c>
      <c r="AB37">
        <f>HYPERLINK("https://klasma.github.io/Logging_1862/klagomålsmail/A 47915-2024 FSC-klagomål mail.docx", "A 47915-2024")</f>
        <v/>
      </c>
      <c r="AC37">
        <f>HYPERLINK("https://klasma.github.io/Logging_1862/tillsyn/A 47915-2024 tillsynsbegäran.docx", "A 47915-2024")</f>
        <v/>
      </c>
      <c r="AD37">
        <f>HYPERLINK("https://klasma.github.io/Logging_1862/tillsynsmail/A 47915-2024 tillsynsbegäran mail.docx", "A 47915-2024")</f>
        <v/>
      </c>
    </row>
    <row r="38" ht="15" customHeight="1">
      <c r="A38" t="inlineStr">
        <is>
          <t>A 49306-2025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45938</v>
      </c>
      <c r="E38" s="1" t="n">
        <v>46236</v>
      </c>
      <c r="F38" t="inlineStr">
        <is>
          <t>ÖREBRO LÄN</t>
        </is>
      </c>
      <c r="G38" t="inlineStr">
        <is>
          <t>DEGERFORS</t>
        </is>
      </c>
      <c r="I38" t="n">
        <v>5.8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HYPERLINK("https://klasma.github.io/Logging_1862/artfynd/A 49306-2025 artfynd.xlsx", "A 49306-2025")</f>
        <v/>
      </c>
      <c r="X38">
        <f>HYPERLINK("https://klasma.github.io/Logging_1862/kartor/A 49306-2025 karta.png", "A 49306-2025")</f>
        <v/>
      </c>
      <c r="Y38">
        <f>HYPERLINK("https://klasma.github.io/Logging_1862/kartor_geotiff/A 49306-2025 georefererad karta.tif", "A 49306-2025")</f>
        <v/>
      </c>
      <c r="AA38">
        <f>HYPERLINK("https://klasma.github.io/Logging_1862/klagomål/A 49306-2025 FSC-klagomål.docx", "A 49306-2025")</f>
        <v/>
      </c>
      <c r="AB38">
        <f>HYPERLINK("https://klasma.github.io/Logging_1862/klagomålsmail/A 49306-2025 FSC-klagomål mail.docx", "A 49306-2025")</f>
        <v/>
      </c>
      <c r="AC38">
        <f>HYPERLINK("https://klasma.github.io/Logging_1862/tillsyn/A 49306-2025 tillsynsbegäran.docx", "A 49306-2025")</f>
        <v/>
      </c>
      <c r="AD38">
        <f>HYPERLINK("https://klasma.github.io/Logging_1862/tillsynsmail/A 49306-2025 tillsynsbegäran mail.docx", "A 49306-2025")</f>
        <v/>
      </c>
    </row>
    <row r="39" ht="15" customHeight="1">
      <c r="A39" t="inlineStr">
        <is>
          <t>A 38904-2023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46236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38904-2023 artfynd.xlsx", "A 38904-2023")</f>
        <v/>
      </c>
      <c r="X39">
        <f>HYPERLINK("https://klasma.github.io/Logging_1862/kartor/A 38904-2023 karta.png", "A 38904-2023")</f>
        <v/>
      </c>
      <c r="Y39">
        <f>HYPERLINK("https://klasma.github.io/Logging_1862/kartor_geotiff/A 38904-2023 georefererad karta.tif", "A 38904-2023")</f>
        <v/>
      </c>
      <c r="AA39">
        <f>HYPERLINK("https://klasma.github.io/Logging_1862/klagomål/A 38904-2023 FSC-klagomål.docx", "A 38904-2023")</f>
        <v/>
      </c>
      <c r="AB39">
        <f>HYPERLINK("https://klasma.github.io/Logging_1862/klagomålsmail/A 38904-2023 FSC-klagomål mail.docx", "A 38904-2023")</f>
        <v/>
      </c>
      <c r="AC39">
        <f>HYPERLINK("https://klasma.github.io/Logging_1862/tillsyn/A 38904-2023 tillsynsbegäran.docx", "A 38904-2023")</f>
        <v/>
      </c>
      <c r="AD39">
        <f>HYPERLINK("https://klasma.github.io/Logging_1862/tillsynsmail/A 38904-2023 tillsynsbegäran mail.docx", "A 38904-2023")</f>
        <v/>
      </c>
      <c r="AE39">
        <f>HYPERLINK("https://klasma.github.io/Logging_1862/fåglar/A 38904-2023 prioriterade fågelarter.docx", "A 38904-2023")</f>
        <v/>
      </c>
    </row>
    <row r="40" ht="15" customHeight="1">
      <c r="A40" t="inlineStr">
        <is>
          <t>A 48285-2023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45205</v>
      </c>
      <c r="E40" s="1" t="n">
        <v>46236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48285-2023 artfynd.xlsx", "A 48285-2023")</f>
        <v/>
      </c>
      <c r="X40">
        <f>HYPERLINK("https://klasma.github.io/Logging_1862/kartor/A 48285-2023 karta.png", "A 48285-2023")</f>
        <v/>
      </c>
      <c r="Y40">
        <f>HYPERLINK("https://klasma.github.io/Logging_1862/kartor_geotiff/A 48285-2023 georefererad karta.tif", "A 48285-2023")</f>
        <v/>
      </c>
      <c r="AA40">
        <f>HYPERLINK("https://klasma.github.io/Logging_1862/klagomål/A 48285-2023 FSC-klagomål.docx", "A 48285-2023")</f>
        <v/>
      </c>
      <c r="AB40">
        <f>HYPERLINK("https://klasma.github.io/Logging_1862/klagomålsmail/A 48285-2023 FSC-klagomål mail.docx", "A 48285-2023")</f>
        <v/>
      </c>
      <c r="AC40">
        <f>HYPERLINK("https://klasma.github.io/Logging_1862/tillsyn/A 48285-2023 tillsynsbegäran.docx", "A 48285-2023")</f>
        <v/>
      </c>
      <c r="AD40">
        <f>HYPERLINK("https://klasma.github.io/Logging_1862/tillsynsmail/A 48285-2023 tillsynsbegäran mail.docx", "A 48285-2023")</f>
        <v/>
      </c>
      <c r="AE40">
        <f>HYPERLINK("https://klasma.github.io/Logging_1862/fåglar/A 48285-2023 prioriterade fågelarter.docx", "A 48285-2023")</f>
        <v/>
      </c>
    </row>
    <row r="41" ht="15" customHeight="1">
      <c r="A41" t="inlineStr">
        <is>
          <t>A 47787-2025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45931</v>
      </c>
      <c r="E41" s="1" t="n">
        <v>46236</v>
      </c>
      <c r="F41" t="inlineStr">
        <is>
          <t>ÖREBRO LÄN</t>
        </is>
      </c>
      <c r="G41" t="inlineStr">
        <is>
          <t>DEGERFORS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Tretåig hackspett</t>
        </is>
      </c>
      <c r="W41">
        <f>HYPERLINK("https://klasma.github.io/Logging_1862/artfynd/A 47787-2025 artfynd.xlsx", "A 47787-2025")</f>
        <v/>
      </c>
      <c r="X41">
        <f>HYPERLINK("https://klasma.github.io/Logging_1862/kartor/A 47787-2025 karta.png", "A 47787-2025")</f>
        <v/>
      </c>
      <c r="Y41">
        <f>HYPERLINK("https://klasma.github.io/Logging_1862/kartor_geotiff/A 47787-2025 georefererad karta.tif", "A 47787-2025")</f>
        <v/>
      </c>
      <c r="AA41">
        <f>HYPERLINK("https://klasma.github.io/Logging_1862/klagomål/A 47787-2025 FSC-klagomål.docx", "A 47787-2025")</f>
        <v/>
      </c>
      <c r="AB41">
        <f>HYPERLINK("https://klasma.github.io/Logging_1862/klagomålsmail/A 47787-2025 FSC-klagomål mail.docx", "A 47787-2025")</f>
        <v/>
      </c>
      <c r="AC41">
        <f>HYPERLINK("https://klasma.github.io/Logging_1862/tillsyn/A 47787-2025 tillsynsbegäran.docx", "A 47787-2025")</f>
        <v/>
      </c>
      <c r="AD41">
        <f>HYPERLINK("https://klasma.github.io/Logging_1862/tillsynsmail/A 47787-2025 tillsynsbegäran mail.docx", "A 47787-2025")</f>
        <v/>
      </c>
      <c r="AE41">
        <f>HYPERLINK("https://klasma.github.io/Logging_1862/fåglar/A 47787-2025 prioriterade fågelarter.docx", "A 47787-2025")</f>
        <v/>
      </c>
    </row>
    <row r="42" ht="15" customHeight="1">
      <c r="A42" t="inlineStr">
        <is>
          <t>A 14121-2022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44651</v>
      </c>
      <c r="E42" s="1" t="n">
        <v>46236</v>
      </c>
      <c r="F42" t="inlineStr">
        <is>
          <t>ÖREBRO LÄN</t>
        </is>
      </c>
      <c r="G42" t="inlineStr">
        <is>
          <t>DEGERFORS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Hårklomossa</t>
        </is>
      </c>
      <c r="W42">
        <f>HYPERLINK("https://klasma.github.io/Logging_1862/artfynd/A 14121-2022 artfynd.xlsx", "A 14121-2022")</f>
        <v/>
      </c>
      <c r="X42">
        <f>HYPERLINK("https://klasma.github.io/Logging_1862/kartor/A 14121-2022 karta.png", "A 14121-2022")</f>
        <v/>
      </c>
      <c r="Y42">
        <f>HYPERLINK("https://klasma.github.io/Logging_1862/kartor_geotiff/A 14121-2022 georefererad karta.tif", "A 14121-2022")</f>
        <v/>
      </c>
      <c r="AA42">
        <f>HYPERLINK("https://klasma.github.io/Logging_1862/klagomål/A 14121-2022 FSC-klagomål.docx", "A 14121-2022")</f>
        <v/>
      </c>
      <c r="AB42">
        <f>HYPERLINK("https://klasma.github.io/Logging_1862/klagomålsmail/A 14121-2022 FSC-klagomål mail.docx", "A 14121-2022")</f>
        <v/>
      </c>
      <c r="AC42">
        <f>HYPERLINK("https://klasma.github.io/Logging_1862/tillsyn/A 14121-2022 tillsynsbegäran.docx", "A 14121-2022")</f>
        <v/>
      </c>
      <c r="AD42">
        <f>HYPERLINK("https://klasma.github.io/Logging_1862/tillsynsmail/A 14121-2022 tillsynsbegäran mail.docx", "A 14121-2022")</f>
        <v/>
      </c>
    </row>
    <row r="43" ht="15" customHeight="1">
      <c r="A43" t="inlineStr">
        <is>
          <t>A 27093-2023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45096</v>
      </c>
      <c r="E43" s="1" t="n">
        <v>46236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5.9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27093-2023 artfynd.xlsx", "A 27093-2023")</f>
        <v/>
      </c>
      <c r="X43">
        <f>HYPERLINK("https://klasma.github.io/Logging_1862/kartor/A 27093-2023 karta.png", "A 27093-2023")</f>
        <v/>
      </c>
      <c r="Y43">
        <f>HYPERLINK("https://klasma.github.io/Logging_1862/kartor_geotiff/A 27093-2023 georefererad karta.tif", "A 27093-2023")</f>
        <v/>
      </c>
      <c r="AA43">
        <f>HYPERLINK("https://klasma.github.io/Logging_1862/klagomål/A 27093-2023 FSC-klagomål.docx", "A 27093-2023")</f>
        <v/>
      </c>
      <c r="AB43">
        <f>HYPERLINK("https://klasma.github.io/Logging_1862/klagomålsmail/A 27093-2023 FSC-klagomål mail.docx", "A 27093-2023")</f>
        <v/>
      </c>
      <c r="AC43">
        <f>HYPERLINK("https://klasma.github.io/Logging_1862/tillsyn/A 27093-2023 tillsynsbegäran.docx", "A 27093-2023")</f>
        <v/>
      </c>
      <c r="AD43">
        <f>HYPERLINK("https://klasma.github.io/Logging_1862/tillsynsmail/A 27093-2023 tillsynsbegäran mail.docx", "A 27093-2023")</f>
        <v/>
      </c>
      <c r="AE43">
        <f>HYPERLINK("https://klasma.github.io/Logging_1862/fåglar/A 27093-2023 prioriterade fågelarter.docx", "A 27093-2023")</f>
        <v/>
      </c>
    </row>
    <row r="44" ht="15" customHeight="1">
      <c r="A44" t="inlineStr">
        <is>
          <t>A 38907-2023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45163</v>
      </c>
      <c r="E44" s="1" t="n">
        <v>46236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38907-2023 artfynd.xlsx", "A 38907-2023")</f>
        <v/>
      </c>
      <c r="X44">
        <f>HYPERLINK("https://klasma.github.io/Logging_1862/kartor/A 38907-2023 karta.png", "A 38907-2023")</f>
        <v/>
      </c>
      <c r="Y44">
        <f>HYPERLINK("https://klasma.github.io/Logging_1862/kartor_geotiff/A 38907-2023 georefererad karta.tif", "A 38907-2023")</f>
        <v/>
      </c>
      <c r="AA44">
        <f>HYPERLINK("https://klasma.github.io/Logging_1862/klagomål/A 38907-2023 FSC-klagomål.docx", "A 38907-2023")</f>
        <v/>
      </c>
      <c r="AB44">
        <f>HYPERLINK("https://klasma.github.io/Logging_1862/klagomålsmail/A 38907-2023 FSC-klagomål mail.docx", "A 38907-2023")</f>
        <v/>
      </c>
      <c r="AC44">
        <f>HYPERLINK("https://klasma.github.io/Logging_1862/tillsyn/A 38907-2023 tillsynsbegäran.docx", "A 38907-2023")</f>
        <v/>
      </c>
      <c r="AD44">
        <f>HYPERLINK("https://klasma.github.io/Logging_1862/tillsynsmail/A 38907-2023 tillsynsbegäran mail.docx", "A 38907-2023")</f>
        <v/>
      </c>
      <c r="AE44">
        <f>HYPERLINK("https://klasma.github.io/Logging_1862/fåglar/A 38907-2023 prioriterade fågelarter.docx", "A 38907-2023")</f>
        <v/>
      </c>
    </row>
    <row r="45" ht="15" customHeight="1">
      <c r="A45" t="inlineStr">
        <is>
          <t>A 47941-2024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46236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Brunfläckig pärlemorfjäril</t>
        </is>
      </c>
      <c r="W45">
        <f>HYPERLINK("https://klasma.github.io/Logging_1862/artfynd/A 47941-2024 artfynd.xlsx", "A 47941-2024")</f>
        <v/>
      </c>
      <c r="X45">
        <f>HYPERLINK("https://klasma.github.io/Logging_1862/kartor/A 47941-2024 karta.png", "A 47941-2024")</f>
        <v/>
      </c>
      <c r="Y45">
        <f>HYPERLINK("https://klasma.github.io/Logging_1862/kartor_geotiff/A 47941-2024 georefererad karta.tif", "A 47941-2024")</f>
        <v/>
      </c>
      <c r="AA45">
        <f>HYPERLINK("https://klasma.github.io/Logging_1862/klagomål/A 47941-2024 FSC-klagomål.docx", "A 47941-2024")</f>
        <v/>
      </c>
      <c r="AB45">
        <f>HYPERLINK("https://klasma.github.io/Logging_1862/klagomålsmail/A 47941-2024 FSC-klagomål mail.docx", "A 47941-2024")</f>
        <v/>
      </c>
      <c r="AC45">
        <f>HYPERLINK("https://klasma.github.io/Logging_1862/tillsyn/A 47941-2024 tillsynsbegäran.docx", "A 47941-2024")</f>
        <v/>
      </c>
      <c r="AD45">
        <f>HYPERLINK("https://klasma.github.io/Logging_1862/tillsynsmail/A 47941-2024 tillsynsbegäran mail.docx", "A 47941-2024")</f>
        <v/>
      </c>
    </row>
    <row r="46" ht="15" customHeight="1">
      <c r="A46" t="inlineStr">
        <is>
          <t>A 27071-2026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46236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9.9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HYPERLINK("https://klasma.github.io/Logging_1862/artfynd/A 27071-2026 artfynd.xlsx", "A 27071-2026")</f>
        <v/>
      </c>
      <c r="X46">
        <f>HYPERLINK("https://klasma.github.io/Logging_1862/kartor/A 27071-2026 karta.png", "A 27071-2026")</f>
        <v/>
      </c>
      <c r="Y46">
        <f>HYPERLINK("https://klasma.github.io/Logging_1862/kartor_geotiff/A 27071-2026 georefererad karta.tif", "A 27071-2026")</f>
        <v/>
      </c>
      <c r="AA46">
        <f>HYPERLINK("https://klasma.github.io/Logging_1862/klagomål/A 27071-2026 FSC-klagomål.docx", "A 27071-2026")</f>
        <v/>
      </c>
      <c r="AB46">
        <f>HYPERLINK("https://klasma.github.io/Logging_1862/klagomålsmail/A 27071-2026 FSC-klagomål mail.docx", "A 27071-2026")</f>
        <v/>
      </c>
      <c r="AC46">
        <f>HYPERLINK("https://klasma.github.io/Logging_1862/tillsyn/A 27071-2026 tillsynsbegäran.docx", "A 27071-2026")</f>
        <v/>
      </c>
      <c r="AD46">
        <f>HYPERLINK("https://klasma.github.io/Logging_1862/tillsynsmail/A 27071-2026 tillsynsbegäran mail.docx", "A 27071-2026")</f>
        <v/>
      </c>
    </row>
    <row r="47" ht="15" customHeight="1">
      <c r="A47" t="inlineStr">
        <is>
          <t>A 26971-2026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46236</v>
      </c>
      <c r="F47" t="inlineStr">
        <is>
          <t>ÖREBRO LÄN</t>
        </is>
      </c>
      <c r="G47" t="inlineStr">
        <is>
          <t>DEGERFORS</t>
        </is>
      </c>
      <c r="I47" t="n">
        <v>2.1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HYPERLINK("https://klasma.github.io/Logging_1862/artfynd/A 26971-2026 artfynd.xlsx", "A 26971-2026")</f>
        <v/>
      </c>
      <c r="X47">
        <f>HYPERLINK("https://klasma.github.io/Logging_1862/kartor/A 26971-2026 karta.png", "A 26971-2026")</f>
        <v/>
      </c>
      <c r="Y47">
        <f>HYPERLINK("https://klasma.github.io/Logging_1862/kartor_geotiff/A 26971-2026 georefererad karta.tif", "A 26971-2026")</f>
        <v/>
      </c>
      <c r="AA47">
        <f>HYPERLINK("https://klasma.github.io/Logging_1862/klagomål/A 26971-2026 FSC-klagomål.docx", "A 26971-2026")</f>
        <v/>
      </c>
      <c r="AB47">
        <f>HYPERLINK("https://klasma.github.io/Logging_1862/klagomålsmail/A 26971-2026 FSC-klagomål mail.docx", "A 26971-2026")</f>
        <v/>
      </c>
      <c r="AC47">
        <f>HYPERLINK("https://klasma.github.io/Logging_1862/tillsyn/A 26971-2026 tillsynsbegäran.docx", "A 26971-2026")</f>
        <v/>
      </c>
      <c r="AD47">
        <f>HYPERLINK("https://klasma.github.io/Logging_1862/tillsynsmail/A 26971-2026 tillsynsbegäran mail.docx", "A 26971-2026")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46236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27072-2026 artfynd.xlsx", "A 27072-2026")</f>
        <v/>
      </c>
      <c r="X48">
        <f>HYPERLINK("https://klasma.github.io/Logging_1862/kartor/A 27072-2026 karta.png", "A 27072-2026")</f>
        <v/>
      </c>
      <c r="Y48">
        <f>HYPERLINK("https://klasma.github.io/Logging_1862/kartor_geotiff/A 27072-2026 georefererad karta.tif", "A 27072-2026")</f>
        <v/>
      </c>
      <c r="AA48">
        <f>HYPERLINK("https://klasma.github.io/Logging_1862/klagomål/A 27072-2026 FSC-klagomål.docx", "A 27072-2026")</f>
        <v/>
      </c>
      <c r="AB48">
        <f>HYPERLINK("https://klasma.github.io/Logging_1862/klagomålsmail/A 27072-2026 FSC-klagomål mail.docx", "A 27072-2026")</f>
        <v/>
      </c>
      <c r="AC48">
        <f>HYPERLINK("https://klasma.github.io/Logging_1862/tillsyn/A 27072-2026 tillsynsbegäran.docx", "A 27072-2026")</f>
        <v/>
      </c>
      <c r="AD48">
        <f>HYPERLINK("https://klasma.github.io/Logging_1862/tillsynsmail/A 27072-2026 tillsynsbegäran mail.docx", "A 27072-2026")</f>
        <v/>
      </c>
      <c r="AE48">
        <f>HYPERLINK("https://klasma.github.io/Logging_1862/fåglar/A 27072-2026 prioriterade fågelarter.docx", "A 27072-2026")</f>
        <v/>
      </c>
    </row>
    <row r="49" ht="15" customHeight="1">
      <c r="A49" t="inlineStr">
        <is>
          <t>A 14177-2026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46099</v>
      </c>
      <c r="E49" s="1" t="n">
        <v>46236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2.2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HYPERLINK("https://klasma.github.io/Logging_1862/artfynd/A 14177-2026 artfynd.xlsx", "A 14177-2026")</f>
        <v/>
      </c>
      <c r="X49">
        <f>HYPERLINK("https://klasma.github.io/Logging_1862/kartor/A 14177-2026 karta.png", "A 14177-2026")</f>
        <v/>
      </c>
      <c r="Y49">
        <f>HYPERLINK("https://klasma.github.io/Logging_1862/kartor_geotiff/A 14177-2026 georefererad karta.tif", "A 14177-2026")</f>
        <v/>
      </c>
      <c r="AA49">
        <f>HYPERLINK("https://klasma.github.io/Logging_1862/klagomål/A 14177-2026 FSC-klagomål.docx", "A 14177-2026")</f>
        <v/>
      </c>
      <c r="AB49">
        <f>HYPERLINK("https://klasma.github.io/Logging_1862/klagomålsmail/A 14177-2026 FSC-klagomål mail.docx", "A 14177-2026")</f>
        <v/>
      </c>
      <c r="AC49">
        <f>HYPERLINK("https://klasma.github.io/Logging_1862/tillsyn/A 14177-2026 tillsynsbegäran.docx", "A 14177-2026")</f>
        <v/>
      </c>
      <c r="AD49">
        <f>HYPERLINK("https://klasma.github.io/Logging_1862/tillsynsmail/A 14177-2026 tillsynsbegäran mail.docx", "A 14177-2026")</f>
        <v/>
      </c>
    </row>
    <row r="50" ht="15" customHeight="1">
      <c r="A50" t="inlineStr">
        <is>
          <t>A 33297-2023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45116</v>
      </c>
      <c r="E50" s="1" t="n">
        <v>46236</v>
      </c>
      <c r="F50" t="inlineStr">
        <is>
          <t>ÖREBRO LÄN</t>
        </is>
      </c>
      <c r="G50" t="inlineStr">
        <is>
          <t>DEGERFORS</t>
        </is>
      </c>
      <c r="I50" t="n">
        <v>7.2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HYPERLINK("https://klasma.github.io/Logging_1862/artfynd/A 33297-2023 artfynd.xlsx", "A 33297-2023")</f>
        <v/>
      </c>
      <c r="X50">
        <f>HYPERLINK("https://klasma.github.io/Logging_1862/kartor/A 33297-2023 karta.png", "A 33297-2023")</f>
        <v/>
      </c>
      <c r="Y50">
        <f>HYPERLINK("https://klasma.github.io/Logging_1862/kartor_geotiff/A 33297-2023 georefererad karta.tif", "A 33297-2023")</f>
        <v/>
      </c>
      <c r="AA50">
        <f>HYPERLINK("https://klasma.github.io/Logging_1862/klagomål/A 33297-2023 FSC-klagomål.docx", "A 33297-2023")</f>
        <v/>
      </c>
      <c r="AB50">
        <f>HYPERLINK("https://klasma.github.io/Logging_1862/klagomålsmail/A 33297-2023 FSC-klagomål mail.docx", "A 33297-2023")</f>
        <v/>
      </c>
      <c r="AC50">
        <f>HYPERLINK("https://klasma.github.io/Logging_1862/tillsyn/A 33297-2023 tillsynsbegäran.docx", "A 33297-2023")</f>
        <v/>
      </c>
      <c r="AD50">
        <f>HYPERLINK("https://klasma.github.io/Logging_1862/tillsynsmail/A 33297-2023 tillsynsbegäran mail.docx", "A 33297-2023")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46236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53838-2024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46236</v>
      </c>
      <c r="F52" t="inlineStr">
        <is>
          <t>ÖREBRO LÄN</t>
        </is>
      </c>
      <c r="G52" t="inlineStr">
        <is>
          <t>DEGERFORS</t>
        </is>
      </c>
      <c r="I52" t="n">
        <v>4.3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53838-2024 artfynd.xlsx", "A 53838-2024")</f>
        <v/>
      </c>
      <c r="X52">
        <f>HYPERLINK("https://klasma.github.io/Logging_1862/kartor/A 53838-2024 karta.png", "A 53838-2024")</f>
        <v/>
      </c>
      <c r="Y52">
        <f>HYPERLINK("https://klasma.github.io/Logging_1862/kartor_geotiff/A 53838-2024 georefererad karta.tif", "A 53838-2024")</f>
        <v/>
      </c>
      <c r="AA52">
        <f>HYPERLINK("https://klasma.github.io/Logging_1862/klagomål/A 53838-2024 FSC-klagomål.docx", "A 53838-2024")</f>
        <v/>
      </c>
      <c r="AB52">
        <f>HYPERLINK("https://klasma.github.io/Logging_1862/klagomålsmail/A 53838-2024 FSC-klagomål mail.docx", "A 53838-2024")</f>
        <v/>
      </c>
      <c r="AC52">
        <f>HYPERLINK("https://klasma.github.io/Logging_1862/tillsyn/A 53838-2024 tillsynsbegäran.docx", "A 53838-2024")</f>
        <v/>
      </c>
      <c r="AD52">
        <f>HYPERLINK("https://klasma.github.io/Logging_1862/tillsynsmail/A 53838-2024 tillsynsbegäran mail.docx", "A 53838-2024")</f>
        <v/>
      </c>
      <c r="AE52">
        <f>HYPERLINK("https://klasma.github.io/Logging_1862/fåglar/A 53838-2024 prioriterade fågelarter.docx", "A 53838-2024")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46236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46236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46236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46236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54137-2021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46236</v>
      </c>
      <c r="F57" t="inlineStr">
        <is>
          <t>ÖREBRO LÄN</t>
        </is>
      </c>
      <c r="G57" t="inlineStr">
        <is>
          <t>DEGERFORS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19371-2022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44692</v>
      </c>
      <c r="E58" s="1" t="n">
        <v>46236</v>
      </c>
      <c r="F58" t="inlineStr">
        <is>
          <t>ÖREBRO LÄN</t>
        </is>
      </c>
      <c r="G58" t="inlineStr">
        <is>
          <t>DEGERFORS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46236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46236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46236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46236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73693-2021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46236</v>
      </c>
      <c r="F63" t="inlineStr">
        <is>
          <t>ÖREBRO LÄN</t>
        </is>
      </c>
      <c r="G63" t="inlineStr">
        <is>
          <t>DEGERFORS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46236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68578-2021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46236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46236</v>
      </c>
      <c r="F66" t="inlineStr">
        <is>
          <t>ÖREBRO LÄN</t>
        </is>
      </c>
      <c r="G66" t="inlineStr">
        <is>
          <t>DEGERFORS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67998-2021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46236</v>
      </c>
      <c r="F67" t="inlineStr">
        <is>
          <t>ÖREBRO LÄN</t>
        </is>
      </c>
      <c r="G67" t="inlineStr">
        <is>
          <t>DEGERFORS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46236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46236</v>
      </c>
      <c r="F69" t="inlineStr">
        <is>
          <t>ÖREBRO LÄN</t>
        </is>
      </c>
      <c r="G69" t="inlineStr">
        <is>
          <t>DEGERFORS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50378-2024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45601</v>
      </c>
      <c r="E70" s="1" t="n">
        <v>46236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36437-2024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45535</v>
      </c>
      <c r="E71" s="1" t="n">
        <v>46236</v>
      </c>
      <c r="F71" t="inlineStr">
        <is>
          <t>ÖREBRO LÄN</t>
        </is>
      </c>
      <c r="G71" t="inlineStr">
        <is>
          <t>DEGERFORS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52457-2021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44466</v>
      </c>
      <c r="E72" s="1" t="n">
        <v>46236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12977-2022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44643</v>
      </c>
      <c r="E73" s="1" t="n">
        <v>46236</v>
      </c>
      <c r="F73" t="inlineStr">
        <is>
          <t>ÖREBRO LÄN</t>
        </is>
      </c>
      <c r="G73" t="inlineStr">
        <is>
          <t>DEGERFORS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63008-2021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44505</v>
      </c>
      <c r="E74" s="1" t="n">
        <v>46236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44986</v>
      </c>
      <c r="E75" s="1" t="n">
        <v>46236</v>
      </c>
      <c r="F75" t="inlineStr">
        <is>
          <t>ÖREBRO LÄN</t>
        </is>
      </c>
      <c r="G75" t="inlineStr">
        <is>
          <t>DEGERFORS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46236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45365-2023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45192</v>
      </c>
      <c r="E77" s="1" t="n">
        <v>46236</v>
      </c>
      <c r="F77" t="inlineStr">
        <is>
          <t>ÖREBRO LÄN</t>
        </is>
      </c>
      <c r="G77" t="inlineStr">
        <is>
          <t>DEGERFORS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52131-2021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44463</v>
      </c>
      <c r="E78" s="1" t="n">
        <v>46236</v>
      </c>
      <c r="F78" t="inlineStr">
        <is>
          <t>ÖREBRO LÄN</t>
        </is>
      </c>
      <c r="G78" t="inlineStr">
        <is>
          <t>DEGERFORS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45861-2023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45195</v>
      </c>
      <c r="E79" s="1" t="n">
        <v>46236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6394-2024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45338</v>
      </c>
      <c r="E80" s="1" t="n">
        <v>46236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6387-2024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45338</v>
      </c>
      <c r="E81" s="1" t="n">
        <v>46236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37672-2024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45541</v>
      </c>
      <c r="E82" s="1" t="n">
        <v>46236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45763</v>
      </c>
      <c r="E83" s="1" t="n">
        <v>46236</v>
      </c>
      <c r="F83" t="inlineStr">
        <is>
          <t>ÖREBRO LÄN</t>
        </is>
      </c>
      <c r="G83" t="inlineStr">
        <is>
          <t>DEGERFORS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44438</v>
      </c>
      <c r="E84" s="1" t="n">
        <v>46236</v>
      </c>
      <c r="F84" t="inlineStr">
        <is>
          <t>ÖREBRO LÄN</t>
        </is>
      </c>
      <c r="G84" t="inlineStr">
        <is>
          <t>DEGERFORS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38743-2022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46236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59158-2022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44904</v>
      </c>
      <c r="E86" s="1" t="n">
        <v>46236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45387</v>
      </c>
      <c r="E87" s="1" t="n">
        <v>46236</v>
      </c>
      <c r="F87" t="inlineStr">
        <is>
          <t>ÖREBRO LÄN</t>
        </is>
      </c>
      <c r="G87" t="inlineStr">
        <is>
          <t>DEGERFORS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45887</v>
      </c>
      <c r="E88" s="1" t="n">
        <v>46236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46236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45330</v>
      </c>
      <c r="E90" s="1" t="n">
        <v>46236</v>
      </c>
      <c r="F90" t="inlineStr">
        <is>
          <t>ÖREBRO LÄN</t>
        </is>
      </c>
      <c r="G90" t="inlineStr">
        <is>
          <t>DEGERFORS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26176-2024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45468</v>
      </c>
      <c r="E91" s="1" t="n">
        <v>46236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43768-2024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45569</v>
      </c>
      <c r="E92" s="1" t="n">
        <v>46236</v>
      </c>
      <c r="F92" t="inlineStr">
        <is>
          <t>ÖREBRO LÄN</t>
        </is>
      </c>
      <c r="G92" t="inlineStr">
        <is>
          <t>DEGERFORS</t>
        </is>
      </c>
      <c r="I92" t="n">
        <v>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43752-2025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46236</v>
      </c>
      <c r="F93" t="inlineStr">
        <is>
          <t>ÖREBRO LÄN</t>
        </is>
      </c>
      <c r="G93" t="inlineStr">
        <is>
          <t>DEGERFORS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20476-2026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46140</v>
      </c>
      <c r="E94" s="1" t="n">
        <v>46236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46236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46236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45616</v>
      </c>
      <c r="E97" s="1" t="n">
        <v>46236</v>
      </c>
      <c r="F97" t="inlineStr">
        <is>
          <t>ÖREBRO LÄN</t>
        </is>
      </c>
      <c r="G97" t="inlineStr">
        <is>
          <t>DEGERFORS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46236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46236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46236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45589</v>
      </c>
      <c r="E101" s="1" t="n">
        <v>46236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21952-2024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45443</v>
      </c>
      <c r="E102" s="1" t="n">
        <v>46236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20478-2026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46236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45219</v>
      </c>
      <c r="E104" s="1" t="n">
        <v>46236</v>
      </c>
      <c r="F104" t="inlineStr">
        <is>
          <t>ÖREBRO LÄN</t>
        </is>
      </c>
      <c r="G104" t="inlineStr">
        <is>
          <t>DEGERFORS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46236</v>
      </c>
      <c r="F105" t="inlineStr">
        <is>
          <t>ÖREBRO LÄN</t>
        </is>
      </c>
      <c r="G105" t="inlineStr">
        <is>
          <t>DEGERFORS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62972-2023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46236</v>
      </c>
      <c r="F106" t="inlineStr">
        <is>
          <t>ÖREBRO LÄN</t>
        </is>
      </c>
      <c r="G106" t="inlineStr">
        <is>
          <t>DEGERFORS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20567-2026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46140</v>
      </c>
      <c r="E107" s="1" t="n">
        <v>46236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20568-2026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46140</v>
      </c>
      <c r="E108" s="1" t="n">
        <v>46236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45601</v>
      </c>
      <c r="E109" s="1" t="n">
        <v>46236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45936</v>
      </c>
      <c r="E110" s="1" t="n">
        <v>46236</v>
      </c>
      <c r="F110" t="inlineStr">
        <is>
          <t>ÖREBRO LÄN</t>
        </is>
      </c>
      <c r="G110" t="inlineStr">
        <is>
          <t>DEGERFORS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44986</v>
      </c>
      <c r="E111" s="1" t="n">
        <v>46236</v>
      </c>
      <c r="F111" t="inlineStr">
        <is>
          <t>ÖREBRO LÄN</t>
        </is>
      </c>
      <c r="G111" t="inlineStr">
        <is>
          <t>DEGERFORS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46148</v>
      </c>
      <c r="E112" s="1" t="n">
        <v>46236</v>
      </c>
      <c r="F112" t="inlineStr">
        <is>
          <t>ÖREBRO LÄN</t>
        </is>
      </c>
      <c r="G112" t="inlineStr">
        <is>
          <t>DEGERFORS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46148</v>
      </c>
      <c r="E113" s="1" t="n">
        <v>46236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21442-2026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46148</v>
      </c>
      <c r="E114" s="1" t="n">
        <v>46236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21401-2026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46148</v>
      </c>
      <c r="E115" s="1" t="n">
        <v>46236</v>
      </c>
      <c r="F115" t="inlineStr">
        <is>
          <t>ÖREBRO LÄN</t>
        </is>
      </c>
      <c r="G115" t="inlineStr">
        <is>
          <t>DEGERFORS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46149</v>
      </c>
      <c r="E116" s="1" t="n">
        <v>46236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21663-2026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46149</v>
      </c>
      <c r="E117" s="1" t="n">
        <v>46236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21662-2026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46149</v>
      </c>
      <c r="E118" s="1" t="n">
        <v>46236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50764-2024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45602</v>
      </c>
      <c r="E119" s="1" t="n">
        <v>46236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46236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10674-2024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45369</v>
      </c>
      <c r="E121" s="1" t="n">
        <v>46236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46236</v>
      </c>
      <c r="F122" t="inlineStr">
        <is>
          <t>ÖREBRO LÄN</t>
        </is>
      </c>
      <c r="G122" t="inlineStr">
        <is>
          <t>DEGERFORS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45163</v>
      </c>
      <c r="E123" s="1" t="n">
        <v>46236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28789-2026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46236</v>
      </c>
      <c r="F124" t="inlineStr">
        <is>
          <t>ÖREBRO LÄN</t>
        </is>
      </c>
      <c r="G124" t="inlineStr">
        <is>
          <t>DEGERFORS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45763</v>
      </c>
      <c r="E125" s="1" t="n">
        <v>46236</v>
      </c>
      <c r="F125" t="inlineStr">
        <is>
          <t>ÖREBRO LÄN</t>
        </is>
      </c>
      <c r="G125" t="inlineStr">
        <is>
          <t>DEGERFORS</t>
        </is>
      </c>
      <c r="I125" t="n">
        <v>13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28695-2026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46198</v>
      </c>
      <c r="E126" s="1" t="n">
        <v>46236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45190</v>
      </c>
      <c r="E127" s="1" t="n">
        <v>46236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46236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46222-2024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45581</v>
      </c>
      <c r="E129" s="1" t="n">
        <v>46236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28708-2026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46198</v>
      </c>
      <c r="E130" s="1" t="n">
        <v>46236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45581</v>
      </c>
      <c r="E131" s="1" t="n">
        <v>46236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28696-2026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46198</v>
      </c>
      <c r="E132" s="1" t="n">
        <v>46236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45376</v>
      </c>
      <c r="E133" s="1" t="n">
        <v>46236</v>
      </c>
      <c r="F133" t="inlineStr">
        <is>
          <t>ÖREBRO LÄN</t>
        </is>
      </c>
      <c r="G133" t="inlineStr">
        <is>
          <t>DEGERFORS</t>
        </is>
      </c>
      <c r="I133" t="n">
        <v>7.7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29132-2026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46202</v>
      </c>
      <c r="E134" s="1" t="n">
        <v>46236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63905-2021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44509</v>
      </c>
      <c r="E135" s="1" t="n">
        <v>46236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45971</v>
      </c>
      <c r="E136" s="1" t="n">
        <v>46236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29130-2026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46202</v>
      </c>
      <c r="E137" s="1" t="n">
        <v>46236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46236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46199</v>
      </c>
      <c r="E139" s="1" t="n">
        <v>46236</v>
      </c>
      <c r="F139" t="inlineStr">
        <is>
          <t>ÖREBRO LÄN</t>
        </is>
      </c>
      <c r="G139" t="inlineStr">
        <is>
          <t>DEGERFORS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12148-2025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45729</v>
      </c>
      <c r="E140" s="1" t="n">
        <v>46236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14678-2025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45742</v>
      </c>
      <c r="E141" s="1" t="n">
        <v>46236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57086-2025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45979</v>
      </c>
      <c r="E142" s="1" t="n">
        <v>46236</v>
      </c>
      <c r="F142" t="inlineStr">
        <is>
          <t>ÖREBRO LÄN</t>
        </is>
      </c>
      <c r="G142" t="inlineStr">
        <is>
          <t>DEGERFORS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20577-2023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45057</v>
      </c>
      <c r="E143" s="1" t="n">
        <v>46236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44989</v>
      </c>
      <c r="E144" s="1" t="n">
        <v>46236</v>
      </c>
      <c r="F144" t="inlineStr">
        <is>
          <t>ÖREBRO LÄN</t>
        </is>
      </c>
      <c r="G144" t="inlineStr">
        <is>
          <t>DEGERFORS</t>
        </is>
      </c>
      <c r="I144" t="n">
        <v>9.5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23230-2026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46162</v>
      </c>
      <c r="E145" s="1" t="n">
        <v>46236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44839</v>
      </c>
      <c r="E146" s="1" t="n">
        <v>46236</v>
      </c>
      <c r="F146" t="inlineStr">
        <is>
          <t>ÖREBRO LÄN</t>
        </is>
      </c>
      <c r="G146" t="inlineStr">
        <is>
          <t>DEGERFORS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46162</v>
      </c>
      <c r="E147" s="1" t="n">
        <v>46236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46204</v>
      </c>
      <c r="E148" s="1" t="n">
        <v>46236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45106</v>
      </c>
      <c r="E149" s="1" t="n">
        <v>46236</v>
      </c>
      <c r="F149" t="inlineStr">
        <is>
          <t>ÖREBRO LÄN</t>
        </is>
      </c>
      <c r="G149" t="inlineStr">
        <is>
          <t>DEGERFORS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45995</v>
      </c>
      <c r="E150" s="1" t="n">
        <v>46236</v>
      </c>
      <c r="F150" t="inlineStr">
        <is>
          <t>ÖREBRO LÄN</t>
        </is>
      </c>
      <c r="G150" t="inlineStr">
        <is>
          <t>DEGERFORS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60708-2025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45996</v>
      </c>
      <c r="E151" s="1" t="n">
        <v>46236</v>
      </c>
      <c r="F151" t="inlineStr">
        <is>
          <t>ÖREBRO LÄN</t>
        </is>
      </c>
      <c r="G151" t="inlineStr">
        <is>
          <t>DEGERFORS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45735</v>
      </c>
      <c r="E152" s="1" t="n">
        <v>46236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60736-2025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45996</v>
      </c>
      <c r="E153" s="1" t="n">
        <v>46236</v>
      </c>
      <c r="F153" t="inlineStr">
        <is>
          <t>ÖREBRO LÄN</t>
        </is>
      </c>
      <c r="G153" t="inlineStr">
        <is>
          <t>DEGERFORS</t>
        </is>
      </c>
      <c r="I153" t="n">
        <v>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23854-2026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46167</v>
      </c>
      <c r="E154" s="1" t="n">
        <v>46236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45205</v>
      </c>
      <c r="E155" s="1" t="n">
        <v>46236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38917-2023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46236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11084-2023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44986</v>
      </c>
      <c r="E157" s="1" t="n">
        <v>46236</v>
      </c>
      <c r="F157" t="inlineStr">
        <is>
          <t>ÖREBRO LÄN</t>
        </is>
      </c>
      <c r="G157" t="inlineStr">
        <is>
          <t>DEGERFORS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56478-2024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45624</v>
      </c>
      <c r="E158" s="1" t="n">
        <v>46236</v>
      </c>
      <c r="F158" t="inlineStr">
        <is>
          <t>ÖREBRO LÄN</t>
        </is>
      </c>
      <c r="G158" t="inlineStr">
        <is>
          <t>DEGERFORS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46236</v>
      </c>
      <c r="F159" t="inlineStr">
        <is>
          <t>ÖREBRO LÄN</t>
        </is>
      </c>
      <c r="G159" t="inlineStr">
        <is>
          <t>DEGERFORS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24689-2026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46171</v>
      </c>
      <c r="E160" s="1" t="n">
        <v>46236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15.5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46236</v>
      </c>
      <c r="F161" t="inlineStr">
        <is>
          <t>ÖREBRO LÄN</t>
        </is>
      </c>
      <c r="G161" t="inlineStr">
        <is>
          <t>DEGERFORS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8059-2024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45351</v>
      </c>
      <c r="E162" s="1" t="n">
        <v>46236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45645</v>
      </c>
      <c r="E163" s="1" t="n">
        <v>46236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46027</v>
      </c>
      <c r="E164" s="1" t="n">
        <v>46236</v>
      </c>
      <c r="F164" t="inlineStr">
        <is>
          <t>ÖREBRO LÄN</t>
        </is>
      </c>
      <c r="G164" t="inlineStr">
        <is>
          <t>DEGERFORS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61750-2021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46236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29607-2022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44754</v>
      </c>
      <c r="E166" s="1" t="n">
        <v>46236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45337</v>
      </c>
      <c r="E167" s="1" t="n">
        <v>46236</v>
      </c>
      <c r="F167" t="inlineStr">
        <is>
          <t>ÖREBRO LÄN</t>
        </is>
      </c>
      <c r="G167" t="inlineStr">
        <is>
          <t>DEGERFORS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54515-2023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45233</v>
      </c>
      <c r="E168" s="1" t="n">
        <v>46236</v>
      </c>
      <c r="F168" t="inlineStr">
        <is>
          <t>ÖREBRO LÄN</t>
        </is>
      </c>
      <c r="G168" t="inlineStr">
        <is>
          <t>DEGERFORS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33658-2024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45520</v>
      </c>
      <c r="E169" s="1" t="n">
        <v>46236</v>
      </c>
      <c r="F169" t="inlineStr">
        <is>
          <t>ÖREBRO LÄN</t>
        </is>
      </c>
      <c r="G169" t="inlineStr">
        <is>
          <t>DEGERFORS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38233-2023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45160</v>
      </c>
      <c r="E170" s="1" t="n">
        <v>46236</v>
      </c>
      <c r="F170" t="inlineStr">
        <is>
          <t>ÖREBRO LÄN</t>
        </is>
      </c>
      <c r="G170" t="inlineStr">
        <is>
          <t>DEGERFORS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45602</v>
      </c>
      <c r="E171" s="1" t="n">
        <v>46236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46236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15.1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26947-2026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46236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46236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38738-2022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44816</v>
      </c>
      <c r="E175" s="1" t="n">
        <v>46236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50207-2024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45600</v>
      </c>
      <c r="E176" s="1" t="n">
        <v>46236</v>
      </c>
      <c r="F176" t="inlineStr">
        <is>
          <t>ÖREBRO LÄN</t>
        </is>
      </c>
      <c r="G176" t="inlineStr">
        <is>
          <t>DEGERFORS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50208-2024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45600</v>
      </c>
      <c r="E177" s="1" t="n">
        <v>46236</v>
      </c>
      <c r="F177" t="inlineStr">
        <is>
          <t>ÖREBRO LÄN</t>
        </is>
      </c>
      <c r="G177" t="inlineStr">
        <is>
          <t>DEGERFORS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31813-2026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46236</v>
      </c>
      <c r="F178" t="inlineStr">
        <is>
          <t>ÖREBRO LÄN</t>
        </is>
      </c>
      <c r="G178" t="inlineStr">
        <is>
          <t>DEGERFORS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46231</v>
      </c>
      <c r="E179" s="1" t="n">
        <v>46236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46231</v>
      </c>
      <c r="E180" s="1" t="n">
        <v>46236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46189</v>
      </c>
      <c r="E181" s="1" t="n">
        <v>46236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46231</v>
      </c>
      <c r="E182" s="1" t="n">
        <v>46236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27745-2026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46191</v>
      </c>
      <c r="E183" s="1" t="n">
        <v>46236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46236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46070</v>
      </c>
      <c r="E185" s="1" t="n">
        <v>46236</v>
      </c>
      <c r="F185" t="inlineStr">
        <is>
          <t>ÖREBRO LÄN</t>
        </is>
      </c>
      <c r="G185" t="inlineStr">
        <is>
          <t>DEGERFORS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12729-2024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45384</v>
      </c>
      <c r="E186" s="1" t="n">
        <v>46236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12143-2025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45729</v>
      </c>
      <c r="E187" s="1" t="n">
        <v>46236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52523-2024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45609</v>
      </c>
      <c r="E188" s="1" t="n">
        <v>46236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10320-2023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44986</v>
      </c>
      <c r="E189" s="1" t="n">
        <v>46236</v>
      </c>
      <c r="F189" t="inlineStr">
        <is>
          <t>ÖREBRO LÄN</t>
        </is>
      </c>
      <c r="G189" t="inlineStr">
        <is>
          <t>DEGERFORS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46086</v>
      </c>
      <c r="E190" s="1" t="n">
        <v>46236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46086</v>
      </c>
      <c r="E191" s="1" t="n">
        <v>46236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44609</v>
      </c>
      <c r="E192" s="1" t="n">
        <v>46236</v>
      </c>
      <c r="F192" t="inlineStr">
        <is>
          <t>ÖREBRO LÄN</t>
        </is>
      </c>
      <c r="G192" t="inlineStr">
        <is>
          <t>DEGERFORS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60937-2024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46236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60940-2024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46236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13039-2026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46093</v>
      </c>
      <c r="E195" s="1" t="n">
        <v>46236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13040-2026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46093</v>
      </c>
      <c r="E196" s="1" t="n">
        <v>46236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46092</v>
      </c>
      <c r="E197" s="1" t="n">
        <v>46236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7472-2025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45705</v>
      </c>
      <c r="E198" s="1" t="n">
        <v>46236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13293-2026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46236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46236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45190</v>
      </c>
      <c r="E201" s="1" t="n">
        <v>46236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46236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18831-2025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45764</v>
      </c>
      <c r="E203" s="1" t="n">
        <v>46236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33293-2023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45116</v>
      </c>
      <c r="E204" s="1" t="n">
        <v>46236</v>
      </c>
      <c r="F204" t="inlineStr">
        <is>
          <t>ÖREBRO LÄN</t>
        </is>
      </c>
      <c r="G204" t="inlineStr">
        <is>
          <t>DEGERFORS</t>
        </is>
      </c>
      <c r="I204" t="n">
        <v>17.2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18506-2026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46127</v>
      </c>
      <c r="E205" s="1" t="n">
        <v>46236</v>
      </c>
      <c r="F205" t="inlineStr">
        <is>
          <t>ÖREBRO LÄN</t>
        </is>
      </c>
      <c r="G205" t="inlineStr">
        <is>
          <t>DEGERFORS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32154-2023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46236</v>
      </c>
      <c r="F206" t="inlineStr">
        <is>
          <t>ÖREBRO LÄN</t>
        </is>
      </c>
      <c r="G206" t="inlineStr">
        <is>
          <t>DEGERFORS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45635</v>
      </c>
      <c r="E207" s="1" t="n">
        <v>46236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46236</v>
      </c>
      <c r="F208" t="inlineStr">
        <is>
          <t>ÖREBRO LÄN</t>
        </is>
      </c>
      <c r="G208" t="inlineStr">
        <is>
          <t>DEGERFORS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19227-2026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46132</v>
      </c>
      <c r="E209" s="1" t="n">
        <v>46236</v>
      </c>
      <c r="F209" t="inlineStr">
        <is>
          <t>ÖREBRO LÄN</t>
        </is>
      </c>
      <c r="G209" t="inlineStr">
        <is>
          <t>DEGERFORS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50102-2023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45215</v>
      </c>
      <c r="E210" s="1" t="n">
        <v>46236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18913-2026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46129</v>
      </c>
      <c r="E211" s="1" t="n">
        <v>46236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51996-2023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45223</v>
      </c>
      <c r="E212" s="1" t="n">
        <v>46236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62982-2023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45272</v>
      </c>
      <c r="E213" s="1" t="n">
        <v>46236</v>
      </c>
      <c r="F213" t="inlineStr">
        <is>
          <t>ÖREBRO LÄN</t>
        </is>
      </c>
      <c r="G213" t="inlineStr">
        <is>
          <t>DEGERFORS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45581</v>
      </c>
      <c r="E214" s="1" t="n">
        <v>46236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8062-2024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45351</v>
      </c>
      <c r="E215" s="1" t="n">
        <v>46236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8074-2024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45351</v>
      </c>
      <c r="E216" s="1" t="n">
        <v>46236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60907-2023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45261</v>
      </c>
      <c r="E217" s="1" t="n">
        <v>46236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32211-2022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44781</v>
      </c>
      <c r="E218" s="1" t="n">
        <v>46236</v>
      </c>
      <c r="F218" t="inlineStr">
        <is>
          <t>ÖREBRO LÄN</t>
        </is>
      </c>
      <c r="G218" t="inlineStr">
        <is>
          <t>DEGERFORS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45443</v>
      </c>
      <c r="E219" s="1" t="n">
        <v>46236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45453</v>
      </c>
      <c r="E220" s="1" t="n">
        <v>46236</v>
      </c>
      <c r="F220" t="inlineStr">
        <is>
          <t>ÖREBRO LÄN</t>
        </is>
      </c>
      <c r="G220" t="inlineStr">
        <is>
          <t>DEGERFORS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46236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46236</v>
      </c>
      <c r="F222" t="inlineStr">
        <is>
          <t>ÖREBRO LÄN</t>
        </is>
      </c>
      <c r="G222" t="inlineStr">
        <is>
          <t>DEGERFORS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46236</v>
      </c>
      <c r="F223" t="inlineStr">
        <is>
          <t>ÖREBRO LÄN</t>
        </is>
      </c>
      <c r="G223" t="inlineStr">
        <is>
          <t>DEGERFORS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26820-2025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45810</v>
      </c>
      <c r="E224" s="1" t="n">
        <v>46236</v>
      </c>
      <c r="F224" t="inlineStr">
        <is>
          <t>ÖREBRO LÄN</t>
        </is>
      </c>
      <c r="G224" t="inlineStr">
        <is>
          <t>DEGERFORS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28367-2025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46236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46236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8.1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23066-2022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44719</v>
      </c>
      <c r="E227" s="1" t="n">
        <v>46236</v>
      </c>
      <c r="F227" t="inlineStr">
        <is>
          <t>ÖREBRO LÄN</t>
        </is>
      </c>
      <c r="G227" t="inlineStr">
        <is>
          <t>DEGERFORS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46236</v>
      </c>
      <c r="F228" t="inlineStr">
        <is>
          <t>ÖREBRO LÄN</t>
        </is>
      </c>
      <c r="G228" t="inlineStr">
        <is>
          <t>DEGERFORS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59863-2024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45639</v>
      </c>
      <c r="E229" s="1" t="n">
        <v>46236</v>
      </c>
      <c r="F229" t="inlineStr">
        <is>
          <t>ÖREBRO LÄN</t>
        </is>
      </c>
      <c r="G229" t="inlineStr">
        <is>
          <t>DEGERFORS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37333-2025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45876</v>
      </c>
      <c r="E230" s="1" t="n">
        <v>46236</v>
      </c>
      <c r="F230" t="inlineStr">
        <is>
          <t>ÖREBRO LÄN</t>
        </is>
      </c>
      <c r="G230" t="inlineStr">
        <is>
          <t>DEGERFORS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37265-2025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45876</v>
      </c>
      <c r="E231" s="1" t="n">
        <v>46236</v>
      </c>
      <c r="F231" t="inlineStr">
        <is>
          <t>ÖREBRO LÄN</t>
        </is>
      </c>
      <c r="G231" t="inlineStr">
        <is>
          <t>DEGERFORS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15594-2025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45747</v>
      </c>
      <c r="E232" s="1" t="n">
        <v>46236</v>
      </c>
      <c r="F232" t="inlineStr">
        <is>
          <t>ÖREBRO LÄN</t>
        </is>
      </c>
      <c r="G232" t="inlineStr">
        <is>
          <t>DEGERFORS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479-2022</t>
        </is>
      </c>
      <c r="B233" t="inlineStr">
        <is>
          <t>samrådsanmälan</t>
        </is>
      </c>
      <c r="C233" t="inlineStr">
        <is>
          <t>Skogsbilväg</t>
        </is>
      </c>
      <c r="D233" s="1" t="n">
        <v>44587</v>
      </c>
      <c r="E233" s="1" t="n">
        <v>46236</v>
      </c>
      <c r="F233" t="inlineStr">
        <is>
          <t>ÖREBRO LÄN</t>
        </is>
      </c>
      <c r="G233" t="inlineStr">
        <is>
          <t>DEGERFORS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1697-2025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46236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46236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46236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46236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46236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46236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2595-2025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45916</v>
      </c>
      <c r="E240" s="1" t="n">
        <v>46236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2026-08-02T01:58:14Z</dcterms:created>
  <dcterms:modified xmlns:dcterms="http://purl.org/dc/terms/" xmlns:xsi="http://www.w3.org/2001/XMLSchema-instance" xsi:type="dcterms:W3CDTF">2026-08-02T01:58:14Z</dcterms:modified>
</cp:coreProperties>
</file>