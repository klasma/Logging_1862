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46251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46251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46251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46251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46251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46251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46251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46251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46251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46251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46251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46251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46251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46251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46251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46251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46251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46251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46251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46251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46251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46251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46251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46251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46251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46251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46251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46251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46251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46251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46251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46251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46251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46251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14177-2026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46251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HYPERLINK("https://klasma.github.io/Logging_1862/artfynd/A 14177-2026 artfynd.xlsx", "A 14177-2026")</f>
        <v/>
      </c>
      <c r="X39">
        <f>HYPERLINK("https://klasma.github.io/Logging_1862/kartor/A 14177-2026 karta.png", "A 14177-2026")</f>
        <v/>
      </c>
      <c r="Y39">
        <f>HYPERLINK("https://klasma.github.io/Logging_1862/kartor_geotiff/A 14177-2026 georefererad karta.tif", "A 14177-2026")</f>
        <v/>
      </c>
      <c r="AA39">
        <f>HYPERLINK("https://klasma.github.io/Logging_1862/klagomål/A 14177-2026 FSC-klagomål.docx", "A 14177-2026")</f>
        <v/>
      </c>
      <c r="AB39">
        <f>HYPERLINK("https://klasma.github.io/Logging_1862/klagomålsmail/A 14177-2026 FSC-klagomål mail.docx", "A 14177-2026")</f>
        <v/>
      </c>
      <c r="AC39">
        <f>HYPERLINK("https://klasma.github.io/Logging_1862/tillsyn/A 14177-2026 tillsynsbegäran.docx", "A 14177-2026")</f>
        <v/>
      </c>
      <c r="AD39">
        <f>HYPERLINK("https://klasma.github.io/Logging_1862/tillsynsmail/A 14177-2026 tillsynsbegäran mail.docx", "A 14177-2026")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46251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47915-2024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46251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HYPERLINK("https://klasma.github.io/Logging_1862/artfynd/A 47915-2024 artfynd.xlsx", "A 47915-2024")</f>
        <v/>
      </c>
      <c r="X41">
        <f>HYPERLINK("https://klasma.github.io/Logging_1862/kartor/A 47915-2024 karta.png", "A 47915-2024")</f>
        <v/>
      </c>
      <c r="Y41">
        <f>HYPERLINK("https://klasma.github.io/Logging_1862/kartor_geotiff/A 47915-2024 georefererad karta.tif", "A 47915-2024")</f>
        <v/>
      </c>
      <c r="AA41">
        <f>HYPERLINK("https://klasma.github.io/Logging_1862/klagomål/A 47915-2024 FSC-klagomål.docx", "A 47915-2024")</f>
        <v/>
      </c>
      <c r="AB41">
        <f>HYPERLINK("https://klasma.github.io/Logging_1862/klagomålsmail/A 47915-2024 FSC-klagomål mail.docx", "A 47915-2024")</f>
        <v/>
      </c>
      <c r="AC41">
        <f>HYPERLINK("https://klasma.github.io/Logging_1862/tillsyn/A 47915-2024 tillsynsbegäran.docx", "A 47915-2024")</f>
        <v/>
      </c>
      <c r="AD41">
        <f>HYPERLINK("https://klasma.github.io/Logging_1862/tillsynsmail/A 47915-2024 tillsynsbegäran mail.docx", "A 47915-2024")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46251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38904-2023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46251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38904-2023 artfynd.xlsx", "A 38904-2023")</f>
        <v/>
      </c>
      <c r="X43">
        <f>HYPERLINK("https://klasma.github.io/Logging_1862/kartor/A 38904-2023 karta.png", "A 38904-2023")</f>
        <v/>
      </c>
      <c r="Y43">
        <f>HYPERLINK("https://klasma.github.io/Logging_1862/kartor_geotiff/A 38904-2023 georefererad karta.tif", "A 38904-2023")</f>
        <v/>
      </c>
      <c r="AA43">
        <f>HYPERLINK("https://klasma.github.io/Logging_1862/klagomål/A 38904-2023 FSC-klagomål.docx", "A 38904-2023")</f>
        <v/>
      </c>
      <c r="AB43">
        <f>HYPERLINK("https://klasma.github.io/Logging_1862/klagomålsmail/A 38904-2023 FSC-klagomål mail.docx", "A 38904-2023")</f>
        <v/>
      </c>
      <c r="AC43">
        <f>HYPERLINK("https://klasma.github.io/Logging_1862/tillsyn/A 38904-2023 tillsynsbegäran.docx", "A 38904-2023")</f>
        <v/>
      </c>
      <c r="AD43">
        <f>HYPERLINK("https://klasma.github.io/Logging_1862/tillsynsmail/A 38904-2023 tillsynsbegäran mail.docx", "A 38904-2023")</f>
        <v/>
      </c>
      <c r="AE43">
        <f>HYPERLINK("https://klasma.github.io/Logging_1862/fåglar/A 38904-2023 prioriterade fågelarter.docx", "A 38904-2023")</f>
        <v/>
      </c>
    </row>
    <row r="44" ht="15" customHeight="1">
      <c r="A44" t="inlineStr">
        <is>
          <t>A 48285-2023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46251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48285-2023 artfynd.xlsx", "A 48285-2023")</f>
        <v/>
      </c>
      <c r="X44">
        <f>HYPERLINK("https://klasma.github.io/Logging_1862/kartor/A 48285-2023 karta.png", "A 48285-2023")</f>
        <v/>
      </c>
      <c r="Y44">
        <f>HYPERLINK("https://klasma.github.io/Logging_1862/kartor_geotiff/A 48285-2023 georefererad karta.tif", "A 48285-2023")</f>
        <v/>
      </c>
      <c r="AA44">
        <f>HYPERLINK("https://klasma.github.io/Logging_1862/klagomål/A 48285-2023 FSC-klagomål.docx", "A 48285-2023")</f>
        <v/>
      </c>
      <c r="AB44">
        <f>HYPERLINK("https://klasma.github.io/Logging_1862/klagomålsmail/A 48285-2023 FSC-klagomål mail.docx", "A 48285-2023")</f>
        <v/>
      </c>
      <c r="AC44">
        <f>HYPERLINK("https://klasma.github.io/Logging_1862/tillsyn/A 48285-2023 tillsynsbegäran.docx", "A 48285-2023")</f>
        <v/>
      </c>
      <c r="AD44">
        <f>HYPERLINK("https://klasma.github.io/Logging_1862/tillsynsmail/A 48285-2023 tillsynsbegäran mail.docx", "A 48285-2023")</f>
        <v/>
      </c>
      <c r="AE44">
        <f>HYPERLINK("https://klasma.github.io/Logging_1862/fåglar/A 48285-2023 prioriterade fågelarter.docx", "A 48285-2023")</f>
        <v/>
      </c>
    </row>
    <row r="45" ht="15" customHeight="1">
      <c r="A45" t="inlineStr">
        <is>
          <t>A 27093-2023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46251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5.9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27093-2023 artfynd.xlsx", "A 27093-2023")</f>
        <v/>
      </c>
      <c r="X45">
        <f>HYPERLINK("https://klasma.github.io/Logging_1862/kartor/A 27093-2023 karta.png", "A 27093-2023")</f>
        <v/>
      </c>
      <c r="Y45">
        <f>HYPERLINK("https://klasma.github.io/Logging_1862/kartor_geotiff/A 27093-2023 georefererad karta.tif", "A 27093-2023")</f>
        <v/>
      </c>
      <c r="AA45">
        <f>HYPERLINK("https://klasma.github.io/Logging_1862/klagomål/A 27093-2023 FSC-klagomål.docx", "A 27093-2023")</f>
        <v/>
      </c>
      <c r="AB45">
        <f>HYPERLINK("https://klasma.github.io/Logging_1862/klagomålsmail/A 27093-2023 FSC-klagomål mail.docx", "A 27093-2023")</f>
        <v/>
      </c>
      <c r="AC45">
        <f>HYPERLINK("https://klasma.github.io/Logging_1862/tillsyn/A 27093-2023 tillsynsbegäran.docx", "A 27093-2023")</f>
        <v/>
      </c>
      <c r="AD45">
        <f>HYPERLINK("https://klasma.github.io/Logging_1862/tillsynsmail/A 27093-2023 tillsynsbegäran mail.docx", "A 27093-2023")</f>
        <v/>
      </c>
      <c r="AE45">
        <f>HYPERLINK("https://klasma.github.io/Logging_1862/fåglar/A 27093-2023 prioriterade fågelarter.docx", "A 27093-2023")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46251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46251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46251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2357-2022 artfynd.xlsx", "A 2357-2022")</f>
        <v/>
      </c>
      <c r="X48">
        <f>HYPERLINK("https://klasma.github.io/Logging_1862/kartor/A 2357-2022 karta.png", "A 2357-2022")</f>
        <v/>
      </c>
      <c r="Y48">
        <f>HYPERLINK("https://klasma.github.io/Logging_1862/kartor_geotiff/A 2357-2022 georefererad karta.tif", "A 2357-2022")</f>
        <v/>
      </c>
      <c r="AA48">
        <f>HYPERLINK("https://klasma.github.io/Logging_1862/klagomål/A 2357-2022 FSC-klagomål.docx", "A 2357-2022")</f>
        <v/>
      </c>
      <c r="AB48">
        <f>HYPERLINK("https://klasma.github.io/Logging_1862/klagomålsmail/A 2357-2022 FSC-klagomål mail.docx", "A 2357-2022")</f>
        <v/>
      </c>
      <c r="AC48">
        <f>HYPERLINK("https://klasma.github.io/Logging_1862/tillsyn/A 2357-2022 tillsynsbegäran.docx", "A 2357-2022")</f>
        <v/>
      </c>
      <c r="AD48">
        <f>HYPERLINK("https://klasma.github.io/Logging_1862/tillsynsmail/A 2357-2022 tillsynsbegäran mail.docx", "A 2357-2022")</f>
        <v/>
      </c>
      <c r="AE48">
        <f>HYPERLINK("https://klasma.github.io/Logging_1862/fåglar/A 2357-2022 prioriterade fågelarter.docx", "A 2357-2022")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46251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27071-2026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46186</v>
      </c>
      <c r="E50" s="1" t="n">
        <v>46251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9.9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HYPERLINK("https://klasma.github.io/Logging_1862/artfynd/A 27071-2026 artfynd.xlsx", "A 27071-2026")</f>
        <v/>
      </c>
      <c r="X50">
        <f>HYPERLINK("https://klasma.github.io/Logging_1862/kartor/A 27071-2026 karta.png", "A 27071-2026")</f>
        <v/>
      </c>
      <c r="Y50">
        <f>HYPERLINK("https://klasma.github.io/Logging_1862/kartor_geotiff/A 27071-2026 georefererad karta.tif", "A 27071-2026")</f>
        <v/>
      </c>
      <c r="AA50">
        <f>HYPERLINK("https://klasma.github.io/Logging_1862/klagomål/A 27071-2026 FSC-klagomål.docx", "A 27071-2026")</f>
        <v/>
      </c>
      <c r="AB50">
        <f>HYPERLINK("https://klasma.github.io/Logging_1862/klagomålsmail/A 27071-2026 FSC-klagomål mail.docx", "A 27071-2026")</f>
        <v/>
      </c>
      <c r="AC50">
        <f>HYPERLINK("https://klasma.github.io/Logging_1862/tillsyn/A 27071-2026 tillsynsbegäran.docx", "A 27071-2026")</f>
        <v/>
      </c>
      <c r="AD50">
        <f>HYPERLINK("https://klasma.github.io/Logging_1862/tillsynsmail/A 27071-2026 tillsynsbegäran mail.docx", "A 27071-2026")</f>
        <v/>
      </c>
    </row>
    <row r="51" ht="15" customHeight="1">
      <c r="A51" t="inlineStr">
        <is>
          <t>A 26971-2026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46251</v>
      </c>
      <c r="F51" t="inlineStr">
        <is>
          <t>ÖREBRO LÄN</t>
        </is>
      </c>
      <c r="G51" t="inlineStr">
        <is>
          <t>DEGERFORS</t>
        </is>
      </c>
      <c r="I51" t="n">
        <v>2.1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HYPERLINK("https://klasma.github.io/Logging_1862/artfynd/A 26971-2026 artfynd.xlsx", "A 26971-2026")</f>
        <v/>
      </c>
      <c r="X51">
        <f>HYPERLINK("https://klasma.github.io/Logging_1862/kartor/A 26971-2026 karta.png", "A 26971-2026")</f>
        <v/>
      </c>
      <c r="Y51">
        <f>HYPERLINK("https://klasma.github.io/Logging_1862/kartor_geotiff/A 26971-2026 georefererad karta.tif", "A 26971-2026")</f>
        <v/>
      </c>
      <c r="AA51">
        <f>HYPERLINK("https://klasma.github.io/Logging_1862/klagomål/A 26971-2026 FSC-klagomål.docx", "A 26971-2026")</f>
        <v/>
      </c>
      <c r="AB51">
        <f>HYPERLINK("https://klasma.github.io/Logging_1862/klagomålsmail/A 26971-2026 FSC-klagomål mail.docx", "A 26971-2026")</f>
        <v/>
      </c>
      <c r="AC51">
        <f>HYPERLINK("https://klasma.github.io/Logging_1862/tillsyn/A 26971-2026 tillsynsbegäran.docx", "A 26971-2026")</f>
        <v/>
      </c>
      <c r="AD51">
        <f>HYPERLINK("https://klasma.github.io/Logging_1862/tillsynsmail/A 26971-2026 tillsynsbegäran mail.docx", "A 26971-2026")</f>
        <v/>
      </c>
    </row>
    <row r="52" ht="15" customHeight="1">
      <c r="A52" t="inlineStr">
        <is>
          <t>A 27072-2026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46186</v>
      </c>
      <c r="E52" s="1" t="n">
        <v>46251</v>
      </c>
      <c r="F52" t="inlineStr">
        <is>
          <t>ÖREBRO LÄN</t>
        </is>
      </c>
      <c r="G52" t="inlineStr">
        <is>
          <t>DEGERFORS</t>
        </is>
      </c>
      <c r="H52" t="inlineStr">
        <is>
          <t>Sveaskog</t>
        </is>
      </c>
      <c r="I52" t="n">
        <v>7.6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27072-2026 artfynd.xlsx", "A 27072-2026")</f>
        <v/>
      </c>
      <c r="X52">
        <f>HYPERLINK("https://klasma.github.io/Logging_1862/kartor/A 27072-2026 karta.png", "A 27072-2026")</f>
        <v/>
      </c>
      <c r="Y52">
        <f>HYPERLINK("https://klasma.github.io/Logging_1862/kartor_geotiff/A 27072-2026 georefererad karta.tif", "A 27072-2026")</f>
        <v/>
      </c>
      <c r="AA52">
        <f>HYPERLINK("https://klasma.github.io/Logging_1862/klagomål/A 27072-2026 FSC-klagomål.docx", "A 27072-2026")</f>
        <v/>
      </c>
      <c r="AB52">
        <f>HYPERLINK("https://klasma.github.io/Logging_1862/klagomålsmail/A 27072-2026 FSC-klagomål mail.docx", "A 27072-2026")</f>
        <v/>
      </c>
      <c r="AC52">
        <f>HYPERLINK("https://klasma.github.io/Logging_1862/tillsyn/A 27072-2026 tillsynsbegäran.docx", "A 27072-2026")</f>
        <v/>
      </c>
      <c r="AD52">
        <f>HYPERLINK("https://klasma.github.io/Logging_1862/tillsynsmail/A 27072-2026 tillsynsbegäran mail.docx", "A 27072-2026")</f>
        <v/>
      </c>
      <c r="AE52">
        <f>HYPERLINK("https://klasma.github.io/Logging_1862/fåglar/A 27072-2026 prioriterade fågelarter.docx", "A 27072-2026")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46251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46251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46251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46251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46251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46251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46251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46251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46251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46251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45338</v>
      </c>
      <c r="E63" s="1" t="n">
        <v>46251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18675-2025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46251</v>
      </c>
      <c r="F64" t="inlineStr">
        <is>
          <t>ÖREBRO LÄN</t>
        </is>
      </c>
      <c r="G64" t="inlineStr">
        <is>
          <t>DEGERFORS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45116</v>
      </c>
      <c r="E65" s="1" t="n">
        <v>46251</v>
      </c>
      <c r="F65" t="inlineStr">
        <is>
          <t>ÖREBRO LÄN</t>
        </is>
      </c>
      <c r="G65" t="inlineStr">
        <is>
          <t>DEGERFORS</t>
        </is>
      </c>
      <c r="I65" t="n">
        <v>17.2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46251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38743-2022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46251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54139-2021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46251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44466</v>
      </c>
      <c r="E69" s="1" t="n">
        <v>46251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46251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46251</v>
      </c>
      <c r="F71" t="inlineStr">
        <is>
          <t>ÖREBRO LÄN</t>
        </is>
      </c>
      <c r="G71" t="inlineStr">
        <is>
          <t>DEGERFORS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67998-2021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44525</v>
      </c>
      <c r="E72" s="1" t="n">
        <v>46251</v>
      </c>
      <c r="F72" t="inlineStr">
        <is>
          <t>ÖREBRO LÄN</t>
        </is>
      </c>
      <c r="G72" t="inlineStr">
        <is>
          <t>DEGERFORS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44643</v>
      </c>
      <c r="E73" s="1" t="n">
        <v>46251</v>
      </c>
      <c r="F73" t="inlineStr">
        <is>
          <t>ÖREBRO LÄN</t>
        </is>
      </c>
      <c r="G73" t="inlineStr">
        <is>
          <t>DEGERFORS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46251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46251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46251</v>
      </c>
      <c r="F76" t="inlineStr">
        <is>
          <t>ÖREBRO LÄN</t>
        </is>
      </c>
      <c r="G76" t="inlineStr">
        <is>
          <t>DEGERFORS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46251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63008-2021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44505</v>
      </c>
      <c r="E78" s="1" t="n">
        <v>46251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46251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46251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46251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46251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46251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46251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46251</v>
      </c>
      <c r="F85" t="inlineStr">
        <is>
          <t>ÖREBRO LÄN</t>
        </is>
      </c>
      <c r="G85" t="inlineStr">
        <is>
          <t>DEGERFORS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46251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46251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46251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46251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45861-2023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45195</v>
      </c>
      <c r="E90" s="1" t="n">
        <v>46251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45338</v>
      </c>
      <c r="E91" s="1" t="n">
        <v>46251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9273-2026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46251</v>
      </c>
      <c r="F92" t="inlineStr">
        <is>
          <t>ÖREBRO LÄN</t>
        </is>
      </c>
      <c r="G92" t="inlineStr">
        <is>
          <t>DEGERFORS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46251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46251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46251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46251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59158-2022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44904</v>
      </c>
      <c r="E97" s="1" t="n">
        <v>46251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60907-2023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45261</v>
      </c>
      <c r="E98" s="1" t="n">
        <v>46251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46251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46251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46251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46251</v>
      </c>
      <c r="F102" t="inlineStr">
        <is>
          <t>ÖREBRO LÄN</t>
        </is>
      </c>
      <c r="G102" t="inlineStr">
        <is>
          <t>DEGERFORS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46092</v>
      </c>
      <c r="E103" s="1" t="n">
        <v>46251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46251</v>
      </c>
      <c r="F104" t="inlineStr">
        <is>
          <t>ÖREBRO LÄN</t>
        </is>
      </c>
      <c r="G104" t="inlineStr">
        <is>
          <t>DEGERFORS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46251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46251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46251</v>
      </c>
      <c r="F107" t="inlineStr">
        <is>
          <t>ÖREBRO LÄN</t>
        </is>
      </c>
      <c r="G107" t="inlineStr">
        <is>
          <t>DEGERFORS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46251</v>
      </c>
      <c r="F108" t="inlineStr">
        <is>
          <t>ÖREBRO LÄN</t>
        </is>
      </c>
      <c r="G108" t="inlineStr">
        <is>
          <t>DEGERFORS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45589</v>
      </c>
      <c r="E109" s="1" t="n">
        <v>46251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21952-2024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45443</v>
      </c>
      <c r="E110" s="1" t="n">
        <v>46251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46251</v>
      </c>
      <c r="F111" t="inlineStr">
        <is>
          <t>ÖREBRO LÄN</t>
        </is>
      </c>
      <c r="G111" t="inlineStr">
        <is>
          <t>DEGERFORS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46251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44552</v>
      </c>
      <c r="E113" s="1" t="n">
        <v>46251</v>
      </c>
      <c r="F113" t="inlineStr">
        <is>
          <t>ÖREBRO LÄN</t>
        </is>
      </c>
      <c r="G113" t="inlineStr">
        <is>
          <t>DEGERFORS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46251</v>
      </c>
      <c r="F114" t="inlineStr">
        <is>
          <t>ÖREBRO LÄN</t>
        </is>
      </c>
      <c r="G114" t="inlineStr">
        <is>
          <t>DEGERFORS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46251</v>
      </c>
      <c r="F115" t="inlineStr">
        <is>
          <t>ÖREBRO LÄN</t>
        </is>
      </c>
      <c r="G115" t="inlineStr">
        <is>
          <t>DEGERFORS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46251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46251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46251</v>
      </c>
      <c r="F118" t="inlineStr">
        <is>
          <t>ÖREBRO LÄN</t>
        </is>
      </c>
      <c r="G118" t="inlineStr">
        <is>
          <t>DEGERFORS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45365-2023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45192</v>
      </c>
      <c r="E119" s="1" t="n">
        <v>46251</v>
      </c>
      <c r="F119" t="inlineStr">
        <is>
          <t>ÖREBRO LÄN</t>
        </is>
      </c>
      <c r="G119" t="inlineStr">
        <is>
          <t>DEGERFORS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46251</v>
      </c>
      <c r="F120" t="inlineStr">
        <is>
          <t>ÖREBRO LÄN</t>
        </is>
      </c>
      <c r="G120" t="inlineStr">
        <is>
          <t>DEGERFORS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46251</v>
      </c>
      <c r="F121" t="inlineStr">
        <is>
          <t>ÖREBRO LÄN</t>
        </is>
      </c>
      <c r="G121" t="inlineStr">
        <is>
          <t>DEGERFORS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44986</v>
      </c>
      <c r="E122" s="1" t="n">
        <v>46251</v>
      </c>
      <c r="F122" t="inlineStr">
        <is>
          <t>ÖREBRO LÄN</t>
        </is>
      </c>
      <c r="G122" t="inlineStr">
        <is>
          <t>DEGERFORS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37672-2024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45541</v>
      </c>
      <c r="E123" s="1" t="n">
        <v>46251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46132</v>
      </c>
      <c r="E124" s="1" t="n">
        <v>46251</v>
      </c>
      <c r="F124" t="inlineStr">
        <is>
          <t>ÖREBRO LÄN</t>
        </is>
      </c>
      <c r="G124" t="inlineStr">
        <is>
          <t>DEGERFORS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46251</v>
      </c>
      <c r="F125" t="inlineStr">
        <is>
          <t>ÖREBRO LÄN</t>
        </is>
      </c>
      <c r="G125" t="inlineStr">
        <is>
          <t>DEGERFORS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44735-2021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44438</v>
      </c>
      <c r="E126" s="1" t="n">
        <v>46251</v>
      </c>
      <c r="F126" t="inlineStr">
        <is>
          <t>ÖREBRO LÄN</t>
        </is>
      </c>
      <c r="G126" t="inlineStr">
        <is>
          <t>DEGERFORS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46129</v>
      </c>
      <c r="E127" s="1" t="n">
        <v>46251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46251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46251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46251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44579</v>
      </c>
      <c r="E131" s="1" t="n">
        <v>46251</v>
      </c>
      <c r="F131" t="inlineStr">
        <is>
          <t>ÖREBRO LÄN</t>
        </is>
      </c>
      <c r="G131" t="inlineStr">
        <is>
          <t>DEGERFORS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46251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46251</v>
      </c>
      <c r="F133" t="inlineStr">
        <is>
          <t>ÖREBRO LÄN</t>
        </is>
      </c>
      <c r="G133" t="inlineStr">
        <is>
          <t>DEGERFORS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46251</v>
      </c>
      <c r="F134" t="inlineStr">
        <is>
          <t>ÖREBRO LÄN</t>
        </is>
      </c>
      <c r="G134" t="inlineStr">
        <is>
          <t>DEGERFORS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46251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10674-2024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45369</v>
      </c>
      <c r="E136" s="1" t="n">
        <v>46251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63905-2021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46251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46251</v>
      </c>
      <c r="F138" t="inlineStr">
        <is>
          <t>ÖREBRO LÄN</t>
        </is>
      </c>
      <c r="G138" t="inlineStr">
        <is>
          <t>DEGERFORS</t>
        </is>
      </c>
      <c r="I138" t="n">
        <v>13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46251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45376</v>
      </c>
      <c r="E140" s="1" t="n">
        <v>46251</v>
      </c>
      <c r="F140" t="inlineStr">
        <is>
          <t>ÖREBRO LÄN</t>
        </is>
      </c>
      <c r="G140" t="inlineStr">
        <is>
          <t>DEGERFORS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45621</v>
      </c>
      <c r="E141" s="1" t="n">
        <v>46251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45616</v>
      </c>
      <c r="E142" s="1" t="n">
        <v>46251</v>
      </c>
      <c r="F142" t="inlineStr">
        <is>
          <t>ÖREBRO LÄN</t>
        </is>
      </c>
      <c r="G142" t="inlineStr">
        <is>
          <t>DEGERFORS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20577-2023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45057</v>
      </c>
      <c r="E143" s="1" t="n">
        <v>46251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44989</v>
      </c>
      <c r="E144" s="1" t="n">
        <v>46251</v>
      </c>
      <c r="F144" t="inlineStr">
        <is>
          <t>ÖREBRO LÄN</t>
        </is>
      </c>
      <c r="G144" t="inlineStr">
        <is>
          <t>DEGERFORS</t>
        </is>
      </c>
      <c r="I144" t="n">
        <v>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44839</v>
      </c>
      <c r="E145" s="1" t="n">
        <v>46251</v>
      </c>
      <c r="F145" t="inlineStr">
        <is>
          <t>ÖREBRO LÄN</t>
        </is>
      </c>
      <c r="G145" t="inlineStr">
        <is>
          <t>DEGERFORS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45106</v>
      </c>
      <c r="E146" s="1" t="n">
        <v>46251</v>
      </c>
      <c r="F146" t="inlineStr">
        <is>
          <t>ÖREBRO LÄN</t>
        </is>
      </c>
      <c r="G146" t="inlineStr">
        <is>
          <t>DEGERFORS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46251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46251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46251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46251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45735</v>
      </c>
      <c r="E151" s="1" t="n">
        <v>46251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45233</v>
      </c>
      <c r="E152" s="1" t="n">
        <v>46251</v>
      </c>
      <c r="F152" t="inlineStr">
        <is>
          <t>ÖREBRO LÄN</t>
        </is>
      </c>
      <c r="G152" t="inlineStr">
        <is>
          <t>DEGERFORS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44816</v>
      </c>
      <c r="E153" s="1" t="n">
        <v>46251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46251</v>
      </c>
      <c r="F154" t="inlineStr">
        <is>
          <t>ÖREBRO LÄN</t>
        </is>
      </c>
      <c r="G154" t="inlineStr">
        <is>
          <t>DEGERFORS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46148</v>
      </c>
      <c r="E155" s="1" t="n">
        <v>46251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21442-2026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46251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46251</v>
      </c>
      <c r="F157" t="inlineStr">
        <is>
          <t>ÖREBRO LÄN</t>
        </is>
      </c>
      <c r="G157" t="inlineStr">
        <is>
          <t>DEGERFORS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46251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46251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46251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44986</v>
      </c>
      <c r="E161" s="1" t="n">
        <v>46251</v>
      </c>
      <c r="F161" t="inlineStr">
        <is>
          <t>ÖREBRO LÄN</t>
        </is>
      </c>
      <c r="G161" t="inlineStr">
        <is>
          <t>DEGERFORS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46251</v>
      </c>
      <c r="F162" t="inlineStr">
        <is>
          <t>ÖREBRO LÄN</t>
        </is>
      </c>
      <c r="G162" t="inlineStr">
        <is>
          <t>DEGERFORS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45384</v>
      </c>
      <c r="E163" s="1" t="n">
        <v>46251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46251</v>
      </c>
      <c r="F164" t="inlineStr">
        <is>
          <t>ÖREBRO LÄN</t>
        </is>
      </c>
      <c r="G164" t="inlineStr">
        <is>
          <t>DEGERFORS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45190</v>
      </c>
      <c r="E165" s="1" t="n">
        <v>46251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45581</v>
      </c>
      <c r="E166" s="1" t="n">
        <v>46251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46251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45645</v>
      </c>
      <c r="E168" s="1" t="n">
        <v>46251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46251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46251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61750-2021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46251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14678-2025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45742</v>
      </c>
      <c r="E172" s="1" t="n">
        <v>46251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46251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46251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46251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46251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46251</v>
      </c>
      <c r="F177" t="inlineStr">
        <is>
          <t>ÖREBRO LÄN</t>
        </is>
      </c>
      <c r="G177" t="inlineStr">
        <is>
          <t>DEGERFORS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46251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46251</v>
      </c>
      <c r="F179" t="inlineStr">
        <is>
          <t>ÖREBRO LÄN</t>
        </is>
      </c>
      <c r="G179" t="inlineStr">
        <is>
          <t>DEGERFORS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46251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45520</v>
      </c>
      <c r="E181" s="1" t="n">
        <v>46251</v>
      </c>
      <c r="F181" t="inlineStr">
        <is>
          <t>ÖREBRO LÄN</t>
        </is>
      </c>
      <c r="G181" t="inlineStr">
        <is>
          <t>DEGERFORS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46167</v>
      </c>
      <c r="E182" s="1" t="n">
        <v>46251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38233-2023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45160</v>
      </c>
      <c r="E183" s="1" t="n">
        <v>46251</v>
      </c>
      <c r="F183" t="inlineStr">
        <is>
          <t>ÖREBRO LÄN</t>
        </is>
      </c>
      <c r="G183" t="inlineStr">
        <is>
          <t>DEGERFORS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45223</v>
      </c>
      <c r="E184" s="1" t="n">
        <v>46251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62982-2023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45272</v>
      </c>
      <c r="E185" s="1" t="n">
        <v>46251</v>
      </c>
      <c r="F185" t="inlineStr">
        <is>
          <t>ÖREBRO LÄN</t>
        </is>
      </c>
      <c r="G185" t="inlineStr">
        <is>
          <t>DEGERFORS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46251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46251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46251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46251</v>
      </c>
      <c r="F189" t="inlineStr">
        <is>
          <t>ÖREBRO LÄN</t>
        </is>
      </c>
      <c r="G189" t="inlineStr">
        <is>
          <t>DEGERFORS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46251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46251</v>
      </c>
      <c r="F191" t="inlineStr">
        <is>
          <t>ÖREBRO LÄN</t>
        </is>
      </c>
      <c r="G191" t="inlineStr">
        <is>
          <t>DEGERFORS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46251</v>
      </c>
      <c r="F192" t="inlineStr">
        <is>
          <t>ÖREBRO LÄN</t>
        </is>
      </c>
      <c r="G192" t="inlineStr">
        <is>
          <t>DEGERFORS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46251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46251</v>
      </c>
      <c r="F194" t="inlineStr">
        <is>
          <t>ÖREBRO LÄN</t>
        </is>
      </c>
      <c r="G194" t="inlineStr">
        <is>
          <t>DEGERFORS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46251</v>
      </c>
      <c r="F195" t="inlineStr">
        <is>
          <t>ÖREBRO LÄN</t>
        </is>
      </c>
      <c r="G195" t="inlineStr">
        <is>
          <t>DEGERFORS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46251</v>
      </c>
      <c r="F196" t="inlineStr">
        <is>
          <t>ÖREBRO LÄN</t>
        </is>
      </c>
      <c r="G196" t="inlineStr">
        <is>
          <t>DEGERFORS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46251</v>
      </c>
      <c r="F197" t="inlineStr">
        <is>
          <t>ÖREBRO LÄN</t>
        </is>
      </c>
      <c r="G197" t="inlineStr">
        <is>
          <t>DEGERFORS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46251</v>
      </c>
      <c r="F198" t="inlineStr">
        <is>
          <t>ÖREBRO LÄN</t>
        </is>
      </c>
      <c r="G198" t="inlineStr">
        <is>
          <t>DEGERFORS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12143-2025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45729</v>
      </c>
      <c r="E199" s="1" t="n">
        <v>46251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46251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52523-2024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45609</v>
      </c>
      <c r="E201" s="1" t="n">
        <v>46251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46251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46251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46251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46251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46230</v>
      </c>
      <c r="E206" s="1" t="n">
        <v>46251</v>
      </c>
      <c r="F206" t="inlineStr">
        <is>
          <t>ÖREBRO LÄN</t>
        </is>
      </c>
      <c r="G206" t="inlineStr">
        <is>
          <t>DEGERFORS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44609</v>
      </c>
      <c r="E207" s="1" t="n">
        <v>46251</v>
      </c>
      <c r="F207" t="inlineStr">
        <is>
          <t>ÖREBRO LÄN</t>
        </is>
      </c>
      <c r="G207" t="inlineStr">
        <is>
          <t>DEGERFORS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45645</v>
      </c>
      <c r="E208" s="1" t="n">
        <v>46251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46251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44719</v>
      </c>
      <c r="E210" s="1" t="n">
        <v>46251</v>
      </c>
      <c r="F210" t="inlineStr">
        <is>
          <t>ÖREBRO LÄN</t>
        </is>
      </c>
      <c r="G210" t="inlineStr">
        <is>
          <t>DEGERFORS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46251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46231</v>
      </c>
      <c r="E212" s="1" t="n">
        <v>46251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46189</v>
      </c>
      <c r="E213" s="1" t="n">
        <v>46251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46231</v>
      </c>
      <c r="E214" s="1" t="n">
        <v>46251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46251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46251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46251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45222</v>
      </c>
      <c r="E218" s="1" t="n">
        <v>46251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46251</v>
      </c>
      <c r="F219" t="inlineStr">
        <is>
          <t>ÖREBRO LÄN</t>
        </is>
      </c>
      <c r="G219" t="inlineStr">
        <is>
          <t>DEGERFORS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46251</v>
      </c>
      <c r="F220" t="inlineStr">
        <is>
          <t>ÖREBRO LÄN</t>
        </is>
      </c>
      <c r="G220" t="inlineStr">
        <is>
          <t>DEGERFORS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46251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46251</v>
      </c>
      <c r="F222" t="inlineStr">
        <is>
          <t>ÖREBRO LÄN</t>
        </is>
      </c>
      <c r="G222" t="inlineStr">
        <is>
          <t>DEGERFORS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46251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32810-2026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46241</v>
      </c>
      <c r="E224" s="1" t="n">
        <v>46251</v>
      </c>
      <c r="F224" t="inlineStr">
        <is>
          <t>ÖREBRO LÄN</t>
        </is>
      </c>
      <c r="G224" t="inlineStr">
        <is>
          <t>DEGERFORS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46251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46251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46199</v>
      </c>
      <c r="E227" s="1" t="n">
        <v>46251</v>
      </c>
      <c r="F227" t="inlineStr">
        <is>
          <t>ÖREBRO LÄN</t>
        </is>
      </c>
      <c r="G227" t="inlineStr">
        <is>
          <t>DEGERFORS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45876</v>
      </c>
      <c r="E228" s="1" t="n">
        <v>46251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46251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46251</v>
      </c>
      <c r="F230" t="inlineStr">
        <is>
          <t>ÖREBRO LÄN</t>
        </is>
      </c>
      <c r="G230" t="inlineStr">
        <is>
          <t>DEGERFORS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46251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46251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11.9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46204</v>
      </c>
      <c r="E233" s="1" t="n">
        <v>46251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46251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46251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46251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46251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46251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46251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46251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46251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2026-08-17T01:47:22Z</dcterms:created>
  <dcterms:modified xmlns:dcterms="http://purl.org/dc/terms/" xmlns:xsi="http://www.w3.org/2001/XMLSchema-instance" xsi:type="dcterms:W3CDTF">2026-08-17T01:47:22Z</dcterms:modified>
</cp:coreProperties>
</file>