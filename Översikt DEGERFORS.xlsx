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46316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12719-2024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46316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11.7</v>
      </c>
      <c r="J10" t="n">
        <v>5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8</v>
      </c>
      <c r="T10" t="n">
        <v>22</v>
      </c>
      <c r="U10" t="n">
        <v>21</v>
      </c>
      <c r="V10" s="2" t="inlineStr">
        <is>
          <t>Jungfrulin
Motaggsvamp
Nordfladdermus
Svinrot
Tretåig hackspett
Tjäder
Åkergroda
Fläcknycklar</t>
        </is>
      </c>
      <c r="W10">
        <f>HYPERLINK("https://klasma.github.io/Logging_1862/artfynd/A 12719-2024 artfynd.xlsx", "A 12719-2024")</f>
        <v/>
      </c>
      <c r="X10">
        <f>HYPERLINK("https://klasma.github.io/Logging_1862/kartor/A 12719-2024 karta.png", "A 12719-2024")</f>
        <v/>
      </c>
      <c r="Y10">
        <f>HYPERLINK("https://klasma.github.io/Logging_1862/kartor_geotiff/A 12719-2024 georefererad karta.tif", "A 12719-2024")</f>
        <v/>
      </c>
      <c r="AA10">
        <f>HYPERLINK("https://klasma.github.io/Logging_1862/klagomål/A 12719-2024 FSC-klagomål.docx", "A 12719-2024")</f>
        <v/>
      </c>
      <c r="AB10">
        <f>HYPERLINK("https://klasma.github.io/Logging_1862/klagomålsmail/A 12719-2024 FSC-klagomål mail.docx", "A 12719-2024")</f>
        <v/>
      </c>
      <c r="AC10">
        <f>HYPERLINK("https://klasma.github.io/Logging_1862/tillsyn/A 12719-2024 tillsynsbegäran.docx", "A 12719-2024")</f>
        <v/>
      </c>
      <c r="AD10">
        <f>HYPERLINK("https://klasma.github.io/Logging_1862/tillsynsmail/A 12719-2024 tillsynsbegäran mail.docx", "A 12719-2024")</f>
        <v/>
      </c>
      <c r="AE10">
        <f>HYPERLINK("https://klasma.github.io/Logging_1862/fåglar/A 12719-2024 prioriterade fågelarter.docx", "A 12719-2024")</f>
        <v/>
      </c>
    </row>
    <row r="11" ht="15" customHeight="1">
      <c r="A11" t="inlineStr">
        <is>
          <t>A 25541-2023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45089</v>
      </c>
      <c r="E11" s="1" t="n">
        <v>46316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1.8</v>
      </c>
      <c r="J11" t="n">
        <v>2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8</v>
      </c>
      <c r="T11" t="n">
        <v>9</v>
      </c>
      <c r="U11" t="n">
        <v>9</v>
      </c>
      <c r="V11" s="2" t="inlineStr">
        <is>
          <t>Gräddticka
Gransotdyna
Tretåig hackspett
Ullticka
Vedflikmossa
Brandticka
Vedticka
Spillkråka</t>
        </is>
      </c>
      <c r="W11">
        <f>HYPERLINK("https://klasma.github.io/Logging_1862/artfynd/A 25541-2023 artfynd.xlsx", "A 25541-2023")</f>
        <v/>
      </c>
      <c r="X11">
        <f>HYPERLINK("https://klasma.github.io/Logging_1862/kartor/A 25541-2023 karta.png", "A 25541-2023")</f>
        <v/>
      </c>
      <c r="Y11">
        <f>HYPERLINK("https://klasma.github.io/Logging_1862/kartor_geotiff/A 25541-2023 georefererad karta.tif", "A 25541-2023")</f>
        <v/>
      </c>
      <c r="AA11">
        <f>HYPERLINK("https://klasma.github.io/Logging_1862/klagomål/A 25541-2023 FSC-klagomål.docx", "A 25541-2023")</f>
        <v/>
      </c>
      <c r="AB11">
        <f>HYPERLINK("https://klasma.github.io/Logging_1862/klagomålsmail/A 25541-2023 FSC-klagomål mail.docx", "A 25541-2023")</f>
        <v/>
      </c>
      <c r="AC11">
        <f>HYPERLINK("https://klasma.github.io/Logging_1862/tillsyn/A 25541-2023 tillsynsbegäran.docx", "A 25541-2023")</f>
        <v/>
      </c>
      <c r="AD11">
        <f>HYPERLINK("https://klasma.github.io/Logging_1862/tillsynsmail/A 25541-2023 tillsynsbegäran mail.docx", "A 25541-2023")</f>
        <v/>
      </c>
      <c r="AE11">
        <f>HYPERLINK("https://klasma.github.io/Logging_1862/fåglar/A 25541-2023 prioriterade fågelarter.docx", "A 25541-2023")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46316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46316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Mattlummer
Spillkråka
Sångsvan</t>
        </is>
      </c>
      <c r="W17">
        <f>HYPERLINK("https://klasma.github.io/Logging_1862/artfynd/A 38915-2023 artfynd.xlsx", "A 38915-2023")</f>
        <v/>
      </c>
      <c r="X17">
        <f>HYPERLINK("https://klasma.github.io/Logging_1862/kartor/A 38915-2023 karta.png", "A 38915-2023")</f>
        <v/>
      </c>
      <c r="Y17">
        <f>HYPERLINK("https://klasma.github.io/Logging_1862/kartor_geotiff/A 38915-2023 georefererad karta.tif", "A 38915-2023")</f>
        <v/>
      </c>
      <c r="AA17">
        <f>HYPERLINK("https://klasma.github.io/Logging_1862/klagomål/A 38915-2023 FSC-klagomål.docx", "A 38915-2023")</f>
        <v/>
      </c>
      <c r="AB17">
        <f>HYPERLINK("https://klasma.github.io/Logging_1862/klagomålsmail/A 38915-2023 FSC-klagomål mail.docx", "A 38915-2023")</f>
        <v/>
      </c>
      <c r="AC17">
        <f>HYPERLINK("https://klasma.github.io/Logging_1862/tillsyn/A 38915-2023 tillsynsbegäran.docx", "A 38915-2023")</f>
        <v/>
      </c>
      <c r="AD17">
        <f>HYPERLINK("https://klasma.github.io/Logging_1862/tillsynsmail/A 38915-2023 tillsynsbegäran mail.docx", "A 38915-2023")</f>
        <v/>
      </c>
      <c r="AE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46316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Spillkråka
Kungsfågel
Revlummer</t>
        </is>
      </c>
      <c r="W18">
        <f>HYPERLINK("https://klasma.github.io/Logging_1862/artfynd/A 48284-2023 artfynd.xlsx", "A 48284-2023")</f>
        <v/>
      </c>
      <c r="X18">
        <f>HYPERLINK("https://klasma.github.io/Logging_1862/kartor/A 48284-2023 karta.png", "A 48284-2023")</f>
        <v/>
      </c>
      <c r="Y18">
        <f>HYPERLINK("https://klasma.github.io/Logging_1862/kartor_geotiff/A 48284-2023 georefererad karta.tif", "A 48284-2023")</f>
        <v/>
      </c>
      <c r="AA18">
        <f>HYPERLINK("https://klasma.github.io/Logging_1862/klagomål/A 48284-2023 FSC-klagomål.docx", "A 48284-2023")</f>
        <v/>
      </c>
      <c r="AB18">
        <f>HYPERLINK("https://klasma.github.io/Logging_1862/klagomålsmail/A 48284-2023 FSC-klagomål mail.docx", "A 48284-2023")</f>
        <v/>
      </c>
      <c r="AC18">
        <f>HYPERLINK("https://klasma.github.io/Logging_1862/tillsyn/A 48284-2023 tillsynsbegäran.docx", "A 48284-2023")</f>
        <v/>
      </c>
      <c r="AD18">
        <f>HYPERLINK("https://klasma.github.io/Logging_1862/tillsynsmail/A 48284-2023 tillsynsbegäran mail.docx", "A 48284-2023")</f>
        <v/>
      </c>
      <c r="AE18">
        <f>HYPERLINK("https://klasma.github.io/Logging_1862/fåglar/A 48284-2023 prioriterade fågelarter.docx", "A 48284-2023")</f>
        <v/>
      </c>
    </row>
    <row r="19" ht="15" customHeight="1">
      <c r="A19" t="inlineStr">
        <is>
          <t>A 12720-2024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46316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5.1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7</v>
      </c>
      <c r="U19" t="n">
        <v>7</v>
      </c>
      <c r="V19" s="2" t="inlineStr">
        <is>
          <t>Nordfladdermus
Svinrot
Tretåig hackspett
Fläcknycklar</t>
        </is>
      </c>
      <c r="W19">
        <f>HYPERLINK("https://klasma.github.io/Logging_1862/artfynd/A 12720-2024 artfynd.xlsx", "A 12720-2024")</f>
        <v/>
      </c>
      <c r="X19">
        <f>HYPERLINK("https://klasma.github.io/Logging_1862/kartor/A 12720-2024 karta.png", "A 12720-2024")</f>
        <v/>
      </c>
      <c r="Y19">
        <f>HYPERLINK("https://klasma.github.io/Logging_1862/kartor_geotiff/A 12720-2024 georefererad karta.tif", "A 12720-2024")</f>
        <v/>
      </c>
      <c r="AA19">
        <f>HYPERLINK("https://klasma.github.io/Logging_1862/klagomål/A 12720-2024 FSC-klagomål.docx", "A 12720-2024")</f>
        <v/>
      </c>
      <c r="AB19">
        <f>HYPERLINK("https://klasma.github.io/Logging_1862/klagomålsmail/A 12720-2024 FSC-klagomål mail.docx", "A 12720-2024")</f>
        <v/>
      </c>
      <c r="AC19">
        <f>HYPERLINK("https://klasma.github.io/Logging_1862/tillsyn/A 12720-2024 tillsynsbegäran.docx", "A 12720-2024")</f>
        <v/>
      </c>
      <c r="AD19">
        <f>HYPERLINK("https://klasma.github.io/Logging_1862/tillsynsmail/A 12720-2024 tillsynsbegäran mail.docx", "A 12720-2024")</f>
        <v/>
      </c>
      <c r="AE19">
        <f>HYPERLINK("https://klasma.github.io/Logging_1862/fåglar/A 12720-2024 prioriterade fågelarter.docx", "A 12720-2024")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46316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46316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46316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46316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46316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46316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46316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Skogsklocka
Slåtterfibbla</t>
        </is>
      </c>
      <c r="W29">
        <f>HYPERLINK("https://klasma.github.io/Logging_1862/artfynd/A 4256-2026 artfynd.xlsx", "A 4256-2026")</f>
        <v/>
      </c>
      <c r="X29">
        <f>HYPERLINK("https://klasma.github.io/Logging_1862/kartor/A 4256-2026 karta.png", "A 4256-2026")</f>
        <v/>
      </c>
      <c r="Y29">
        <f>HYPERLINK("https://klasma.github.io/Logging_1862/kartor_geotiff/A 4256-2026 georefererad karta.tif", "A 4256-2026")</f>
        <v/>
      </c>
      <c r="AA29">
        <f>HYPERLINK("https://klasma.github.io/Logging_1862/klagomål/A 4256-2026 FSC-klagomål.docx", "A 4256-2026")</f>
        <v/>
      </c>
      <c r="AB29">
        <f>HYPERLINK("https://klasma.github.io/Logging_1862/klagomålsmail/A 4256-2026 FSC-klagomål mail.docx", "A 4256-2026")</f>
        <v/>
      </c>
      <c r="AC29">
        <f>HYPERLINK("https://klasma.github.io/Logging_1862/tillsyn/A 4256-2026 tillsynsbegäran.docx", "A 4256-2026")</f>
        <v/>
      </c>
      <c r="AD29">
        <f>HYPERLINK("https://klasma.github.io/Logging_1862/tillsynsmail/A 4256-2026 tillsynsbegäran mail.docx", "A 4256-2026")</f>
        <v/>
      </c>
    </row>
    <row r="30" ht="15" customHeight="1">
      <c r="A30" t="inlineStr">
        <is>
          <t>A 47785-2025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46316</v>
      </c>
      <c r="F30" t="inlineStr">
        <is>
          <t>ÖREBRO LÄN</t>
        </is>
      </c>
      <c r="G30" t="inlineStr">
        <is>
          <t>DEGERFORS</t>
        </is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Spillkråka
Kungsfågel</t>
        </is>
      </c>
      <c r="W30">
        <f>HYPERLINK("https://klasma.github.io/Logging_1862/artfynd/A 47785-2025 artfynd.xlsx", "A 47785-2025")</f>
        <v/>
      </c>
      <c r="X30">
        <f>HYPERLINK("https://klasma.github.io/Logging_1862/kartor/A 47785-2025 karta.png", "A 47785-2025")</f>
        <v/>
      </c>
      <c r="Y30">
        <f>HYPERLINK("https://klasma.github.io/Logging_1862/kartor_geotiff/A 47785-2025 georefererad karta.tif", "A 47785-2025")</f>
        <v/>
      </c>
      <c r="AA30">
        <f>HYPERLINK("https://klasma.github.io/Logging_1862/klagomål/A 47785-2025 FSC-klagomål.docx", "A 47785-2025")</f>
        <v/>
      </c>
      <c r="AB30">
        <f>HYPERLINK("https://klasma.github.io/Logging_1862/klagomålsmail/A 47785-2025 FSC-klagomål mail.docx", "A 47785-2025")</f>
        <v/>
      </c>
      <c r="AC30">
        <f>HYPERLINK("https://klasma.github.io/Logging_1862/tillsyn/A 47785-2025 tillsynsbegäran.docx", "A 47785-2025")</f>
        <v/>
      </c>
      <c r="AD30">
        <f>HYPERLINK("https://klasma.github.io/Logging_1862/tillsynsmail/A 47785-2025 tillsynsbegäran mail.docx", "A 47785-2025")</f>
        <v/>
      </c>
      <c r="AE30">
        <f>HYPERLINK("https://klasma.github.io/Logging_1862/fåglar/A 47785-2025 prioriterade fågelarter.docx", "A 47785-2025")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46316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38907-2023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46316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HYPERLINK("https://klasma.github.io/Logging_1862/artfynd/A 38907-2023 artfynd.xlsx", "A 38907-2023")</f>
        <v/>
      </c>
      <c r="X33">
        <f>HYPERLINK("https://klasma.github.io/Logging_1862/kartor/A 38907-2023 karta.png", "A 38907-2023")</f>
        <v/>
      </c>
      <c r="Y33">
        <f>HYPERLINK("https://klasma.github.io/Logging_1862/kartor_geotiff/A 38907-2023 georefererad karta.tif", "A 38907-2023")</f>
        <v/>
      </c>
      <c r="AA33">
        <f>HYPERLINK("https://klasma.github.io/Logging_1862/klagomål/A 38907-2023 FSC-klagomål.docx", "A 38907-2023")</f>
        <v/>
      </c>
      <c r="AB33">
        <f>HYPERLINK("https://klasma.github.io/Logging_1862/klagomålsmail/A 38907-2023 FSC-klagomål mail.docx", "A 38907-2023")</f>
        <v/>
      </c>
      <c r="AC33">
        <f>HYPERLINK("https://klasma.github.io/Logging_1862/tillsyn/A 38907-2023 tillsynsbegäran.docx", "A 38907-2023")</f>
        <v/>
      </c>
      <c r="AD33">
        <f>HYPERLINK("https://klasma.github.io/Logging_1862/tillsynsmail/A 38907-2023 tillsynsbegäran mail.docx", "A 38907-2023")</f>
        <v/>
      </c>
      <c r="AE33">
        <f>HYPERLINK("https://klasma.github.io/Logging_1862/fåglar/A 38907-2023 prioriterade fågelarter.docx", "A 38907-2023")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46316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46316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46316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46316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46316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47787-2025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46316</v>
      </c>
      <c r="F39" t="inlineStr">
        <is>
          <t>ÖREBRO LÄN</t>
        </is>
      </c>
      <c r="G39" t="inlineStr">
        <is>
          <t>DEGERFORS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Tretåig hackspett</t>
        </is>
      </c>
      <c r="W39">
        <f>HYPERLINK("https://klasma.github.io/Logging_1862/artfynd/A 47787-2025 artfynd.xlsx", "A 47787-2025")</f>
        <v/>
      </c>
      <c r="X39">
        <f>HYPERLINK("https://klasma.github.io/Logging_1862/kartor/A 47787-2025 karta.png", "A 47787-2025")</f>
        <v/>
      </c>
      <c r="Y39">
        <f>HYPERLINK("https://klasma.github.io/Logging_1862/kartor_geotiff/A 47787-2025 georefererad karta.tif", "A 47787-2025")</f>
        <v/>
      </c>
      <c r="AA39">
        <f>HYPERLINK("https://klasma.github.io/Logging_1862/klagomål/A 47787-2025 FSC-klagomål.docx", "A 47787-2025")</f>
        <v/>
      </c>
      <c r="AB39">
        <f>HYPERLINK("https://klasma.github.io/Logging_1862/klagomålsmail/A 47787-2025 FSC-klagomål mail.docx", "A 47787-2025")</f>
        <v/>
      </c>
      <c r="AC39">
        <f>HYPERLINK("https://klasma.github.io/Logging_1862/tillsyn/A 47787-2025 tillsynsbegäran.docx", "A 47787-2025")</f>
        <v/>
      </c>
      <c r="AD39">
        <f>HYPERLINK("https://klasma.github.io/Logging_1862/tillsynsmail/A 47787-2025 tillsynsbegäran mail.docx", "A 47787-2025")</f>
        <v/>
      </c>
      <c r="AE39">
        <f>HYPERLINK("https://klasma.github.io/Logging_1862/fåglar/A 47787-2025 prioriterade fågelarter.docx", "A 47787-2025")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46316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14121-2022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46316</v>
      </c>
      <c r="F41" t="inlineStr">
        <is>
          <t>ÖREBRO LÄN</t>
        </is>
      </c>
      <c r="G41" t="inlineStr">
        <is>
          <t>DEGERFORS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Hårklomossa</t>
        </is>
      </c>
      <c r="W41">
        <f>HYPERLINK("https://klasma.github.io/Logging_1862/artfynd/A 14121-2022 artfynd.xlsx", "A 14121-2022")</f>
        <v/>
      </c>
      <c r="X41">
        <f>HYPERLINK("https://klasma.github.io/Logging_1862/kartor/A 14121-2022 karta.png", "A 14121-2022")</f>
        <v/>
      </c>
      <c r="Y41">
        <f>HYPERLINK("https://klasma.github.io/Logging_1862/kartor_geotiff/A 14121-2022 georefererad karta.tif", "A 14121-2022")</f>
        <v/>
      </c>
      <c r="AA41">
        <f>HYPERLINK("https://klasma.github.io/Logging_1862/klagomål/A 14121-2022 FSC-klagomål.docx", "A 14121-2022")</f>
        <v/>
      </c>
      <c r="AB41">
        <f>HYPERLINK("https://klasma.github.io/Logging_1862/klagomålsmail/A 14121-2022 FSC-klagomål mail.docx", "A 14121-2022")</f>
        <v/>
      </c>
      <c r="AC41">
        <f>HYPERLINK("https://klasma.github.io/Logging_1862/tillsyn/A 14121-2022 tillsynsbegäran.docx", "A 14121-2022")</f>
        <v/>
      </c>
      <c r="AD41">
        <f>HYPERLINK("https://klasma.github.io/Logging_1862/tillsynsmail/A 14121-2022 tillsynsbegäran mail.docx", "A 14121-2022")</f>
        <v/>
      </c>
    </row>
    <row r="42" ht="15" customHeight="1">
      <c r="A42" t="inlineStr">
        <is>
          <t>A 27071-2026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46186</v>
      </c>
      <c r="E42" s="1" t="n">
        <v>46316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Vedticka</t>
        </is>
      </c>
      <c r="W42">
        <f>HYPERLINK("https://klasma.github.io/Logging_1862/artfynd/A 27071-2026 artfynd.xlsx", "A 27071-2026")</f>
        <v/>
      </c>
      <c r="X42">
        <f>HYPERLINK("https://klasma.github.io/Logging_1862/kartor/A 27071-2026 karta.png", "A 27071-2026")</f>
        <v/>
      </c>
      <c r="Y42">
        <f>HYPERLINK("https://klasma.github.io/Logging_1862/kartor_geotiff/A 27071-2026 georefererad karta.tif", "A 27071-2026")</f>
        <v/>
      </c>
      <c r="AA42">
        <f>HYPERLINK("https://klasma.github.io/Logging_1862/klagomål/A 27071-2026 FSC-klagomål.docx", "A 27071-2026")</f>
        <v/>
      </c>
      <c r="AB42">
        <f>HYPERLINK("https://klasma.github.io/Logging_1862/klagomålsmail/A 27071-2026 FSC-klagomål mail.docx", "A 27071-2026")</f>
        <v/>
      </c>
      <c r="AC42">
        <f>HYPERLINK("https://klasma.github.io/Logging_1862/tillsyn/A 27071-2026 tillsynsbegäran.docx", "A 27071-2026")</f>
        <v/>
      </c>
      <c r="AD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7.6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HYPERLINK("https://klasma.github.io/Logging_1862/artfynd/A 27072-2026 artfynd.xlsx", "A 27072-2026")</f>
        <v/>
      </c>
      <c r="X43">
        <f>HYPERLINK("https://klasma.github.io/Logging_1862/kartor/A 27072-2026 karta.png", "A 27072-2026")</f>
        <v/>
      </c>
      <c r="Y43">
        <f>HYPERLINK("https://klasma.github.io/Logging_1862/kartor_geotiff/A 27072-2026 georefererad karta.tif", "A 27072-2026")</f>
        <v/>
      </c>
      <c r="AA43">
        <f>HYPERLINK("https://klasma.github.io/Logging_1862/klagomål/A 27072-2026 FSC-klagomål.docx", "A 27072-2026")</f>
        <v/>
      </c>
      <c r="AB43">
        <f>HYPERLINK("https://klasma.github.io/Logging_1862/klagomålsmail/A 27072-2026 FSC-klagomål mail.docx", "A 27072-2026")</f>
        <v/>
      </c>
      <c r="AC43">
        <f>HYPERLINK("https://klasma.github.io/Logging_1862/tillsyn/A 27072-2026 tillsynsbegäran.docx", "A 27072-2026")</f>
        <v/>
      </c>
      <c r="AD43">
        <f>HYPERLINK("https://klasma.github.io/Logging_1862/tillsynsmail/A 27072-2026 tillsynsbegäran mail.docx", "A 27072-2026")</f>
        <v/>
      </c>
      <c r="AE43">
        <f>HYPERLINK("https://klasma.github.io/Logging_1862/fåglar/A 27072-2026 prioriterade fågelarter.docx", "A 27072-2026")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46316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26971-2026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46316</v>
      </c>
      <c r="F45" t="inlineStr">
        <is>
          <t>ÖREBRO LÄN</t>
        </is>
      </c>
      <c r="G45" t="inlineStr">
        <is>
          <t>DEGERFORS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HYPERLINK("https://klasma.github.io/Logging_1862/artfynd/A 26971-2026 artfynd.xlsx", "A 26971-2026")</f>
        <v/>
      </c>
      <c r="X45">
        <f>HYPERLINK("https://klasma.github.io/Logging_1862/kartor/A 26971-2026 karta.png", "A 26971-2026")</f>
        <v/>
      </c>
      <c r="Y45">
        <f>HYPERLINK("https://klasma.github.io/Logging_1862/kartor_geotiff/A 26971-2026 georefererad karta.tif", "A 26971-2026")</f>
        <v/>
      </c>
      <c r="AA45">
        <f>HYPERLINK("https://klasma.github.io/Logging_1862/klagomål/A 26971-2026 FSC-klagomål.docx", "A 26971-2026")</f>
        <v/>
      </c>
      <c r="AB45">
        <f>HYPERLINK("https://klasma.github.io/Logging_1862/klagomålsmail/A 26971-2026 FSC-klagomål mail.docx", "A 26971-2026")</f>
        <v/>
      </c>
      <c r="AC45">
        <f>HYPERLINK("https://klasma.github.io/Logging_1862/tillsyn/A 26971-2026 tillsynsbegäran.docx", "A 26971-2026")</f>
        <v/>
      </c>
      <c r="AD45">
        <f>HYPERLINK("https://klasma.github.io/Logging_1862/tillsynsmail/A 26971-2026 tillsynsbegäran mail.docx", "A 26971-2026")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46316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47915-2024 artfynd.xlsx", "A 47915-2024")</f>
        <v/>
      </c>
      <c r="X46">
        <f>HYPERLINK("https://klasma.github.io/Logging_1862/kartor/A 47915-2024 karta.png", "A 47915-2024")</f>
        <v/>
      </c>
      <c r="Y46">
        <f>HYPERLINK("https://klasma.github.io/Logging_1862/kartor_geotiff/A 47915-2024 georefererad karta.tif", "A 47915-2024")</f>
        <v/>
      </c>
      <c r="AA46">
        <f>HYPERLINK("https://klasma.github.io/Logging_1862/klagomål/A 47915-2024 FSC-klagomål.docx", "A 47915-2024")</f>
        <v/>
      </c>
      <c r="AB46">
        <f>HYPERLINK("https://klasma.github.io/Logging_1862/klagomålsmail/A 47915-2024 FSC-klagomål mail.docx", "A 47915-2024")</f>
        <v/>
      </c>
      <c r="AC46">
        <f>HYPERLINK("https://klasma.github.io/Logging_1862/tillsyn/A 47915-2024 tillsynsbegäran.docx", "A 47915-2024")</f>
        <v/>
      </c>
      <c r="AD46">
        <f>HYPERLINK("https://klasma.github.io/Logging_1862/tillsynsmail/A 47915-2024 tillsynsbegäran mail.docx", "A 47915-2024")</f>
        <v/>
      </c>
    </row>
    <row r="47" ht="15" customHeight="1">
      <c r="A47" t="inlineStr">
        <is>
          <t>A 42337-2026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46316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42337-2026 artfynd.xlsx", "A 42337-2026")</f>
        <v/>
      </c>
      <c r="X47">
        <f>HYPERLINK("https://klasma.github.io/Logging_1862/kartor/A 42337-2026 karta.png", "A 42337-2026")</f>
        <v/>
      </c>
      <c r="Y47">
        <f>HYPERLINK("https://klasma.github.io/Logging_1862/kartor_geotiff/A 42337-2026 georefererad karta.tif", "A 42337-2026")</f>
        <v/>
      </c>
      <c r="AA47">
        <f>HYPERLINK("https://klasma.github.io/Logging_1862/klagomål/A 42337-2026 FSC-klagomål.docx", "A 42337-2026")</f>
        <v/>
      </c>
      <c r="AB47">
        <f>HYPERLINK("https://klasma.github.io/Logging_1862/klagomålsmail/A 42337-2026 FSC-klagomål mail.docx", "A 42337-2026")</f>
        <v/>
      </c>
      <c r="AC47">
        <f>HYPERLINK("https://klasma.github.io/Logging_1862/tillsyn/A 42337-2026 tillsynsbegäran.docx", "A 42337-2026")</f>
        <v/>
      </c>
      <c r="AD47">
        <f>HYPERLINK("https://klasma.github.io/Logging_1862/tillsynsmail/A 42337-2026 tillsynsbegäran mail.docx", "A 42337-2026")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46316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46316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46316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46316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46316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46316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46316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46316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46316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46316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46316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46316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46316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46316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46316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46316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46316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45763</v>
      </c>
      <c r="E65" s="1" t="n">
        <v>46316</v>
      </c>
      <c r="F65" t="inlineStr">
        <is>
          <t>ÖREBRO LÄN</t>
        </is>
      </c>
      <c r="G65" t="inlineStr">
        <is>
          <t>DEGERFORS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46316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37672-2024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45541</v>
      </c>
      <c r="E67" s="1" t="n">
        <v>46316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46316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45624</v>
      </c>
      <c r="E69" s="1" t="n">
        <v>46316</v>
      </c>
      <c r="F69" t="inlineStr">
        <is>
          <t>ÖREBRO LÄN</t>
        </is>
      </c>
      <c r="G69" t="inlineStr">
        <is>
          <t>DEGERFORS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46316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46316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46316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46316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46316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46316</v>
      </c>
      <c r="F75" t="inlineStr">
        <is>
          <t>ÖREBRO LÄN</t>
        </is>
      </c>
      <c r="G75" t="inlineStr">
        <is>
          <t>DEGERFORS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46316</v>
      </c>
      <c r="F76" t="inlineStr">
        <is>
          <t>ÖREBRO LÄN</t>
        </is>
      </c>
      <c r="G76" t="inlineStr">
        <is>
          <t>DEGERFORS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46316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46316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45810</v>
      </c>
      <c r="E79" s="1" t="n">
        <v>46316</v>
      </c>
      <c r="F79" t="inlineStr">
        <is>
          <t>ÖREBRO LÄN</t>
        </is>
      </c>
      <c r="G79" t="inlineStr">
        <is>
          <t>DEGERFORS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45810</v>
      </c>
      <c r="E80" s="1" t="n">
        <v>46316</v>
      </c>
      <c r="F80" t="inlineStr">
        <is>
          <t>ÖREBRO LÄN</t>
        </is>
      </c>
      <c r="G80" t="inlineStr">
        <is>
          <t>DEGERFORS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45535</v>
      </c>
      <c r="E81" s="1" t="n">
        <v>46316</v>
      </c>
      <c r="F81" t="inlineStr">
        <is>
          <t>ÖREBRO LÄN</t>
        </is>
      </c>
      <c r="G81" t="inlineStr">
        <is>
          <t>DEGERFORS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46316</v>
      </c>
      <c r="F82" t="inlineStr">
        <is>
          <t>ÖREBRO LÄN</t>
        </is>
      </c>
      <c r="G82" t="inlineStr">
        <is>
          <t>DEGERFORS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45163</v>
      </c>
      <c r="E83" s="1" t="n">
        <v>46316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46316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46316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46316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46316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46316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46316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46316</v>
      </c>
      <c r="F91" t="inlineStr">
        <is>
          <t>ÖREBRO LÄN</t>
        </is>
      </c>
      <c r="G91" t="inlineStr">
        <is>
          <t>DEGERFORS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46316</v>
      </c>
      <c r="F92" t="inlineStr">
        <is>
          <t>ÖREBRO LÄN</t>
        </is>
      </c>
      <c r="G92" t="inlineStr">
        <is>
          <t>DEGERFORS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46316</v>
      </c>
      <c r="F93" t="inlineStr">
        <is>
          <t>ÖREBRO LÄN</t>
        </is>
      </c>
      <c r="G93" t="inlineStr">
        <is>
          <t>DEGERFORS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46316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46316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46316</v>
      </c>
      <c r="F96" t="inlineStr">
        <is>
          <t>ÖREBRO LÄN</t>
        </is>
      </c>
      <c r="G96" t="inlineStr">
        <is>
          <t>DEGERFORS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46316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45261</v>
      </c>
      <c r="E98" s="1" t="n">
        <v>46316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46092</v>
      </c>
      <c r="E99" s="1" t="n">
        <v>46316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46316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46316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46316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46316</v>
      </c>
      <c r="F103" t="inlineStr">
        <is>
          <t>ÖREBRO LÄN</t>
        </is>
      </c>
      <c r="G103" t="inlineStr">
        <is>
          <t>DEGERFORS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46316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46316</v>
      </c>
      <c r="F105" t="inlineStr">
        <is>
          <t>ÖREBRO LÄN</t>
        </is>
      </c>
      <c r="G105" t="inlineStr">
        <is>
          <t>DEGERFORS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46316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46316</v>
      </c>
      <c r="F107" t="inlineStr">
        <is>
          <t>ÖREBRO LÄN</t>
        </is>
      </c>
      <c r="G107" t="inlineStr">
        <is>
          <t>DEGERFORS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46316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46316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46316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45979</v>
      </c>
      <c r="E111" s="1" t="n">
        <v>46316</v>
      </c>
      <c r="F111" t="inlineStr">
        <is>
          <t>ÖREBRO LÄN</t>
        </is>
      </c>
      <c r="G111" t="inlineStr">
        <is>
          <t>DEGERFORS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45233</v>
      </c>
      <c r="E112" s="1" t="n">
        <v>46316</v>
      </c>
      <c r="F112" t="inlineStr">
        <is>
          <t>ÖREBRO LÄN</t>
        </is>
      </c>
      <c r="G112" t="inlineStr">
        <is>
          <t>DEGERFORS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46316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46316</v>
      </c>
      <c r="F114" t="inlineStr">
        <is>
          <t>ÖREBRO LÄN</t>
        </is>
      </c>
      <c r="G114" t="inlineStr">
        <is>
          <t>DEGERFORS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46316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46316</v>
      </c>
      <c r="F116" t="inlineStr">
        <is>
          <t>ÖREBRO LÄN</t>
        </is>
      </c>
      <c r="G116" t="inlineStr">
        <is>
          <t>DEGERFORS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46316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46316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38233-2023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45160</v>
      </c>
      <c r="E119" s="1" t="n">
        <v>46316</v>
      </c>
      <c r="F119" t="inlineStr">
        <is>
          <t>ÖREBRO LÄN</t>
        </is>
      </c>
      <c r="G119" t="inlineStr">
        <is>
          <t>DEGERFORS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46316</v>
      </c>
      <c r="F120" t="inlineStr">
        <is>
          <t>ÖREBRO LÄN</t>
        </is>
      </c>
      <c r="G120" t="inlineStr">
        <is>
          <t>DEGERFORS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46316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10674-2024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45369</v>
      </c>
      <c r="E122" s="1" t="n">
        <v>46316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46316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73693-2021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44552</v>
      </c>
      <c r="E124" s="1" t="n">
        <v>46316</v>
      </c>
      <c r="F124" t="inlineStr">
        <is>
          <t>ÖREBRO LÄN</t>
        </is>
      </c>
      <c r="G124" t="inlineStr">
        <is>
          <t>DEGERFORS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46316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46316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46316</v>
      </c>
      <c r="F127" t="inlineStr">
        <is>
          <t>ÖREBRO LÄN</t>
        </is>
      </c>
      <c r="G127" t="inlineStr">
        <is>
          <t>DEGERFORS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46316</v>
      </c>
      <c r="F128" t="inlineStr">
        <is>
          <t>ÖREBRO LÄN</t>
        </is>
      </c>
      <c r="G128" t="inlineStr">
        <is>
          <t>DEGERFORS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46316</v>
      </c>
      <c r="F129" t="inlineStr">
        <is>
          <t>ÖREBRO LÄN</t>
        </is>
      </c>
      <c r="G129" t="inlineStr">
        <is>
          <t>DEGERFORS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46316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46316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46316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37333-2025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45876</v>
      </c>
      <c r="E133" s="1" t="n">
        <v>46316</v>
      </c>
      <c r="F133" t="inlineStr">
        <is>
          <t>ÖREBRO LÄN</t>
        </is>
      </c>
      <c r="G133" t="inlineStr">
        <is>
          <t>DEGERFORS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45876</v>
      </c>
      <c r="E134" s="1" t="n">
        <v>46316</v>
      </c>
      <c r="F134" t="inlineStr">
        <is>
          <t>ÖREBRO LÄN</t>
        </is>
      </c>
      <c r="G134" t="inlineStr">
        <is>
          <t>DEGERFORS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46316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46316</v>
      </c>
      <c r="F136" t="inlineStr">
        <is>
          <t>ÖREBRO LÄN</t>
        </is>
      </c>
      <c r="G136" t="inlineStr">
        <is>
          <t>DEGERFORS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46316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46316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46316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46316</v>
      </c>
      <c r="F140" t="inlineStr">
        <is>
          <t>ÖREBRO LÄN</t>
        </is>
      </c>
      <c r="G140" t="inlineStr">
        <is>
          <t>DEGERFORS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45351</v>
      </c>
      <c r="E141" s="1" t="n">
        <v>46316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46316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46316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46316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21952-2024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45443</v>
      </c>
      <c r="E145" s="1" t="n">
        <v>46316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46162</v>
      </c>
      <c r="E146" s="1" t="n">
        <v>46316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46316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45272</v>
      </c>
      <c r="E148" s="1" t="n">
        <v>46316</v>
      </c>
      <c r="F148" t="inlineStr">
        <is>
          <t>ÖREBRO LÄN</t>
        </is>
      </c>
      <c r="G148" t="inlineStr">
        <is>
          <t>DEGERFORS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14678-2025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45742</v>
      </c>
      <c r="E149" s="1" t="n">
        <v>46316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12143-2025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45729</v>
      </c>
      <c r="E150" s="1" t="n">
        <v>46316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46316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46316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20577-2023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45057</v>
      </c>
      <c r="E153" s="1" t="n">
        <v>46316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46170</v>
      </c>
      <c r="E154" s="1" t="n">
        <v>46316</v>
      </c>
      <c r="F154" t="inlineStr">
        <is>
          <t>ÖREBRO LÄN</t>
        </is>
      </c>
      <c r="G154" t="inlineStr">
        <is>
          <t>DEGERFORS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46316</v>
      </c>
      <c r="F155" t="inlineStr">
        <is>
          <t>ÖREBRO LÄN</t>
        </is>
      </c>
      <c r="G155" t="inlineStr">
        <is>
          <t>DEGERFORS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45192</v>
      </c>
      <c r="E156" s="1" t="n">
        <v>46316</v>
      </c>
      <c r="F156" t="inlineStr">
        <is>
          <t>ÖREBRO LÄN</t>
        </is>
      </c>
      <c r="G156" t="inlineStr">
        <is>
          <t>DEGERFORS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6387-2024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45338</v>
      </c>
      <c r="E157" s="1" t="n">
        <v>46316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46316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46316</v>
      </c>
      <c r="F159" t="inlineStr">
        <is>
          <t>ÖREBRO LÄN</t>
        </is>
      </c>
      <c r="G159" t="inlineStr">
        <is>
          <t>DEGERFORS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6394-2024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45338</v>
      </c>
      <c r="E160" s="1" t="n">
        <v>46316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46316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46316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46316</v>
      </c>
      <c r="F163" t="inlineStr">
        <is>
          <t>ÖREBRO LÄN</t>
        </is>
      </c>
      <c r="G163" t="inlineStr">
        <is>
          <t>DEGERFORS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46316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46316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46316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46316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46316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46316</v>
      </c>
      <c r="F171" t="inlineStr">
        <is>
          <t>ÖREBRO LÄN</t>
        </is>
      </c>
      <c r="G171" t="inlineStr">
        <is>
          <t>DEGERFORS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46316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46316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45116</v>
      </c>
      <c r="E174" s="1" t="n">
        <v>46316</v>
      </c>
      <c r="F174" t="inlineStr">
        <is>
          <t>ÖREBRO LÄN</t>
        </is>
      </c>
      <c r="G174" t="inlineStr">
        <is>
          <t>DEGERFORS</t>
        </is>
      </c>
      <c r="I174" t="n">
        <v>17.2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46199</v>
      </c>
      <c r="E175" s="1" t="n">
        <v>46316</v>
      </c>
      <c r="F175" t="inlineStr">
        <is>
          <t>ÖREBRO LÄN</t>
        </is>
      </c>
      <c r="G175" t="inlineStr">
        <is>
          <t>DEGERFORS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46316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46316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46316</v>
      </c>
      <c r="F178" t="inlineStr">
        <is>
          <t>ÖREBRO LÄN</t>
        </is>
      </c>
      <c r="G178" t="inlineStr">
        <is>
          <t>DEGERFORS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44781</v>
      </c>
      <c r="E179" s="1" t="n">
        <v>46316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46316</v>
      </c>
      <c r="F180" t="inlineStr">
        <is>
          <t>ÖREBRO LÄN</t>
        </is>
      </c>
      <c r="G180" t="inlineStr">
        <is>
          <t>DEGERFORS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46316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46230</v>
      </c>
      <c r="E182" s="1" t="n">
        <v>46316</v>
      </c>
      <c r="F182" t="inlineStr">
        <is>
          <t>ÖREBRO LÄN</t>
        </is>
      </c>
      <c r="G182" t="inlineStr">
        <is>
          <t>DEGERFORS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46316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46279</v>
      </c>
      <c r="E185" s="1" t="n">
        <v>46316</v>
      </c>
      <c r="F185" t="inlineStr">
        <is>
          <t>ÖREBRO LÄN</t>
        </is>
      </c>
      <c r="G185" t="inlineStr">
        <is>
          <t>DEGERFORS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46316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46316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46283</v>
      </c>
      <c r="E188" s="1" t="n">
        <v>46316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46282</v>
      </c>
      <c r="E189" s="1" t="n">
        <v>46316</v>
      </c>
      <c r="F189" t="inlineStr">
        <is>
          <t>ÖREBRO LÄN</t>
        </is>
      </c>
      <c r="G189" t="inlineStr">
        <is>
          <t>DEGERFORS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46239</v>
      </c>
      <c r="E190" s="1" t="n">
        <v>46316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46283</v>
      </c>
      <c r="E191" s="1" t="n">
        <v>46316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46241</v>
      </c>
      <c r="E192" s="1" t="n">
        <v>46316</v>
      </c>
      <c r="F192" t="inlineStr">
        <is>
          <t>ÖREBRO LÄN</t>
        </is>
      </c>
      <c r="G192" t="inlineStr">
        <is>
          <t>DEGERFORS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46316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46316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46316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46316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45351</v>
      </c>
      <c r="E197" s="1" t="n">
        <v>46316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46316</v>
      </c>
      <c r="F198" t="inlineStr">
        <is>
          <t>ÖREBRO LÄN</t>
        </is>
      </c>
      <c r="G198" t="inlineStr">
        <is>
          <t>DEGERFORS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59158-2022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44904</v>
      </c>
      <c r="E199" s="1" t="n">
        <v>46316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46316</v>
      </c>
      <c r="F200" t="inlineStr">
        <is>
          <t>ÖREBRO LÄN</t>
        </is>
      </c>
      <c r="G200" t="inlineStr">
        <is>
          <t>DEGERFORS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46316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46316</v>
      </c>
      <c r="F202" t="inlineStr">
        <is>
          <t>ÖREBRO LÄN</t>
        </is>
      </c>
      <c r="G202" t="inlineStr">
        <is>
          <t>DEGERFORS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44989</v>
      </c>
      <c r="E203" s="1" t="n">
        <v>46316</v>
      </c>
      <c r="F203" t="inlineStr">
        <is>
          <t>ÖREBRO LÄN</t>
        </is>
      </c>
      <c r="G203" t="inlineStr">
        <is>
          <t>DEGERFORS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46316</v>
      </c>
      <c r="F204" t="inlineStr">
        <is>
          <t>ÖREBRO LÄN</t>
        </is>
      </c>
      <c r="G204" t="inlineStr">
        <is>
          <t>DEGERFORS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46316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45520</v>
      </c>
      <c r="E206" s="1" t="n">
        <v>46316</v>
      </c>
      <c r="F206" t="inlineStr">
        <is>
          <t>ÖREBRO LÄN</t>
        </is>
      </c>
      <c r="G206" t="inlineStr">
        <is>
          <t>DEGERFORS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46303</v>
      </c>
      <c r="E207" s="1" t="n">
        <v>46316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45861-2023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45195</v>
      </c>
      <c r="E208" s="1" t="n">
        <v>46316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46316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43768-2024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46316</v>
      </c>
      <c r="F210" t="inlineStr">
        <is>
          <t>ÖREBRO LÄN</t>
        </is>
      </c>
      <c r="G210" t="inlineStr">
        <is>
          <t>DEGERFORS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46307</v>
      </c>
      <c r="E211" s="1" t="n">
        <v>46316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46316</v>
      </c>
      <c r="F212" t="inlineStr">
        <is>
          <t>ÖREBRO LÄN</t>
        </is>
      </c>
      <c r="G212" t="inlineStr">
        <is>
          <t>DEGERFORS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44816</v>
      </c>
      <c r="E213" s="1" t="n">
        <v>46316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46316</v>
      </c>
      <c r="F214" t="inlineStr">
        <is>
          <t>ÖREBRO LÄN</t>
        </is>
      </c>
      <c r="G214" t="inlineStr">
        <is>
          <t>DEGERFORS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46316</v>
      </c>
      <c r="F215" t="inlineStr">
        <is>
          <t>ÖREBRO LÄN</t>
        </is>
      </c>
      <c r="G215" t="inlineStr">
        <is>
          <t>DEGERFORS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46268</v>
      </c>
      <c r="E216" s="1" t="n">
        <v>46316</v>
      </c>
      <c r="F216" t="inlineStr">
        <is>
          <t>ÖREBRO LÄN</t>
        </is>
      </c>
      <c r="G216" t="inlineStr">
        <is>
          <t>DEGERFORS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46303</v>
      </c>
      <c r="E217" s="1" t="n">
        <v>46316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61750-2021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46316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46316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46316</v>
      </c>
      <c r="F220" t="inlineStr">
        <is>
          <t>ÖREBRO LÄN</t>
        </is>
      </c>
      <c r="G220" t="inlineStr">
        <is>
          <t>DEGERFORS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46316</v>
      </c>
      <c r="F221" t="inlineStr">
        <is>
          <t>ÖREBRO LÄN</t>
        </is>
      </c>
      <c r="G221" t="inlineStr">
        <is>
          <t>DEGERFORS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46316</v>
      </c>
      <c r="F222" t="inlineStr">
        <is>
          <t>ÖREBRO LÄN</t>
        </is>
      </c>
      <c r="G222" t="inlineStr">
        <is>
          <t>DEGERFORS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46316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32154-2023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46316</v>
      </c>
      <c r="F224" t="inlineStr">
        <is>
          <t>ÖREBRO LÄN</t>
        </is>
      </c>
      <c r="G224" t="inlineStr">
        <is>
          <t>DEGERFORS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46316</v>
      </c>
      <c r="F225" t="inlineStr">
        <is>
          <t>ÖREBRO LÄN</t>
        </is>
      </c>
      <c r="G225" t="inlineStr">
        <is>
          <t>DEGERFORS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46316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46316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46316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46316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45272</v>
      </c>
      <c r="E230" s="1" t="n">
        <v>46316</v>
      </c>
      <c r="F230" t="inlineStr">
        <is>
          <t>ÖREBRO LÄN</t>
        </is>
      </c>
      <c r="G230" t="inlineStr">
        <is>
          <t>DEGERFORS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46316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46316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46316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46316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46316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46316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2026-10-21T02:04:57Z</dcterms:created>
  <dcterms:modified xmlns:dcterms="http://purl.org/dc/terms/" xmlns:xsi="http://www.w3.org/2001/XMLSchema-instance" xsi:type="dcterms:W3CDTF">2026-10-21T02:04:57Z</dcterms:modified>
</cp:coreProperties>
</file>