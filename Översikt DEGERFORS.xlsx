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46306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46306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46306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46306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46306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46306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36081-2025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45866</v>
      </c>
      <c r="E20" s="1" t="n">
        <v>46306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Jungfrulin
Skogsklocka
Svinrot
Springkorn</t>
        </is>
      </c>
      <c r="W20">
        <f>HYPERLINK("https://klasma.github.io/Logging_1862/artfynd/A 36081-2025 artfynd.xlsx", "A 36081-2025")</f>
        <v/>
      </c>
      <c r="X20">
        <f>HYPERLINK("https://klasma.github.io/Logging_1862/kartor/A 36081-2025 karta.png", "A 36081-2025")</f>
        <v/>
      </c>
      <c r="Y20">
        <f>HYPERLINK("https://klasma.github.io/Logging_1862/kartor_geotiff/A 36081-2025 georefererad karta.tif", "A 36081-2025")</f>
        <v/>
      </c>
      <c r="AA20">
        <f>HYPERLINK("https://klasma.github.io/Logging_1862/klagomål/A 36081-2025 FSC-klagomål.docx", "A 36081-2025")</f>
        <v/>
      </c>
      <c r="AB20">
        <f>HYPERLINK("https://klasma.github.io/Logging_1862/klagomålsmail/A 36081-2025 FSC-klagomål mail.docx", "A 36081-2025")</f>
        <v/>
      </c>
      <c r="AC20">
        <f>HYPERLINK("https://klasma.github.io/Logging_1862/tillsyn/A 36081-2025 tillsynsbegäran.docx", "A 36081-2025")</f>
        <v/>
      </c>
      <c r="AD20">
        <f>HYPERLINK("https://klasma.github.io/Logging_1862/tillsynsmail/A 36081-2025 tillsynsbegäran mail.docx", "A 36081-2025")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46306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46306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46306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38914-2023 artfynd.xlsx", "A 38914-2023")</f>
        <v/>
      </c>
      <c r="X28">
        <f>HYPERLINK("https://klasma.github.io/Logging_1862/kartor/A 38914-2023 karta.png", "A 38914-2023")</f>
        <v/>
      </c>
      <c r="Y28">
        <f>HYPERLINK("https://klasma.github.io/Logging_1862/kartor_geotiff/A 38914-2023 georefererad karta.tif", "A 38914-2023")</f>
        <v/>
      </c>
      <c r="AA28">
        <f>HYPERLINK("https://klasma.github.io/Logging_1862/klagomål/A 38914-2023 FSC-klagomål.docx", "A 38914-2023")</f>
        <v/>
      </c>
      <c r="AB28">
        <f>HYPERLINK("https://klasma.github.io/Logging_1862/klagomålsmail/A 38914-2023 FSC-klagomål mail.docx", "A 38914-2023")</f>
        <v/>
      </c>
      <c r="AC28">
        <f>HYPERLINK("https://klasma.github.io/Logging_1862/tillsyn/A 38914-2023 tillsynsbegäran.docx", "A 38914-2023")</f>
        <v/>
      </c>
      <c r="AD28">
        <f>HYPERLINK("https://klasma.github.io/Logging_1862/tillsynsmail/A 38914-2023 tillsynsbegäran mail.docx", "A 38914-2023")</f>
        <v/>
      </c>
      <c r="AE28">
        <f>HYPERLINK("https://klasma.github.io/Logging_1862/fåglar/A 38914-2023 prioriterade fågelarter.docx", "A 38914-2023")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46306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46306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46306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46306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47941-2024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45589</v>
      </c>
      <c r="E36" s="1" t="n">
        <v>46306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HYPERLINK("https://klasma.github.io/Logging_1862/artfynd/A 47941-2024 artfynd.xlsx", "A 47941-2024")</f>
        <v/>
      </c>
      <c r="X36">
        <f>HYPERLINK("https://klasma.github.io/Logging_1862/kartor/A 47941-2024 karta.png", "A 47941-2024")</f>
        <v/>
      </c>
      <c r="Y36">
        <f>HYPERLINK("https://klasma.github.io/Logging_1862/kartor_geotiff/A 47941-2024 georefererad karta.tif", "A 47941-2024")</f>
        <v/>
      </c>
      <c r="AA36">
        <f>HYPERLINK("https://klasma.github.io/Logging_1862/klagomål/A 47941-2024 FSC-klagomål.docx", "A 47941-2024")</f>
        <v/>
      </c>
      <c r="AB36">
        <f>HYPERLINK("https://klasma.github.io/Logging_1862/klagomålsmail/A 47941-2024 FSC-klagomål mail.docx", "A 47941-2024")</f>
        <v/>
      </c>
      <c r="AC36">
        <f>HYPERLINK("https://klasma.github.io/Logging_1862/tillsyn/A 47941-2024 tillsynsbegäran.docx", "A 47941-2024")</f>
        <v/>
      </c>
      <c r="AD36">
        <f>HYPERLINK("https://klasma.github.io/Logging_1862/tillsynsmail/A 47941-2024 tillsynsbegäran mail.docx", "A 47941-2024")</f>
        <v/>
      </c>
    </row>
    <row r="37" ht="15" customHeight="1">
      <c r="A37" t="inlineStr">
        <is>
          <t>A 2357-2022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44578</v>
      </c>
      <c r="E37" s="1" t="n">
        <v>46306</v>
      </c>
      <c r="F37" t="inlineStr">
        <is>
          <t>ÖREBRO LÄN</t>
        </is>
      </c>
      <c r="G37" t="inlineStr">
        <is>
          <t>DEGERFORS</t>
        </is>
      </c>
      <c r="I37" t="n">
        <v>4.5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HYPERLINK("https://klasma.github.io/Logging_1862/artfynd/A 2357-2022 artfynd.xlsx", "A 2357-2022")</f>
        <v/>
      </c>
      <c r="X37">
        <f>HYPERLINK("https://klasma.github.io/Logging_1862/kartor/A 2357-2022 karta.png", "A 2357-2022")</f>
        <v/>
      </c>
      <c r="Y37">
        <f>HYPERLINK("https://klasma.github.io/Logging_1862/kartor_geotiff/A 2357-2022 georefererad karta.tif", "A 2357-2022")</f>
        <v/>
      </c>
      <c r="AA37">
        <f>HYPERLINK("https://klasma.github.io/Logging_1862/klagomål/A 2357-2022 FSC-klagomål.docx", "A 2357-2022")</f>
        <v/>
      </c>
      <c r="AB37">
        <f>HYPERLINK("https://klasma.github.io/Logging_1862/klagomålsmail/A 2357-2022 FSC-klagomål mail.docx", "A 2357-2022")</f>
        <v/>
      </c>
      <c r="AC37">
        <f>HYPERLINK("https://klasma.github.io/Logging_1862/tillsyn/A 2357-2022 tillsynsbegäran.docx", "A 2357-2022")</f>
        <v/>
      </c>
      <c r="AD37">
        <f>HYPERLINK("https://klasma.github.io/Logging_1862/tillsynsmail/A 2357-2022 tillsynsbegäran mail.docx", "A 2357-2022")</f>
        <v/>
      </c>
      <c r="AE37">
        <f>HYPERLINK("https://klasma.github.io/Logging_1862/fåglar/A 2357-2022 prioriterade fågelarter.docx", "A 2357-2022")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46306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HYPERLINK("https://klasma.github.io/Logging_1862/artfynd/A 53838-2024 artfynd.xlsx", "A 53838-2024")</f>
        <v/>
      </c>
      <c r="X38">
        <f>HYPERLINK("https://klasma.github.io/Logging_1862/kartor/A 53838-2024 karta.png", "A 53838-2024")</f>
        <v/>
      </c>
      <c r="Y38">
        <f>HYPERLINK("https://klasma.github.io/Logging_1862/kartor_geotiff/A 53838-2024 georefererad karta.tif", "A 53838-2024")</f>
        <v/>
      </c>
      <c r="AA38">
        <f>HYPERLINK("https://klasma.github.io/Logging_1862/klagomål/A 53838-2024 FSC-klagomål.docx", "A 53838-2024")</f>
        <v/>
      </c>
      <c r="AB38">
        <f>HYPERLINK("https://klasma.github.io/Logging_1862/klagomålsmail/A 53838-2024 FSC-klagomål mail.docx", "A 53838-2024")</f>
        <v/>
      </c>
      <c r="AC38">
        <f>HYPERLINK("https://klasma.github.io/Logging_1862/tillsyn/A 53838-2024 tillsynsbegäran.docx", "A 53838-2024")</f>
        <v/>
      </c>
      <c r="AD38">
        <f>HYPERLINK("https://klasma.github.io/Logging_1862/tillsynsmail/A 53838-2024 tillsynsbegäran mail.docx", "A 53838-2024")</f>
        <v/>
      </c>
      <c r="AE38">
        <f>HYPERLINK("https://klasma.github.io/Logging_1862/fåglar/A 53838-2024 prioriterade fågelarter.docx", "A 53838-2024")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46306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47915-2024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46306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HYPERLINK("https://klasma.github.io/Logging_1862/artfynd/A 47915-2024 artfynd.xlsx", "A 47915-2024")</f>
        <v/>
      </c>
      <c r="X40">
        <f>HYPERLINK("https://klasma.github.io/Logging_1862/kartor/A 47915-2024 karta.png", "A 47915-2024")</f>
        <v/>
      </c>
      <c r="Y40">
        <f>HYPERLINK("https://klasma.github.io/Logging_1862/kartor_geotiff/A 47915-2024 georefererad karta.tif", "A 47915-2024")</f>
        <v/>
      </c>
      <c r="AA40">
        <f>HYPERLINK("https://klasma.github.io/Logging_1862/klagomål/A 47915-2024 FSC-klagomål.docx", "A 47915-2024")</f>
        <v/>
      </c>
      <c r="AB40">
        <f>HYPERLINK("https://klasma.github.io/Logging_1862/klagomålsmail/A 47915-2024 FSC-klagomål mail.docx", "A 47915-2024")</f>
        <v/>
      </c>
      <c r="AC40">
        <f>HYPERLINK("https://klasma.github.io/Logging_1862/tillsyn/A 47915-2024 tillsynsbegäran.docx", "A 47915-2024")</f>
        <v/>
      </c>
      <c r="AD40">
        <f>HYPERLINK("https://klasma.github.io/Logging_1862/tillsynsmail/A 47915-2024 tillsynsbegäran mail.docx", "A 47915-2024")</f>
        <v/>
      </c>
    </row>
    <row r="41" ht="15" customHeight="1">
      <c r="A41" t="inlineStr">
        <is>
          <t>A 33297-2023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45116</v>
      </c>
      <c r="E41" s="1" t="n">
        <v>46306</v>
      </c>
      <c r="F41" t="inlineStr">
        <is>
          <t>ÖREBRO LÄN</t>
        </is>
      </c>
      <c r="G41" t="inlineStr">
        <is>
          <t>DEGERFORS</t>
        </is>
      </c>
      <c r="I41" t="n">
        <v>7.2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HYPERLINK("https://klasma.github.io/Logging_1862/artfynd/A 33297-2023 artfynd.xlsx", "A 33297-2023")</f>
        <v/>
      </c>
      <c r="X41">
        <f>HYPERLINK("https://klasma.github.io/Logging_1862/kartor/A 33297-2023 karta.png", "A 33297-2023")</f>
        <v/>
      </c>
      <c r="Y41">
        <f>HYPERLINK("https://klasma.github.io/Logging_1862/kartor_geotiff/A 33297-2023 georefererad karta.tif", "A 33297-2023")</f>
        <v/>
      </c>
      <c r="AA41">
        <f>HYPERLINK("https://klasma.github.io/Logging_1862/klagomål/A 33297-2023 FSC-klagomål.docx", "A 33297-2023")</f>
        <v/>
      </c>
      <c r="AB41">
        <f>HYPERLINK("https://klasma.github.io/Logging_1862/klagomålsmail/A 33297-2023 FSC-klagomål mail.docx", "A 33297-2023")</f>
        <v/>
      </c>
      <c r="AC41">
        <f>HYPERLINK("https://klasma.github.io/Logging_1862/tillsyn/A 33297-2023 tillsynsbegäran.docx", "A 33297-2023")</f>
        <v/>
      </c>
      <c r="AD41">
        <f>HYPERLINK("https://klasma.github.io/Logging_1862/tillsynsmail/A 33297-2023 tillsynsbegäran mail.docx", "A 33297-2023")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46306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46306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46306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46306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38907-2023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45163</v>
      </c>
      <c r="E46" s="1" t="n">
        <v>46306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38907-2023 artfynd.xlsx", "A 38907-2023")</f>
        <v/>
      </c>
      <c r="X46">
        <f>HYPERLINK("https://klasma.github.io/Logging_1862/kartor/A 38907-2023 karta.png", "A 38907-2023")</f>
        <v/>
      </c>
      <c r="Y46">
        <f>HYPERLINK("https://klasma.github.io/Logging_1862/kartor_geotiff/A 38907-2023 georefererad karta.tif", "A 38907-2023")</f>
        <v/>
      </c>
      <c r="AA46">
        <f>HYPERLINK("https://klasma.github.io/Logging_1862/klagomål/A 38907-2023 FSC-klagomål.docx", "A 38907-2023")</f>
        <v/>
      </c>
      <c r="AB46">
        <f>HYPERLINK("https://klasma.github.io/Logging_1862/klagomålsmail/A 38907-2023 FSC-klagomål mail.docx", "A 38907-2023")</f>
        <v/>
      </c>
      <c r="AC46">
        <f>HYPERLINK("https://klasma.github.io/Logging_1862/tillsyn/A 38907-2023 tillsynsbegäran.docx", "A 38907-2023")</f>
        <v/>
      </c>
      <c r="AD46">
        <f>HYPERLINK("https://klasma.github.io/Logging_1862/tillsynsmail/A 38907-2023 tillsynsbegäran mail.docx", "A 38907-2023")</f>
        <v/>
      </c>
      <c r="AE46">
        <f>HYPERLINK("https://klasma.github.io/Logging_1862/fåglar/A 38907-2023 prioriterade fågelarter.docx", "A 38907-2023")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46306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46306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46306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46306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46306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46306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46306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46306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46306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46306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46306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46306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44643</v>
      </c>
      <c r="E59" s="1" t="n">
        <v>46306</v>
      </c>
      <c r="F59" t="inlineStr">
        <is>
          <t>ÖREBRO LÄN</t>
        </is>
      </c>
      <c r="G59" t="inlineStr">
        <is>
          <t>DEGERFORS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46306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46306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46306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46306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46306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6394-2024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45338</v>
      </c>
      <c r="E65" s="1" t="n">
        <v>46306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46306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46306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46306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46306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46306</v>
      </c>
      <c r="F70" t="inlineStr">
        <is>
          <t>ÖREBRO LÄN</t>
        </is>
      </c>
      <c r="G70" t="inlineStr">
        <is>
          <t>DEGERFORS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46306</v>
      </c>
      <c r="F71" t="inlineStr">
        <is>
          <t>ÖREBRO LÄN</t>
        </is>
      </c>
      <c r="G71" t="inlineStr">
        <is>
          <t>DEGERFORS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45387</v>
      </c>
      <c r="E72" s="1" t="n">
        <v>46306</v>
      </c>
      <c r="F72" t="inlineStr">
        <is>
          <t>ÖREBRO LÄN</t>
        </is>
      </c>
      <c r="G72" t="inlineStr">
        <is>
          <t>DEGERFORS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46306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45861-2023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45195</v>
      </c>
      <c r="E75" s="1" t="n">
        <v>46306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46306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46306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46306</v>
      </c>
      <c r="F78" t="inlineStr">
        <is>
          <t>ÖREBRO LÄN</t>
        </is>
      </c>
      <c r="G78" t="inlineStr">
        <is>
          <t>DEGERFORS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46306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46306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46306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46306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46306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45337</v>
      </c>
      <c r="E85" s="1" t="n">
        <v>46306</v>
      </c>
      <c r="F85" t="inlineStr">
        <is>
          <t>ÖREBRO LÄN</t>
        </is>
      </c>
      <c r="G85" t="inlineStr">
        <is>
          <t>DEGERFORS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46306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44986</v>
      </c>
      <c r="E87" s="1" t="n">
        <v>46306</v>
      </c>
      <c r="F87" t="inlineStr">
        <is>
          <t>ÖREBRO LÄN</t>
        </is>
      </c>
      <c r="G87" t="inlineStr">
        <is>
          <t>DEGERFORS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46306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46306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45705</v>
      </c>
      <c r="E90" s="1" t="n">
        <v>46306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46306</v>
      </c>
      <c r="F91" t="inlineStr">
        <is>
          <t>ÖREBRO LÄN</t>
        </is>
      </c>
      <c r="G91" t="inlineStr">
        <is>
          <t>DEGERFORS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46306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46306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46306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45520</v>
      </c>
      <c r="E95" s="1" t="n">
        <v>46306</v>
      </c>
      <c r="F95" t="inlineStr">
        <is>
          <t>ÖREBRO LÄN</t>
        </is>
      </c>
      <c r="G95" t="inlineStr">
        <is>
          <t>DEGERFORS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38233-2023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45160</v>
      </c>
      <c r="E96" s="1" t="n">
        <v>46306</v>
      </c>
      <c r="F96" t="inlineStr">
        <is>
          <t>ÖREBRO LÄN</t>
        </is>
      </c>
      <c r="G96" t="inlineStr">
        <is>
          <t>DEGERFORS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6387-2024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45338</v>
      </c>
      <c r="E97" s="1" t="n">
        <v>46306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46306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46306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46306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46306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46306</v>
      </c>
      <c r="F102" t="inlineStr">
        <is>
          <t>ÖREBRO LÄN</t>
        </is>
      </c>
      <c r="G102" t="inlineStr">
        <is>
          <t>DEGERFORS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46306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46306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59158-2022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44904</v>
      </c>
      <c r="E105" s="1" t="n">
        <v>46306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46306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46306</v>
      </c>
      <c r="F107" t="inlineStr">
        <is>
          <t>ÖREBRO LÄN</t>
        </is>
      </c>
      <c r="G107" t="inlineStr">
        <is>
          <t>DEGERFORS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46306</v>
      </c>
      <c r="F109" t="inlineStr">
        <is>
          <t>ÖREBRO LÄN</t>
        </is>
      </c>
      <c r="G109" t="inlineStr">
        <is>
          <t>DEGERFORS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46306</v>
      </c>
      <c r="F110" t="inlineStr">
        <is>
          <t>ÖREBRO LÄN</t>
        </is>
      </c>
      <c r="G110" t="inlineStr">
        <is>
          <t>DEGERFORS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46306</v>
      </c>
      <c r="F111" t="inlineStr">
        <is>
          <t>ÖREBRO LÄN</t>
        </is>
      </c>
      <c r="G111" t="inlineStr">
        <is>
          <t>DEGERFORS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46306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46306</v>
      </c>
      <c r="F113" t="inlineStr">
        <is>
          <t>ÖREBRO LÄN</t>
        </is>
      </c>
      <c r="G113" t="inlineStr">
        <is>
          <t>DEGERFORS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45453</v>
      </c>
      <c r="E114" s="1" t="n">
        <v>46306</v>
      </c>
      <c r="F114" t="inlineStr">
        <is>
          <t>ÖREBRO LÄN</t>
        </is>
      </c>
      <c r="G114" t="inlineStr">
        <is>
          <t>DEGERFORS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46306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46306</v>
      </c>
      <c r="F116" t="inlineStr">
        <is>
          <t>ÖREBRO LÄN</t>
        </is>
      </c>
      <c r="G116" t="inlineStr">
        <is>
          <t>DEGERFORS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46306</v>
      </c>
      <c r="F117" t="inlineStr">
        <is>
          <t>ÖREBRO LÄN</t>
        </is>
      </c>
      <c r="G117" t="inlineStr">
        <is>
          <t>DEGERFORS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46306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21952-2024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45443</v>
      </c>
      <c r="E119" s="1" t="n">
        <v>46306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45729</v>
      </c>
      <c r="E120" s="1" t="n">
        <v>46306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46306</v>
      </c>
      <c r="F121" t="inlineStr">
        <is>
          <t>ÖREBRO LÄN</t>
        </is>
      </c>
      <c r="G121" t="inlineStr">
        <is>
          <t>DEGERFORS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45609</v>
      </c>
      <c r="E122" s="1" t="n">
        <v>46306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44609</v>
      </c>
      <c r="E123" s="1" t="n">
        <v>46306</v>
      </c>
      <c r="F123" t="inlineStr">
        <is>
          <t>ÖREBRO LÄN</t>
        </is>
      </c>
      <c r="G123" t="inlineStr">
        <is>
          <t>DEGERFORS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46306</v>
      </c>
      <c r="F124" t="inlineStr">
        <is>
          <t>ÖREBRO LÄN</t>
        </is>
      </c>
      <c r="G124" t="inlineStr">
        <is>
          <t>DEGERFORS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46306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46306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46306</v>
      </c>
      <c r="F127" t="inlineStr">
        <is>
          <t>ÖREBRO LÄN</t>
        </is>
      </c>
      <c r="G127" t="inlineStr">
        <is>
          <t>DEGERFORS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46306</v>
      </c>
      <c r="F128" t="inlineStr">
        <is>
          <t>ÖREBRO LÄN</t>
        </is>
      </c>
      <c r="G128" t="inlineStr">
        <is>
          <t>DEGERFORS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46306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46306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46306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46306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46306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46306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46306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46306</v>
      </c>
      <c r="F136" t="inlineStr">
        <is>
          <t>ÖREBRO LÄN</t>
        </is>
      </c>
      <c r="G136" t="inlineStr">
        <is>
          <t>DEGERFORS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46306</v>
      </c>
      <c r="F137" t="inlineStr">
        <is>
          <t>ÖREBRO LÄN</t>
        </is>
      </c>
      <c r="G137" t="inlineStr">
        <is>
          <t>DEGERFORS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45116</v>
      </c>
      <c r="E138" s="1" t="n">
        <v>46306</v>
      </c>
      <c r="F138" t="inlineStr">
        <is>
          <t>ÖREBRO LÄN</t>
        </is>
      </c>
      <c r="G138" t="inlineStr">
        <is>
          <t>DEGERFORS</t>
        </is>
      </c>
      <c r="I138" t="n">
        <v>17.2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46306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46306</v>
      </c>
      <c r="F140" t="inlineStr">
        <is>
          <t>ÖREBRO LÄN</t>
        </is>
      </c>
      <c r="G140" t="inlineStr">
        <is>
          <t>DEGERFORS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46306</v>
      </c>
      <c r="F141" t="inlineStr">
        <is>
          <t>ÖREBRO LÄN</t>
        </is>
      </c>
      <c r="G141" t="inlineStr">
        <is>
          <t>DEGERFORS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46306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46306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46306</v>
      </c>
      <c r="F144" t="inlineStr">
        <is>
          <t>ÖREBRO LÄN</t>
        </is>
      </c>
      <c r="G144" t="inlineStr">
        <is>
          <t>DEGERFORS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45351</v>
      </c>
      <c r="E145" s="1" t="n">
        <v>46306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45351</v>
      </c>
      <c r="E146" s="1" t="n">
        <v>46306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60907-2023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45261</v>
      </c>
      <c r="E147" s="1" t="n">
        <v>46306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44509</v>
      </c>
      <c r="E148" s="1" t="n">
        <v>46306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57086-2025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45979</v>
      </c>
      <c r="E149" s="1" t="n">
        <v>46306</v>
      </c>
      <c r="F149" t="inlineStr">
        <is>
          <t>ÖREBRO LÄN</t>
        </is>
      </c>
      <c r="G149" t="inlineStr">
        <is>
          <t>DEGERFORS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37333-2025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45876</v>
      </c>
      <c r="E150" s="1" t="n">
        <v>46306</v>
      </c>
      <c r="F150" t="inlineStr">
        <is>
          <t>ÖREBRO LÄN</t>
        </is>
      </c>
      <c r="G150" t="inlineStr">
        <is>
          <t>DEGERFORS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45876</v>
      </c>
      <c r="E151" s="1" t="n">
        <v>46306</v>
      </c>
      <c r="F151" t="inlineStr">
        <is>
          <t>ÖREBRO LÄN</t>
        </is>
      </c>
      <c r="G151" t="inlineStr">
        <is>
          <t>DEGERFORS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44781</v>
      </c>
      <c r="E152" s="1" t="n">
        <v>46306</v>
      </c>
      <c r="F152" t="inlineStr">
        <is>
          <t>ÖREBRO LÄN</t>
        </is>
      </c>
      <c r="G152" t="inlineStr">
        <is>
          <t>DEGERFORS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46306</v>
      </c>
      <c r="F153" t="inlineStr">
        <is>
          <t>ÖREBRO LÄN</t>
        </is>
      </c>
      <c r="G153" t="inlineStr">
        <is>
          <t>DEGERFORS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46306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20577-2023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45057</v>
      </c>
      <c r="E155" s="1" t="n">
        <v>46306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44989</v>
      </c>
      <c r="E156" s="1" t="n">
        <v>46306</v>
      </c>
      <c r="F156" t="inlineStr">
        <is>
          <t>ÖREBRO LÄN</t>
        </is>
      </c>
      <c r="G156" t="inlineStr">
        <is>
          <t>DEGERFORS</t>
        </is>
      </c>
      <c r="I156" t="n">
        <v>9.5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46306</v>
      </c>
      <c r="F157" t="inlineStr">
        <is>
          <t>ÖREBRO LÄN</t>
        </is>
      </c>
      <c r="G157" t="inlineStr">
        <is>
          <t>DEGERFORS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46306</v>
      </c>
      <c r="F158" t="inlineStr">
        <is>
          <t>ÖREBRO LÄN</t>
        </is>
      </c>
      <c r="G158" t="inlineStr">
        <is>
          <t>DEGERFORS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73693-2021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46306</v>
      </c>
      <c r="F159" t="inlineStr">
        <is>
          <t>ÖREBRO LÄN</t>
        </is>
      </c>
      <c r="G159" t="inlineStr">
        <is>
          <t>DEGERFORS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46306</v>
      </c>
      <c r="F160" t="inlineStr">
        <is>
          <t>ÖREBRO LÄN</t>
        </is>
      </c>
      <c r="G160" t="inlineStr">
        <is>
          <t>DEGERFORS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45996</v>
      </c>
      <c r="E161" s="1" t="n">
        <v>46306</v>
      </c>
      <c r="F161" t="inlineStr">
        <is>
          <t>ÖREBRO LÄN</t>
        </is>
      </c>
      <c r="G161" t="inlineStr">
        <is>
          <t>DEGERFORS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45996</v>
      </c>
      <c r="E162" s="1" t="n">
        <v>46306</v>
      </c>
      <c r="F162" t="inlineStr">
        <is>
          <t>ÖREBRO LÄN</t>
        </is>
      </c>
      <c r="G162" t="inlineStr">
        <is>
          <t>DEGERFORS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45535</v>
      </c>
      <c r="E163" s="1" t="n">
        <v>46306</v>
      </c>
      <c r="F163" t="inlineStr">
        <is>
          <t>ÖREBRO LÄN</t>
        </is>
      </c>
      <c r="G163" t="inlineStr">
        <is>
          <t>DEGERFORS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46306</v>
      </c>
      <c r="F164" t="inlineStr">
        <is>
          <t>ÖREBRO LÄN</t>
        </is>
      </c>
      <c r="G164" t="inlineStr">
        <is>
          <t>DEGERFORS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46306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46306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45192</v>
      </c>
      <c r="E168" s="1" t="n">
        <v>46306</v>
      </c>
      <c r="F168" t="inlineStr">
        <is>
          <t>ÖREBRO LÄN</t>
        </is>
      </c>
      <c r="G168" t="inlineStr">
        <is>
          <t>DEGERFORS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37672-2024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45541</v>
      </c>
      <c r="E169" s="1" t="n">
        <v>46306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46306</v>
      </c>
      <c r="F170" t="inlineStr">
        <is>
          <t>ÖREBRO LÄN</t>
        </is>
      </c>
      <c r="G170" t="inlineStr">
        <is>
          <t>DEGERFORS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46306</v>
      </c>
      <c r="F171" t="inlineStr">
        <is>
          <t>ÖREBRO LÄN</t>
        </is>
      </c>
      <c r="G171" t="inlineStr">
        <is>
          <t>DEGERFORS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46306</v>
      </c>
      <c r="F172" t="inlineStr">
        <is>
          <t>ÖREBRO LÄN</t>
        </is>
      </c>
      <c r="G172" t="inlineStr">
        <is>
          <t>DEGERFORS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45616</v>
      </c>
      <c r="E173" s="1" t="n">
        <v>46306</v>
      </c>
      <c r="F173" t="inlineStr">
        <is>
          <t>ÖREBRO LÄN</t>
        </is>
      </c>
      <c r="G173" t="inlineStr">
        <is>
          <t>DEGERFORS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46306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10674-2024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45369</v>
      </c>
      <c r="E175" s="1" t="n">
        <v>46306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46306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46306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46306</v>
      </c>
      <c r="F178" t="inlineStr">
        <is>
          <t>ÖREBRO LÄN</t>
        </is>
      </c>
      <c r="G178" t="inlineStr">
        <is>
          <t>DEGERFORS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46306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46306</v>
      </c>
      <c r="F180" t="inlineStr">
        <is>
          <t>ÖREBRO LÄN</t>
        </is>
      </c>
      <c r="G180" t="inlineStr">
        <is>
          <t>DEGERFORS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46306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46306</v>
      </c>
      <c r="F182" t="inlineStr">
        <is>
          <t>ÖREBRO LÄN</t>
        </is>
      </c>
      <c r="G182" t="inlineStr">
        <is>
          <t>DEGERFORS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46148</v>
      </c>
      <c r="E183" s="1" t="n">
        <v>46306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46306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46148</v>
      </c>
      <c r="E185" s="1" t="n">
        <v>46306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46306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46306</v>
      </c>
      <c r="F187" t="inlineStr">
        <is>
          <t>ÖREBRO LÄN</t>
        </is>
      </c>
      <c r="G187" t="inlineStr">
        <is>
          <t>DEGERFORS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46306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46306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46306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46306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46306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46306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45742</v>
      </c>
      <c r="E194" s="1" t="n">
        <v>46306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46306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46306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46306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46306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46306</v>
      </c>
      <c r="F199" t="inlineStr">
        <is>
          <t>ÖREBRO LÄN</t>
        </is>
      </c>
      <c r="G199" t="inlineStr">
        <is>
          <t>DEGERFORS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46306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46306</v>
      </c>
      <c r="F201" t="inlineStr">
        <is>
          <t>ÖREBRO LÄN</t>
        </is>
      </c>
      <c r="G201" t="inlineStr">
        <is>
          <t>DEGERFORS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46306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46306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46306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46306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46306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46306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46306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46306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46199</v>
      </c>
      <c r="E210" s="1" t="n">
        <v>46306</v>
      </c>
      <c r="F210" t="inlineStr">
        <is>
          <t>ÖREBRO LÄN</t>
        </is>
      </c>
      <c r="G210" t="inlineStr">
        <is>
          <t>DEGERFORS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46306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46306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46306</v>
      </c>
      <c r="F213" t="inlineStr">
        <is>
          <t>ÖREBRO LÄN</t>
        </is>
      </c>
      <c r="G213" t="inlineStr">
        <is>
          <t>DEGERFORS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46306</v>
      </c>
      <c r="F214" t="inlineStr">
        <is>
          <t>ÖREBRO LÄN</t>
        </is>
      </c>
      <c r="G214" t="inlineStr">
        <is>
          <t>DEGERFORS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46306</v>
      </c>
      <c r="F215" t="inlineStr">
        <is>
          <t>ÖREBRO LÄN</t>
        </is>
      </c>
      <c r="G215" t="inlineStr">
        <is>
          <t>DEGERFORS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46230</v>
      </c>
      <c r="E216" s="1" t="n">
        <v>46306</v>
      </c>
      <c r="F216" t="inlineStr">
        <is>
          <t>ÖREBRO LÄN</t>
        </is>
      </c>
      <c r="G216" t="inlineStr">
        <is>
          <t>DEGERFORS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46306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46231</v>
      </c>
      <c r="E218" s="1" t="n">
        <v>46306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46279</v>
      </c>
      <c r="E219" s="1" t="n">
        <v>46306</v>
      </c>
      <c r="F219" t="inlineStr">
        <is>
          <t>ÖREBRO LÄN</t>
        </is>
      </c>
      <c r="G219" t="inlineStr">
        <is>
          <t>DEGERFORS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46306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46306</v>
      </c>
      <c r="F221" t="inlineStr">
        <is>
          <t>ÖREBRO LÄN</t>
        </is>
      </c>
      <c r="G221" t="inlineStr">
        <is>
          <t>DEGERFORS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46306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46306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46283</v>
      </c>
      <c r="E224" s="1" t="n">
        <v>46306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46306</v>
      </c>
      <c r="F225" t="inlineStr">
        <is>
          <t>ÖREBRO LÄN</t>
        </is>
      </c>
      <c r="G225" t="inlineStr">
        <is>
          <t>DEGERFORS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46231</v>
      </c>
      <c r="E227" s="1" t="n">
        <v>46306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46306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46306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46303</v>
      </c>
      <c r="E230" s="1" t="n">
        <v>46306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46306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46306</v>
      </c>
      <c r="F232" t="inlineStr">
        <is>
          <t>ÖREBRO LÄN</t>
        </is>
      </c>
      <c r="G232" t="inlineStr">
        <is>
          <t>DEGERFORS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46306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46306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46306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46306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46306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46306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46306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46306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46306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2026-10-11T02:02:57Z</dcterms:created>
  <dcterms:modified xmlns:dcterms="http://purl.org/dc/terms/" xmlns:xsi="http://www.w3.org/2001/XMLSchema-instance" xsi:type="dcterms:W3CDTF">2026-10-11T02:02:58Z</dcterms:modified>
</cp:coreProperties>
</file>