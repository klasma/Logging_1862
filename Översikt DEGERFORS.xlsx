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46174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46174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46174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46174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46174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46174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36081-2025</t>
        </is>
      </c>
      <c r="B18" s="1" t="n">
        <v>45866</v>
      </c>
      <c r="C18" s="1" t="n">
        <v>46174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36081-2025 artfynd.xlsx", "A 36081-2025")</f>
        <v/>
      </c>
      <c r="T18">
        <f>HYPERLINK("https://klasma.github.io/Logging_1862/kartor/A 36081-2025 karta.png", "A 36081-2025")</f>
        <v/>
      </c>
      <c r="V18">
        <f>HYPERLINK("https://klasma.github.io/Logging_1862/klagomål/A 36081-2025 FSC-klagomål.docx", "A 36081-2025")</f>
        <v/>
      </c>
      <c r="W18">
        <f>HYPERLINK("https://klasma.github.io/Logging_1862/klagomålsmail/A 36081-2025 FSC-klagomål mail.docx", "A 36081-2025")</f>
        <v/>
      </c>
      <c r="X18">
        <f>HYPERLINK("https://klasma.github.io/Logging_1862/tillsyn/A 36081-2025 tillsynsbegäran.docx", "A 36081-2025")</f>
        <v/>
      </c>
      <c r="Y18">
        <f>HYPERLINK("https://klasma.github.io/Logging_1862/tillsynsmail/A 36081-2025 tillsynsbegäran mail.docx", "A 36081-2025")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46174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46174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46174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46174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46174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46174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46174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46174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46174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46174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46174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47787-2025</t>
        </is>
      </c>
      <c r="B32" s="1" t="n">
        <v>45931</v>
      </c>
      <c r="C32" s="1" t="n">
        <v>46174</v>
      </c>
      <c r="D32" t="inlineStr">
        <is>
          <t>ÖREBRO LÄN</t>
        </is>
      </c>
      <c r="E32" t="inlineStr">
        <is>
          <t>DEGERFORS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47787-2025 artfynd.xlsx", "A 47787-2025")</f>
        <v/>
      </c>
      <c r="T32">
        <f>HYPERLINK("https://klasma.github.io/Logging_1862/kartor/A 47787-2025 karta.png", "A 47787-2025")</f>
        <v/>
      </c>
      <c r="V32">
        <f>HYPERLINK("https://klasma.github.io/Logging_1862/klagomål/A 47787-2025 FSC-klagomål.docx", "A 47787-2025")</f>
        <v/>
      </c>
      <c r="W32">
        <f>HYPERLINK("https://klasma.github.io/Logging_1862/klagomålsmail/A 47787-2025 FSC-klagomål mail.docx", "A 47787-2025")</f>
        <v/>
      </c>
      <c r="X32">
        <f>HYPERLINK("https://klasma.github.io/Logging_1862/tillsyn/A 47787-2025 tillsynsbegäran.docx", "A 47787-2025")</f>
        <v/>
      </c>
      <c r="Y32">
        <f>HYPERLINK("https://klasma.github.io/Logging_1862/tillsynsmail/A 47787-2025 tillsynsbegäran mail.docx", "A 47787-2025")</f>
        <v/>
      </c>
      <c r="Z32">
        <f>HYPERLINK("https://klasma.github.io/Logging_1862/fåglar/A 47787-2025 prioriterade fågelarter.docx", "A 47787-2025")</f>
        <v/>
      </c>
    </row>
    <row r="33" ht="15" customHeight="1">
      <c r="A33" t="inlineStr">
        <is>
          <t>A 40870-2024</t>
        </is>
      </c>
      <c r="B33" s="1" t="n">
        <v>45558.59421296296</v>
      </c>
      <c r="C33" s="1" t="n">
        <v>46174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40870-2024 artfynd.xlsx", "A 40870-2024")</f>
        <v/>
      </c>
      <c r="T33">
        <f>HYPERLINK("https://klasma.github.io/Logging_1862/kartor/A 40870-2024 karta.png", "A 40870-2024")</f>
        <v/>
      </c>
      <c r="V33">
        <f>HYPERLINK("https://klasma.github.io/Logging_1862/klagomål/A 40870-2024 FSC-klagomål.docx", "A 40870-2024")</f>
        <v/>
      </c>
      <c r="W33">
        <f>HYPERLINK("https://klasma.github.io/Logging_1862/klagomålsmail/A 40870-2024 FSC-klagomål mail.docx", "A 40870-2024")</f>
        <v/>
      </c>
      <c r="X33">
        <f>HYPERLINK("https://klasma.github.io/Logging_1862/tillsyn/A 40870-2024 tillsynsbegäran.docx", "A 40870-2024")</f>
        <v/>
      </c>
      <c r="Y33">
        <f>HYPERLINK("https://klasma.github.io/Logging_1862/tillsynsmail/A 40870-2024 tillsynsbegäran mail.docx", "A 40870-2024")</f>
        <v/>
      </c>
      <c r="Z33">
        <f>HYPERLINK("https://klasma.github.io/Logging_1862/fåglar/A 40870-2024 prioriterade fågelarter.docx", "A 40870-2024")</f>
        <v/>
      </c>
    </row>
    <row r="34" ht="15" customHeight="1">
      <c r="A34" t="inlineStr">
        <is>
          <t>A 38910-2023</t>
        </is>
      </c>
      <c r="B34" s="1" t="n">
        <v>45163</v>
      </c>
      <c r="C34" s="1" t="n">
        <v>46174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38910-2023 artfynd.xlsx", "A 38910-2023")</f>
        <v/>
      </c>
      <c r="T34">
        <f>HYPERLINK("https://klasma.github.io/Logging_1862/kartor/A 38910-2023 karta.png", "A 38910-2023")</f>
        <v/>
      </c>
      <c r="V34">
        <f>HYPERLINK("https://klasma.github.io/Logging_1862/klagomål/A 38910-2023 FSC-klagomål.docx", "A 38910-2023")</f>
        <v/>
      </c>
      <c r="W34">
        <f>HYPERLINK("https://klasma.github.io/Logging_1862/klagomålsmail/A 38910-2023 FSC-klagomål mail.docx", "A 38910-2023")</f>
        <v/>
      </c>
      <c r="X34">
        <f>HYPERLINK("https://klasma.github.io/Logging_1862/tillsyn/A 38910-2023 tillsynsbegäran.docx", "A 38910-2023")</f>
        <v/>
      </c>
      <c r="Y34">
        <f>HYPERLINK("https://klasma.github.io/Logging_1862/tillsynsmail/A 38910-2023 tillsynsbegäran mail.docx", "A 38910-2023")</f>
        <v/>
      </c>
      <c r="Z34">
        <f>HYPERLINK("https://klasma.github.io/Logging_1862/fåglar/A 38910-2023 prioriterade fågelarter.docx", "A 38910-2023")</f>
        <v/>
      </c>
    </row>
    <row r="35" ht="15" customHeight="1">
      <c r="A35" t="inlineStr">
        <is>
          <t>A 12720-2024</t>
        </is>
      </c>
      <c r="B35" s="1" t="n">
        <v>45384</v>
      </c>
      <c r="C35" s="1" t="n">
        <v>46174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12720-2024 artfynd.xlsx", "A 12720-2024")</f>
        <v/>
      </c>
      <c r="T35">
        <f>HYPERLINK("https://klasma.github.io/Logging_1862/kartor/A 12720-2024 karta.png", "A 12720-2024")</f>
        <v/>
      </c>
      <c r="V35">
        <f>HYPERLINK("https://klasma.github.io/Logging_1862/klagomål/A 12720-2024 FSC-klagomål.docx", "A 12720-2024")</f>
        <v/>
      </c>
      <c r="W35">
        <f>HYPERLINK("https://klasma.github.io/Logging_1862/klagomålsmail/A 12720-2024 FSC-klagomål mail.docx", "A 12720-2024")</f>
        <v/>
      </c>
      <c r="X35">
        <f>HYPERLINK("https://klasma.github.io/Logging_1862/tillsyn/A 12720-2024 tillsynsbegäran.docx", "A 12720-2024")</f>
        <v/>
      </c>
      <c r="Y35">
        <f>HYPERLINK("https://klasma.github.io/Logging_1862/tillsynsmail/A 12720-2024 tillsynsbegäran mail.docx", "A 12720-2024")</f>
        <v/>
      </c>
      <c r="Z35">
        <f>HYPERLINK("https://klasma.github.io/Logging_1862/fåglar/A 12720-2024 prioriterade fågelarter.docx", "A 12720-2024")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46174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46174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46174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46174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46174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46174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46174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46174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46174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46174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46174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46174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46174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54130-2021</t>
        </is>
      </c>
      <c r="B51" s="1" t="n">
        <v>44470</v>
      </c>
      <c r="C51" s="1" t="n">
        <v>46174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54139-2021</t>
        </is>
      </c>
      <c r="B52" s="1" t="n">
        <v>44470</v>
      </c>
      <c r="C52" s="1" t="n">
        <v>46174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60889-2021</t>
        </is>
      </c>
      <c r="B53" s="1" t="n">
        <v>44497.42795138889</v>
      </c>
      <c r="C53" s="1" t="n">
        <v>46174</v>
      </c>
      <c r="D53" t="inlineStr">
        <is>
          <t>ÖREBRO LÄN</t>
        </is>
      </c>
      <c r="E53" t="inlineStr">
        <is>
          <t>DEGERFORS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68578-2021</t>
        </is>
      </c>
      <c r="B54" s="1" t="n">
        <v>44529.52201388889</v>
      </c>
      <c r="C54" s="1" t="n">
        <v>46174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67998-2021</t>
        </is>
      </c>
      <c r="B55" s="1" t="n">
        <v>44525.76128472222</v>
      </c>
      <c r="C55" s="1" t="n">
        <v>46174</v>
      </c>
      <c r="D55" t="inlineStr">
        <is>
          <t>ÖREBRO LÄN</t>
        </is>
      </c>
      <c r="E55" t="inlineStr">
        <is>
          <t>DEGERFORS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63906-2021</t>
        </is>
      </c>
      <c r="B56" s="1" t="n">
        <v>44509.65762731482</v>
      </c>
      <c r="C56" s="1" t="n">
        <v>46174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5319-2022</t>
        </is>
      </c>
      <c r="B57" s="1" t="n">
        <v>44594</v>
      </c>
      <c r="C57" s="1" t="n">
        <v>46174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6240-2024</t>
        </is>
      </c>
      <c r="B58" s="1" t="n">
        <v>45337</v>
      </c>
      <c r="C58" s="1" t="n">
        <v>46174</v>
      </c>
      <c r="D58" t="inlineStr">
        <is>
          <t>ÖREBRO LÄN</t>
        </is>
      </c>
      <c r="E58" t="inlineStr">
        <is>
          <t>DEGERFORS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46174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46174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46174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46174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46174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32729-2021</t>
        </is>
      </c>
      <c r="B64" s="1" t="n">
        <v>44375</v>
      </c>
      <c r="C64" s="1" t="n">
        <v>46174</v>
      </c>
      <c r="D64" t="inlineStr">
        <is>
          <t>ÖREBRO LÄN</t>
        </is>
      </c>
      <c r="E64" t="inlineStr">
        <is>
          <t>DEGERFORS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65456-2021</t>
        </is>
      </c>
      <c r="B65" s="1" t="n">
        <v>44515</v>
      </c>
      <c r="C65" s="1" t="n">
        <v>46174</v>
      </c>
      <c r="D65" t="inlineStr">
        <is>
          <t>ÖREBRO LÄN</t>
        </is>
      </c>
      <c r="E65" t="inlineStr">
        <is>
          <t>DEGERFORS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11085-2023</t>
        </is>
      </c>
      <c r="B66" s="1" t="n">
        <v>44986</v>
      </c>
      <c r="C66" s="1" t="n">
        <v>46174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59206-2024</t>
        </is>
      </c>
      <c r="B67" s="1" t="n">
        <v>45636</v>
      </c>
      <c r="C67" s="1" t="n">
        <v>46174</v>
      </c>
      <c r="D67" t="inlineStr">
        <is>
          <t>ÖREBRO LÄN</t>
        </is>
      </c>
      <c r="E67" t="inlineStr">
        <is>
          <t>DEGERFORS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46174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56886-2024</t>
        </is>
      </c>
      <c r="B69" s="1" t="n">
        <v>45628.57332175926</v>
      </c>
      <c r="C69" s="1" t="n">
        <v>46174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46174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46174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46174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44806-2023</t>
        </is>
      </c>
      <c r="B73" s="1" t="n">
        <v>45190.49174768518</v>
      </c>
      <c r="C73" s="1" t="n">
        <v>46174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5277-2024</t>
        </is>
      </c>
      <c r="B74" s="1" t="n">
        <v>45330</v>
      </c>
      <c r="C74" s="1" t="n">
        <v>46174</v>
      </c>
      <c r="D74" t="inlineStr">
        <is>
          <t>ÖREBRO LÄN</t>
        </is>
      </c>
      <c r="E74" t="inlineStr">
        <is>
          <t>DEGERFORS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18675-2025</t>
        </is>
      </c>
      <c r="B75" s="1" t="n">
        <v>45763.59862268518</v>
      </c>
      <c r="C75" s="1" t="n">
        <v>46174</v>
      </c>
      <c r="D75" t="inlineStr">
        <is>
          <t>ÖREBRO LÄN</t>
        </is>
      </c>
      <c r="E75" t="inlineStr">
        <is>
          <t>DEGERFORS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50378-2024</t>
        </is>
      </c>
      <c r="B76" s="1" t="n">
        <v>45601.2984375</v>
      </c>
      <c r="C76" s="1" t="n">
        <v>46174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7975-2025</t>
        </is>
      </c>
      <c r="B77" s="1" t="n">
        <v>45707.46203703704</v>
      </c>
      <c r="C77" s="1" t="n">
        <v>46174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33293-2023</t>
        </is>
      </c>
      <c r="B78" s="1" t="n">
        <v>45116</v>
      </c>
      <c r="C78" s="1" t="n">
        <v>46174</v>
      </c>
      <c r="D78" t="inlineStr">
        <is>
          <t>ÖREBRO LÄN</t>
        </is>
      </c>
      <c r="E78" t="inlineStr">
        <is>
          <t>DEGERFORS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47941-2024</t>
        </is>
      </c>
      <c r="B79" s="1" t="n">
        <v>45589.34931712963</v>
      </c>
      <c r="C79" s="1" t="n">
        <v>46174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29607-2022</t>
        </is>
      </c>
      <c r="B80" s="1" t="n">
        <v>44754.50530092593</v>
      </c>
      <c r="C80" s="1" t="n">
        <v>46174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44807-2023</t>
        </is>
      </c>
      <c r="B81" s="1" t="n">
        <v>45190.49269675926</v>
      </c>
      <c r="C81" s="1" t="n">
        <v>46174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37672-2024</t>
        </is>
      </c>
      <c r="B82" s="1" t="n">
        <v>45541.57966435186</v>
      </c>
      <c r="C82" s="1" t="n">
        <v>46174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21562-2024</t>
        </is>
      </c>
      <c r="B83" s="1" t="n">
        <v>45441.65392361111</v>
      </c>
      <c r="C83" s="1" t="n">
        <v>46174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51652-2023</t>
        </is>
      </c>
      <c r="B84" s="1" t="n">
        <v>45222</v>
      </c>
      <c r="C84" s="1" t="n">
        <v>46174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16480-2025</t>
        </is>
      </c>
      <c r="B85" s="1" t="n">
        <v>45751.57702546296</v>
      </c>
      <c r="C85" s="1" t="n">
        <v>46174</v>
      </c>
      <c r="D85" t="inlineStr">
        <is>
          <t>ÖREBRO LÄN</t>
        </is>
      </c>
      <c r="E85" t="inlineStr">
        <is>
          <t>DEGERFORS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46174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14633-2025</t>
        </is>
      </c>
      <c r="B87" s="1" t="n">
        <v>45742</v>
      </c>
      <c r="C87" s="1" t="n">
        <v>46174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46220-2024</t>
        </is>
      </c>
      <c r="B88" s="1" t="n">
        <v>45581.56866898148</v>
      </c>
      <c r="C88" s="1" t="n">
        <v>46174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46222-2024</t>
        </is>
      </c>
      <c r="B89" s="1" t="n">
        <v>45581.56938657408</v>
      </c>
      <c r="C89" s="1" t="n">
        <v>46174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10672-2024</t>
        </is>
      </c>
      <c r="B90" s="1" t="n">
        <v>45369.35207175926</v>
      </c>
      <c r="C90" s="1" t="n">
        <v>46174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2565-2022</t>
        </is>
      </c>
      <c r="B91" s="1" t="n">
        <v>44579</v>
      </c>
      <c r="C91" s="1" t="n">
        <v>46174</v>
      </c>
      <c r="D91" t="inlineStr">
        <is>
          <t>ÖREBRO LÄN</t>
        </is>
      </c>
      <c r="E91" t="inlineStr">
        <is>
          <t>DEGERFORS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50207-2024</t>
        </is>
      </c>
      <c r="B92" s="1" t="n">
        <v>45600.49782407407</v>
      </c>
      <c r="C92" s="1" t="n">
        <v>46174</v>
      </c>
      <c r="D92" t="inlineStr">
        <is>
          <t>ÖREBRO LÄN</t>
        </is>
      </c>
      <c r="E92" t="inlineStr">
        <is>
          <t>DEGERFORS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50208-2024</t>
        </is>
      </c>
      <c r="B93" s="1" t="n">
        <v>45600.49924768518</v>
      </c>
      <c r="C93" s="1" t="n">
        <v>46174</v>
      </c>
      <c r="D93" t="inlineStr">
        <is>
          <t>ÖREBRO LÄN</t>
        </is>
      </c>
      <c r="E93" t="inlineStr">
        <is>
          <t>DEGERFORS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38875-2025</t>
        </is>
      </c>
      <c r="B94" s="1" t="n">
        <v>45887</v>
      </c>
      <c r="C94" s="1" t="n">
        <v>46174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44457-2022</t>
        </is>
      </c>
      <c r="B95" s="1" t="n">
        <v>44839</v>
      </c>
      <c r="C95" s="1" t="n">
        <v>46174</v>
      </c>
      <c r="D95" t="inlineStr">
        <is>
          <t>ÖREBRO LÄN</t>
        </is>
      </c>
      <c r="E95" t="inlineStr">
        <is>
          <t>DEGERFORS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9525-2025</t>
        </is>
      </c>
      <c r="B96" s="1" t="n">
        <v>45715.56616898148</v>
      </c>
      <c r="C96" s="1" t="n">
        <v>46174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38872-2025</t>
        </is>
      </c>
      <c r="B97" s="1" t="n">
        <v>45887.5749074074</v>
      </c>
      <c r="C97" s="1" t="n">
        <v>46174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22659-2024</t>
        </is>
      </c>
      <c r="B98" s="1" t="n">
        <v>45447</v>
      </c>
      <c r="C98" s="1" t="n">
        <v>46174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32211-2022</t>
        </is>
      </c>
      <c r="B99" s="1" t="n">
        <v>44781.43078703704</v>
      </c>
      <c r="C99" s="1" t="n">
        <v>46174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13405-2024</t>
        </is>
      </c>
      <c r="B100" s="1" t="n">
        <v>45387.44760416666</v>
      </c>
      <c r="C100" s="1" t="n">
        <v>46174</v>
      </c>
      <c r="D100" t="inlineStr">
        <is>
          <t>ÖREBRO LÄN</t>
        </is>
      </c>
      <c r="E100" t="inlineStr">
        <is>
          <t>DEGERFORS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12729-2024</t>
        </is>
      </c>
      <c r="B101" s="1" t="n">
        <v>45384.49421296296</v>
      </c>
      <c r="C101" s="1" t="n">
        <v>46174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38874-2025</t>
        </is>
      </c>
      <c r="B102" s="1" t="n">
        <v>45887</v>
      </c>
      <c r="C102" s="1" t="n">
        <v>46174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38782-2025</t>
        </is>
      </c>
      <c r="B103" s="1" t="n">
        <v>45887</v>
      </c>
      <c r="C103" s="1" t="n">
        <v>46174</v>
      </c>
      <c r="D103" t="inlineStr">
        <is>
          <t>ÖREBRO LÄN</t>
        </is>
      </c>
      <c r="E103" t="inlineStr">
        <is>
          <t>DEGERFORS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12108-2024</t>
        </is>
      </c>
      <c r="B104" s="1" t="n">
        <v>45376</v>
      </c>
      <c r="C104" s="1" t="n">
        <v>46174</v>
      </c>
      <c r="D104" t="inlineStr">
        <is>
          <t>ÖREBRO LÄN</t>
        </is>
      </c>
      <c r="E104" t="inlineStr">
        <is>
          <t>DEGERFORS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18831-2025</t>
        </is>
      </c>
      <c r="B105" s="1" t="n">
        <v>45764.39109953704</v>
      </c>
      <c r="C105" s="1" t="n">
        <v>46174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60907-2023</t>
        </is>
      </c>
      <c r="B106" s="1" t="n">
        <v>45261</v>
      </c>
      <c r="C106" s="1" t="n">
        <v>46174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46174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21649-2024</t>
        </is>
      </c>
      <c r="B108" s="1" t="n">
        <v>45442.3671412037</v>
      </c>
      <c r="C108" s="1" t="n">
        <v>46174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46174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26176-2024</t>
        </is>
      </c>
      <c r="B110" s="1" t="n">
        <v>45468.55660879629</v>
      </c>
      <c r="C110" s="1" t="n">
        <v>46174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3177-2022</t>
        </is>
      </c>
      <c r="B111" s="1" t="n">
        <v>44582.61244212963</v>
      </c>
      <c r="C111" s="1" t="n">
        <v>46174</v>
      </c>
      <c r="D111" t="inlineStr">
        <is>
          <t>ÖREBRO LÄN</t>
        </is>
      </c>
      <c r="E111" t="inlineStr">
        <is>
          <t>DEGERFORS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50766-2024</t>
        </is>
      </c>
      <c r="B112" s="1" t="n">
        <v>45602.43986111111</v>
      </c>
      <c r="C112" s="1" t="n">
        <v>46174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46174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46290-2024</t>
        </is>
      </c>
      <c r="B114" s="1" t="n">
        <v>45581.66018518519</v>
      </c>
      <c r="C114" s="1" t="n">
        <v>46174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58479-2024</t>
        </is>
      </c>
      <c r="B115" s="1" t="n">
        <v>45635.38675925926</v>
      </c>
      <c r="C115" s="1" t="n">
        <v>46174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52506-2024</t>
        </is>
      </c>
      <c r="B116" s="1" t="n">
        <v>45609</v>
      </c>
      <c r="C116" s="1" t="n">
        <v>46174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52523-2024</t>
        </is>
      </c>
      <c r="B117" s="1" t="n">
        <v>45609</v>
      </c>
      <c r="C117" s="1" t="n">
        <v>46174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41369-2025</t>
        </is>
      </c>
      <c r="B118" s="1" t="n">
        <v>45900.56857638889</v>
      </c>
      <c r="C118" s="1" t="n">
        <v>46174</v>
      </c>
      <c r="D118" t="inlineStr">
        <is>
          <t>ÖREBRO LÄN</t>
        </is>
      </c>
      <c r="E118" t="inlineStr">
        <is>
          <t>DEGERFORS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58197-2024</t>
        </is>
      </c>
      <c r="B119" s="1" t="n">
        <v>45632.48092592593</v>
      </c>
      <c r="C119" s="1" t="n">
        <v>46174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41642-2025</t>
        </is>
      </c>
      <c r="B120" s="1" t="n">
        <v>45901</v>
      </c>
      <c r="C120" s="1" t="n">
        <v>46174</v>
      </c>
      <c r="D120" t="inlineStr">
        <is>
          <t>ÖREBRO LÄN</t>
        </is>
      </c>
      <c r="E120" t="inlineStr">
        <is>
          <t>DEGERFORS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32154-2023</t>
        </is>
      </c>
      <c r="B121" s="1" t="n">
        <v>45119</v>
      </c>
      <c r="C121" s="1" t="n">
        <v>46174</v>
      </c>
      <c r="D121" t="inlineStr">
        <is>
          <t>ÖREBRO LÄN</t>
        </is>
      </c>
      <c r="E121" t="inlineStr">
        <is>
          <t>DEGERFORS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54515-2023</t>
        </is>
      </c>
      <c r="B122" s="1" t="n">
        <v>45233.57033564815</v>
      </c>
      <c r="C122" s="1" t="n">
        <v>46174</v>
      </c>
      <c r="D122" t="inlineStr">
        <is>
          <t>ÖREBRO LÄN</t>
        </is>
      </c>
      <c r="E122" t="inlineStr">
        <is>
          <t>DEGERFORS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41767-2025</t>
        </is>
      </c>
      <c r="B123" s="1" t="n">
        <v>45902.54892361111</v>
      </c>
      <c r="C123" s="1" t="n">
        <v>46174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41766-2025</t>
        </is>
      </c>
      <c r="B124" s="1" t="n">
        <v>45902.54806712963</v>
      </c>
      <c r="C124" s="1" t="n">
        <v>46174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54994-2024</t>
        </is>
      </c>
      <c r="B125" s="1" t="n">
        <v>45621.27174768518</v>
      </c>
      <c r="C125" s="1" t="n">
        <v>46174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56464-2024</t>
        </is>
      </c>
      <c r="B126" s="1" t="n">
        <v>45624</v>
      </c>
      <c r="C126" s="1" t="n">
        <v>46174</v>
      </c>
      <c r="D126" t="inlineStr">
        <is>
          <t>ÖREBRO LÄN</t>
        </is>
      </c>
      <c r="E126" t="inlineStr">
        <is>
          <t>DEGERFORS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44509.65712962963</v>
      </c>
      <c r="C127" s="1" t="n">
        <v>46174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13236-2025</t>
        </is>
      </c>
      <c r="B128" s="1" t="n">
        <v>45735.47133101852</v>
      </c>
      <c r="C128" s="1" t="n">
        <v>46174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38743-2022</t>
        </is>
      </c>
      <c r="B129" s="1" t="n">
        <v>44816.34265046296</v>
      </c>
      <c r="C129" s="1" t="n">
        <v>46174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13415-2025</t>
        </is>
      </c>
      <c r="B130" s="1" t="n">
        <v>45736.28094907408</v>
      </c>
      <c r="C130" s="1" t="n">
        <v>46174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25177-2024</t>
        </is>
      </c>
      <c r="B131" s="1" t="n">
        <v>45462.546875</v>
      </c>
      <c r="C131" s="1" t="n">
        <v>46174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13412-2025</t>
        </is>
      </c>
      <c r="B132" s="1" t="n">
        <v>45736.27773148148</v>
      </c>
      <c r="C132" s="1" t="n">
        <v>46174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47935-2024</t>
        </is>
      </c>
      <c r="B133" s="1" t="n">
        <v>45589.34674768519</v>
      </c>
      <c r="C133" s="1" t="n">
        <v>46174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52508-2024</t>
        </is>
      </c>
      <c r="B134" s="1" t="n">
        <v>45609</v>
      </c>
      <c r="C134" s="1" t="n">
        <v>46174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46219-2024</t>
        </is>
      </c>
      <c r="B135" s="1" t="n">
        <v>45581.56686342593</v>
      </c>
      <c r="C135" s="1" t="n">
        <v>46174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43690-2025</t>
        </is>
      </c>
      <c r="B136" s="1" t="n">
        <v>45912.38975694445</v>
      </c>
      <c r="C136" s="1" t="n">
        <v>46174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43694-2025</t>
        </is>
      </c>
      <c r="B137" s="1" t="n">
        <v>45912.39295138889</v>
      </c>
      <c r="C137" s="1" t="n">
        <v>46174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43691-2025</t>
        </is>
      </c>
      <c r="B138" s="1" t="n">
        <v>45912.39130787037</v>
      </c>
      <c r="C138" s="1" t="n">
        <v>46174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43752-2025</t>
        </is>
      </c>
      <c r="B139" s="1" t="n">
        <v>45912</v>
      </c>
      <c r="C139" s="1" t="n">
        <v>46174</v>
      </c>
      <c r="D139" t="inlineStr">
        <is>
          <t>ÖREBRO LÄN</t>
        </is>
      </c>
      <c r="E139" t="inlineStr">
        <is>
          <t>DEGERFORS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46174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43692-2025</t>
        </is>
      </c>
      <c r="B141" s="1" t="n">
        <v>45912.39221064815</v>
      </c>
      <c r="C141" s="1" t="n">
        <v>46174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43689-2025</t>
        </is>
      </c>
      <c r="B142" s="1" t="n">
        <v>45912.38899305555</v>
      </c>
      <c r="C142" s="1" t="n">
        <v>46174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50377-2024</t>
        </is>
      </c>
      <c r="B143" s="1" t="n">
        <v>45601.29576388889</v>
      </c>
      <c r="C143" s="1" t="n">
        <v>46174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8059-2024</t>
        </is>
      </c>
      <c r="B144" s="1" t="n">
        <v>45351</v>
      </c>
      <c r="C144" s="1" t="n">
        <v>46174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44642-2025</t>
        </is>
      </c>
      <c r="B145" s="1" t="n">
        <v>45917.52719907407</v>
      </c>
      <c r="C145" s="1" t="n">
        <v>46174</v>
      </c>
      <c r="D145" t="inlineStr">
        <is>
          <t>ÖREBRO LÄN</t>
        </is>
      </c>
      <c r="E145" t="inlineStr">
        <is>
          <t>DEGERFORS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44735-2021</t>
        </is>
      </c>
      <c r="B146" s="1" t="n">
        <v>44438</v>
      </c>
      <c r="C146" s="1" t="n">
        <v>46174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10674-2024</t>
        </is>
      </c>
      <c r="B147" s="1" t="n">
        <v>45369.35297453704</v>
      </c>
      <c r="C147" s="1" t="n">
        <v>46174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60933-2024</t>
        </is>
      </c>
      <c r="B148" s="1" t="n">
        <v>45645.36615740741</v>
      </c>
      <c r="C148" s="1" t="n">
        <v>46174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29482-2023</t>
        </is>
      </c>
      <c r="B149" s="1" t="n">
        <v>45106.57938657407</v>
      </c>
      <c r="C149" s="1" t="n">
        <v>46174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73693-2021</t>
        </is>
      </c>
      <c r="B150" s="1" t="n">
        <v>44552.48893518518</v>
      </c>
      <c r="C150" s="1" t="n">
        <v>46174</v>
      </c>
      <c r="D150" t="inlineStr">
        <is>
          <t>ÖREBRO LÄN</t>
        </is>
      </c>
      <c r="E150" t="inlineStr">
        <is>
          <t>DEGERFORS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59158-2022</t>
        </is>
      </c>
      <c r="B151" s="1" t="n">
        <v>44904</v>
      </c>
      <c r="C151" s="1" t="n">
        <v>46174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58120-2024</t>
        </is>
      </c>
      <c r="B152" s="1" t="n">
        <v>45632.39280092593</v>
      </c>
      <c r="C152" s="1" t="n">
        <v>46174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58125-2024</t>
        </is>
      </c>
      <c r="B153" s="1" t="n">
        <v>45632.39546296297</v>
      </c>
      <c r="C153" s="1" t="n">
        <v>46174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58164-2024</t>
        </is>
      </c>
      <c r="B154" s="1" t="n">
        <v>45632.45396990741</v>
      </c>
      <c r="C154" s="1" t="n">
        <v>46174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60937-2024</t>
        </is>
      </c>
      <c r="B155" s="1" t="n">
        <v>45645.3683912037</v>
      </c>
      <c r="C155" s="1" t="n">
        <v>46174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60940-2024</t>
        </is>
      </c>
      <c r="B156" s="1" t="n">
        <v>45645.37079861111</v>
      </c>
      <c r="C156" s="1" t="n">
        <v>46174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18773-2025</t>
        </is>
      </c>
      <c r="B157" s="1" t="n">
        <v>45763</v>
      </c>
      <c r="C157" s="1" t="n">
        <v>46174</v>
      </c>
      <c r="D157" t="inlineStr">
        <is>
          <t>ÖREBRO LÄN</t>
        </is>
      </c>
      <c r="E157" t="inlineStr">
        <is>
          <t>DEGERFORS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9511-2025</t>
        </is>
      </c>
      <c r="B158" s="1" t="n">
        <v>45715.53921296296</v>
      </c>
      <c r="C158" s="1" t="n">
        <v>46174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10320-2023</t>
        </is>
      </c>
      <c r="B159" s="1" t="n">
        <v>44986</v>
      </c>
      <c r="C159" s="1" t="n">
        <v>46174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52566-2023</t>
        </is>
      </c>
      <c r="B160" s="1" t="n">
        <v>45219</v>
      </c>
      <c r="C160" s="1" t="n">
        <v>46174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10797-2023</t>
        </is>
      </c>
      <c r="B161" s="1" t="n">
        <v>44989</v>
      </c>
      <c r="C161" s="1" t="n">
        <v>46174</v>
      </c>
      <c r="D161" t="inlineStr">
        <is>
          <t>ÖREBRO LÄN</t>
        </is>
      </c>
      <c r="E161" t="inlineStr">
        <is>
          <t>DEGERFORS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46174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50764-2024</t>
        </is>
      </c>
      <c r="B163" s="1" t="n">
        <v>45602.43876157407</v>
      </c>
      <c r="C163" s="1" t="n">
        <v>46174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33658-2024</t>
        </is>
      </c>
      <c r="B164" s="1" t="n">
        <v>45520.46899305555</v>
      </c>
      <c r="C164" s="1" t="n">
        <v>46174</v>
      </c>
      <c r="D164" t="inlineStr">
        <is>
          <t>ÖREBRO LÄN</t>
        </is>
      </c>
      <c r="E164" t="inlineStr">
        <is>
          <t>DEGERFORS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57234-2024</t>
        </is>
      </c>
      <c r="B165" s="1" t="n">
        <v>45629.54484953704</v>
      </c>
      <c r="C165" s="1" t="n">
        <v>46174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14452-2025</t>
        </is>
      </c>
      <c r="B166" s="1" t="n">
        <v>45741.56143518518</v>
      </c>
      <c r="C166" s="1" t="n">
        <v>46174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45861-2023</t>
        </is>
      </c>
      <c r="B167" s="1" t="n">
        <v>45195</v>
      </c>
      <c r="C167" s="1" t="n">
        <v>46174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48625-2025</t>
        </is>
      </c>
      <c r="B168" s="1" t="n">
        <v>45936.50938657407</v>
      </c>
      <c r="C168" s="1" t="n">
        <v>46174</v>
      </c>
      <c r="D168" t="inlineStr">
        <is>
          <t>ÖREBRO LÄN</t>
        </is>
      </c>
      <c r="E168" t="inlineStr">
        <is>
          <t>DEGERFORS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44841-2023</t>
        </is>
      </c>
      <c r="B169" s="1" t="n">
        <v>45190.55920138889</v>
      </c>
      <c r="C169" s="1" t="n">
        <v>46174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13414-2025</t>
        </is>
      </c>
      <c r="B170" s="1" t="n">
        <v>45736.2803125</v>
      </c>
      <c r="C170" s="1" t="n">
        <v>46174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43768-2024</t>
        </is>
      </c>
      <c r="B171" s="1" t="n">
        <v>45569</v>
      </c>
      <c r="C171" s="1" t="n">
        <v>46174</v>
      </c>
      <c r="D171" t="inlineStr">
        <is>
          <t>ÖREBRO LÄN</t>
        </is>
      </c>
      <c r="E171" t="inlineStr">
        <is>
          <t>DEGERFORS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12148-2025</t>
        </is>
      </c>
      <c r="B172" s="1" t="n">
        <v>45729</v>
      </c>
      <c r="C172" s="1" t="n">
        <v>46174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13413-2025</t>
        </is>
      </c>
      <c r="B173" s="1" t="n">
        <v>45736.27847222222</v>
      </c>
      <c r="C173" s="1" t="n">
        <v>46174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8074-2024</t>
        </is>
      </c>
      <c r="B174" s="1" t="n">
        <v>45351.42106481481</v>
      </c>
      <c r="C174" s="1" t="n">
        <v>46174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51040-2025</t>
        </is>
      </c>
      <c r="B175" s="1" t="n">
        <v>45947.41420138889</v>
      </c>
      <c r="C175" s="1" t="n">
        <v>46174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27438-2024</t>
        </is>
      </c>
      <c r="B176" s="1" t="n">
        <v>45474.40971064815</v>
      </c>
      <c r="C176" s="1" t="n">
        <v>46174</v>
      </c>
      <c r="D176" t="inlineStr">
        <is>
          <t>ÖREBRO LÄN</t>
        </is>
      </c>
      <c r="E176" t="inlineStr">
        <is>
          <t>DEGERFORS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21952-2024</t>
        </is>
      </c>
      <c r="B177" s="1" t="n">
        <v>45443.48370370371</v>
      </c>
      <c r="C177" s="1" t="n">
        <v>46174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44816.34217592593</v>
      </c>
      <c r="C178" s="1" t="n">
        <v>46174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14677-2025</t>
        </is>
      </c>
      <c r="B179" s="1" t="n">
        <v>45742.56465277778</v>
      </c>
      <c r="C179" s="1" t="n">
        <v>46174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9510-2025</t>
        </is>
      </c>
      <c r="B180" s="1" t="n">
        <v>45715.53829861111</v>
      </c>
      <c r="C180" s="1" t="n">
        <v>46174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52099-2025</t>
        </is>
      </c>
      <c r="B181" s="1" t="n">
        <v>45952</v>
      </c>
      <c r="C181" s="1" t="n">
        <v>46174</v>
      </c>
      <c r="D181" t="inlineStr">
        <is>
          <t>ÖREBRO LÄN</t>
        </is>
      </c>
      <c r="E181" t="inlineStr">
        <is>
          <t>DEGERFORS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14680-2025</t>
        </is>
      </c>
      <c r="B182" s="1" t="n">
        <v>45742.56774305556</v>
      </c>
      <c r="C182" s="1" t="n">
        <v>46174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62972-2023</t>
        </is>
      </c>
      <c r="B183" s="1" t="n">
        <v>45272</v>
      </c>
      <c r="C183" s="1" t="n">
        <v>46174</v>
      </c>
      <c r="D183" t="inlineStr">
        <is>
          <t>ÖREBRO LÄN</t>
        </is>
      </c>
      <c r="E183" t="inlineStr">
        <is>
          <t>DEGERFORS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52528-2024</t>
        </is>
      </c>
      <c r="B184" s="1" t="n">
        <v>45609</v>
      </c>
      <c r="C184" s="1" t="n">
        <v>46174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52131-2021</t>
        </is>
      </c>
      <c r="B185" s="1" t="n">
        <v>44463</v>
      </c>
      <c r="C185" s="1" t="n">
        <v>46174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12143-2025</t>
        </is>
      </c>
      <c r="B186" s="1" t="n">
        <v>45729</v>
      </c>
      <c r="C186" s="1" t="n">
        <v>46174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52490-2024</t>
        </is>
      </c>
      <c r="B187" s="1" t="n">
        <v>45609.55875</v>
      </c>
      <c r="C187" s="1" t="n">
        <v>46174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14634-2025</t>
        </is>
      </c>
      <c r="B188" s="1" t="n">
        <v>45742</v>
      </c>
      <c r="C188" s="1" t="n">
        <v>46174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51653-2023</t>
        </is>
      </c>
      <c r="B189" s="1" t="n">
        <v>45222</v>
      </c>
      <c r="C189" s="1" t="n">
        <v>46174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58477-2024</t>
        </is>
      </c>
      <c r="B190" s="1" t="n">
        <v>45635.38418981482</v>
      </c>
      <c r="C190" s="1" t="n">
        <v>46174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46288-2024</t>
        </is>
      </c>
      <c r="B191" s="1" t="n">
        <v>45581.65881944444</v>
      </c>
      <c r="C191" s="1" t="n">
        <v>46174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26182-2024</t>
        </is>
      </c>
      <c r="B192" s="1" t="n">
        <v>45468</v>
      </c>
      <c r="C192" s="1" t="n">
        <v>46174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12678-2025</t>
        </is>
      </c>
      <c r="B193" s="1" t="n">
        <v>45733.44137731481</v>
      </c>
      <c r="C193" s="1" t="n">
        <v>46174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54235-2025</t>
        </is>
      </c>
      <c r="B194" s="1" t="n">
        <v>45964.62569444445</v>
      </c>
      <c r="C194" s="1" t="n">
        <v>46174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20577-2023</t>
        </is>
      </c>
      <c r="B195" s="1" t="n">
        <v>45057</v>
      </c>
      <c r="C195" s="1" t="n">
        <v>46174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51996-2023</t>
        </is>
      </c>
      <c r="B196" s="1" t="n">
        <v>45223</v>
      </c>
      <c r="C196" s="1" t="n">
        <v>46174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45365-2023</t>
        </is>
      </c>
      <c r="B197" s="1" t="n">
        <v>45192.69640046296</v>
      </c>
      <c r="C197" s="1" t="n">
        <v>46174</v>
      </c>
      <c r="D197" t="inlineStr">
        <is>
          <t>ÖREBRO LÄN</t>
        </is>
      </c>
      <c r="E197" t="inlineStr">
        <is>
          <t>DEGERFORS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6387-2024</t>
        </is>
      </c>
      <c r="B198" s="1" t="n">
        <v>45338.56366898148</v>
      </c>
      <c r="C198" s="1" t="n">
        <v>46174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54232-2025</t>
        </is>
      </c>
      <c r="B199" s="1" t="n">
        <v>45964.62188657407</v>
      </c>
      <c r="C199" s="1" t="n">
        <v>46174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54233-2025</t>
        </is>
      </c>
      <c r="B200" s="1" t="n">
        <v>45964.62453703704</v>
      </c>
      <c r="C200" s="1" t="n">
        <v>46174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58629-2024</t>
        </is>
      </c>
      <c r="B201" s="1" t="n">
        <v>45635.57008101852</v>
      </c>
      <c r="C201" s="1" t="n">
        <v>46174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46147-2024</t>
        </is>
      </c>
      <c r="B202" s="1" t="n">
        <v>45581.45158564814</v>
      </c>
      <c r="C202" s="1" t="n">
        <v>46174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61750-2021</t>
        </is>
      </c>
      <c r="B203" s="1" t="n">
        <v>44501.64055555555</v>
      </c>
      <c r="C203" s="1" t="n">
        <v>46174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54082-2024</t>
        </is>
      </c>
      <c r="B204" s="1" t="n">
        <v>45616.4956712963</v>
      </c>
      <c r="C204" s="1" t="n">
        <v>46174</v>
      </c>
      <c r="D204" t="inlineStr">
        <is>
          <t>ÖREBRO LÄN</t>
        </is>
      </c>
      <c r="E204" t="inlineStr">
        <is>
          <t>DEGERFORS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55341-2025</t>
        </is>
      </c>
      <c r="B205" s="1" t="n">
        <v>45971.34751157407</v>
      </c>
      <c r="C205" s="1" t="n">
        <v>46174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7472-2025</t>
        </is>
      </c>
      <c r="B206" s="1" t="n">
        <v>45705.46409722222</v>
      </c>
      <c r="C206" s="1" t="n">
        <v>46174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23854-2026</t>
        </is>
      </c>
      <c r="B207" s="1" t="n">
        <v>46167.38625</v>
      </c>
      <c r="C207" s="1" t="n">
        <v>46174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50102-2023</t>
        </is>
      </c>
      <c r="B208" s="1" t="n">
        <v>45215</v>
      </c>
      <c r="C208" s="1" t="n">
        <v>46174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57086-2025</t>
        </is>
      </c>
      <c r="B209" s="1" t="n">
        <v>45979.42208333333</v>
      </c>
      <c r="C209" s="1" t="n">
        <v>46174</v>
      </c>
      <c r="D209" t="inlineStr">
        <is>
          <t>ÖREBRO LÄN</t>
        </is>
      </c>
      <c r="E209" t="inlineStr">
        <is>
          <t>DEGERFORS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24689-2026</t>
        </is>
      </c>
      <c r="B210" s="1" t="n">
        <v>46171.47777777778</v>
      </c>
      <c r="C210" s="1" t="n">
        <v>46174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18913-2026</t>
        </is>
      </c>
      <c r="B211" s="1" t="n">
        <v>46129.50850694445</v>
      </c>
      <c r="C211" s="1" t="n">
        <v>46174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18469-2026</t>
        </is>
      </c>
      <c r="B212" s="1" t="n">
        <v>46127.43012731482</v>
      </c>
      <c r="C212" s="1" t="n">
        <v>46174</v>
      </c>
      <c r="D212" t="inlineStr">
        <is>
          <t>ÖREBRO LÄN</t>
        </is>
      </c>
      <c r="E212" t="inlineStr">
        <is>
          <t>DEGERFORS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24462-2026</t>
        </is>
      </c>
      <c r="B213" s="1" t="n">
        <v>46170.37962962963</v>
      </c>
      <c r="C213" s="1" t="n">
        <v>46174</v>
      </c>
      <c r="D213" t="inlineStr">
        <is>
          <t>ÖREBRO LÄN</t>
        </is>
      </c>
      <c r="E213" t="inlineStr">
        <is>
          <t>DEGERFORS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62982-2023</t>
        </is>
      </c>
      <c r="B214" s="1" t="n">
        <v>45272</v>
      </c>
      <c r="C214" s="1" t="n">
        <v>46174</v>
      </c>
      <c r="D214" t="inlineStr">
        <is>
          <t>ÖREBRO LÄN</t>
        </is>
      </c>
      <c r="E214" t="inlineStr">
        <is>
          <t>DEGERFORS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24460-2026</t>
        </is>
      </c>
      <c r="B215" s="1" t="n">
        <v>46170.3780787037</v>
      </c>
      <c r="C215" s="1" t="n">
        <v>46174</v>
      </c>
      <c r="D215" t="inlineStr">
        <is>
          <t>ÖREBRO LÄN</t>
        </is>
      </c>
      <c r="E215" t="inlineStr">
        <is>
          <t>DEGERFORS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21935-2024</t>
        </is>
      </c>
      <c r="B216" s="1" t="n">
        <v>45443.47237268519</v>
      </c>
      <c r="C216" s="1" t="n">
        <v>46174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18506-2026</t>
        </is>
      </c>
      <c r="B217" s="1" t="n">
        <v>46127.48443287037</v>
      </c>
      <c r="C217" s="1" t="n">
        <v>46174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23460-2024</t>
        </is>
      </c>
      <c r="B218" s="1" t="n">
        <v>45453.65363425926</v>
      </c>
      <c r="C218" s="1" t="n">
        <v>46174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60524-2025</t>
        </is>
      </c>
      <c r="B219" s="1" t="n">
        <v>45995.64032407408</v>
      </c>
      <c r="C219" s="1" t="n">
        <v>46174</v>
      </c>
      <c r="D219" t="inlineStr">
        <is>
          <t>ÖREBRO LÄN</t>
        </is>
      </c>
      <c r="E219" t="inlineStr">
        <is>
          <t>DEGERFORS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24707-2025</t>
        </is>
      </c>
      <c r="B220" s="1" t="n">
        <v>45798.81579861111</v>
      </c>
      <c r="C220" s="1" t="n">
        <v>46174</v>
      </c>
      <c r="D220" t="inlineStr">
        <is>
          <t>ÖREBRO LÄN</t>
        </is>
      </c>
      <c r="E220" t="inlineStr">
        <is>
          <t>DEGERFORS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60736-2025</t>
        </is>
      </c>
      <c r="B221" s="1" t="n">
        <v>45996.78688657407</v>
      </c>
      <c r="C221" s="1" t="n">
        <v>46174</v>
      </c>
      <c r="D221" t="inlineStr">
        <is>
          <t>ÖREBRO LÄN</t>
        </is>
      </c>
      <c r="E221" t="inlineStr">
        <is>
          <t>DEGERFORS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5218-2024</t>
        </is>
      </c>
      <c r="B222" s="1" t="n">
        <v>45330.64273148148</v>
      </c>
      <c r="C222" s="1" t="n">
        <v>46174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60708-2025</t>
        </is>
      </c>
      <c r="B223" s="1" t="n">
        <v>45996.6211574074</v>
      </c>
      <c r="C223" s="1" t="n">
        <v>46174</v>
      </c>
      <c r="D223" t="inlineStr">
        <is>
          <t>ÖREBRO LÄN</t>
        </is>
      </c>
      <c r="E223" t="inlineStr">
        <is>
          <t>DEGERFORS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38917-2023</t>
        </is>
      </c>
      <c r="B224" s="1" t="n">
        <v>45163</v>
      </c>
      <c r="C224" s="1" t="n">
        <v>46174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38907-2023</t>
        </is>
      </c>
      <c r="B225" s="1" t="n">
        <v>45163</v>
      </c>
      <c r="C225" s="1" t="n">
        <v>46174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48118-2023</t>
        </is>
      </c>
      <c r="B226" s="1" t="n">
        <v>45205</v>
      </c>
      <c r="C226" s="1" t="n">
        <v>46174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25744-2025</t>
        </is>
      </c>
      <c r="B227" s="1" t="n">
        <v>45804.18709490741</v>
      </c>
      <c r="C227" s="1" t="n">
        <v>46174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26301-2025</t>
        </is>
      </c>
      <c r="B228" s="1" t="n">
        <v>45805.63861111111</v>
      </c>
      <c r="C228" s="1" t="n">
        <v>46174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26147-2025</t>
        </is>
      </c>
      <c r="B229" s="1" t="n">
        <v>45805.4308912037</v>
      </c>
      <c r="C229" s="1" t="n">
        <v>46174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26170-2025</t>
        </is>
      </c>
      <c r="B230" s="1" t="n">
        <v>45805.46351851852</v>
      </c>
      <c r="C230" s="1" t="n">
        <v>46174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26153-2025</t>
        </is>
      </c>
      <c r="B231" s="1" t="n">
        <v>45805.43332175926</v>
      </c>
      <c r="C231" s="1" t="n">
        <v>46174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25923-2025</t>
        </is>
      </c>
      <c r="B232" s="1" t="n">
        <v>45804</v>
      </c>
      <c r="C232" s="1" t="n">
        <v>46174</v>
      </c>
      <c r="D232" t="inlineStr">
        <is>
          <t>ÖREBRO LÄN</t>
        </is>
      </c>
      <c r="E232" t="inlineStr">
        <is>
          <t>DEGERFORS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26820-2025</t>
        </is>
      </c>
      <c r="B233" s="1" t="n">
        <v>45810.63664351852</v>
      </c>
      <c r="C233" s="1" t="n">
        <v>46174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26783-2025</t>
        </is>
      </c>
      <c r="B234" s="1" t="n">
        <v>45810.5834375</v>
      </c>
      <c r="C234" s="1" t="n">
        <v>46174</v>
      </c>
      <c r="D234" t="inlineStr">
        <is>
          <t>ÖREBRO LÄN</t>
        </is>
      </c>
      <c r="E234" t="inlineStr">
        <is>
          <t>DEGERFORS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770-2026</t>
        </is>
      </c>
      <c r="B235" s="1" t="n">
        <v>46027</v>
      </c>
      <c r="C235" s="1" t="n">
        <v>46174</v>
      </c>
      <c r="D235" t="inlineStr">
        <is>
          <t>ÖREBRO LÄN</t>
        </is>
      </c>
      <c r="E235" t="inlineStr">
        <is>
          <t>DEGERFORS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28367-2025</t>
        </is>
      </c>
      <c r="B236" s="1" t="n">
        <v>45819</v>
      </c>
      <c r="C236" s="1" t="n">
        <v>46174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28368-2025</t>
        </is>
      </c>
      <c r="B237" s="1" t="n">
        <v>45819.21581018518</v>
      </c>
      <c r="C237" s="1" t="n">
        <v>46174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28370-2025</t>
        </is>
      </c>
      <c r="B238" s="1" t="n">
        <v>45819.22013888889</v>
      </c>
      <c r="C238" s="1" t="n">
        <v>46174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28369-2025</t>
        </is>
      </c>
      <c r="B239" s="1" t="n">
        <v>45819.21905092592</v>
      </c>
      <c r="C239" s="1" t="n">
        <v>46174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23066-2022</t>
        </is>
      </c>
      <c r="B240" s="1" t="n">
        <v>44719.45199074074</v>
      </c>
      <c r="C240" s="1" t="n">
        <v>46174</v>
      </c>
      <c r="D240" t="inlineStr">
        <is>
          <t>ÖREBRO LÄN</t>
        </is>
      </c>
      <c r="E240" t="inlineStr">
        <is>
          <t>DEGERFORS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4256-2026</t>
        </is>
      </c>
      <c r="B241" s="1" t="n">
        <v>46045.33489583333</v>
      </c>
      <c r="C241" s="1" t="n">
        <v>46174</v>
      </c>
      <c r="D241" t="inlineStr">
        <is>
          <t>ÖREBRO LÄN</t>
        </is>
      </c>
      <c r="E241" t="inlineStr">
        <is>
          <t>DEGERFORS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31603-2025</t>
        </is>
      </c>
      <c r="B242" s="1" t="n">
        <v>45833.73876157407</v>
      </c>
      <c r="C242" s="1" t="n">
        <v>46174</v>
      </c>
      <c r="D242" t="inlineStr">
        <is>
          <t>ÖREBRO LÄN</t>
        </is>
      </c>
      <c r="E242" t="inlineStr">
        <is>
          <t>DEGERFORS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32300-2025</t>
        </is>
      </c>
      <c r="B243" s="1" t="n">
        <v>45835.71607638889</v>
      </c>
      <c r="C243" s="1" t="n">
        <v>46174</v>
      </c>
      <c r="D243" t="inlineStr">
        <is>
          <t>ÖREBRO LÄN</t>
        </is>
      </c>
      <c r="E243" t="inlineStr">
        <is>
          <t>DEGERFORS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32717-2025</t>
        </is>
      </c>
      <c r="B244" s="1" t="n">
        <v>45839.37686342592</v>
      </c>
      <c r="C244" s="1" t="n">
        <v>46174</v>
      </c>
      <c r="D244" t="inlineStr">
        <is>
          <t>ÖREBRO LÄN</t>
        </is>
      </c>
      <c r="E244" t="inlineStr">
        <is>
          <t>DEGERFORS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33404-2025</t>
        </is>
      </c>
      <c r="B245" s="1" t="n">
        <v>45841</v>
      </c>
      <c r="C245" s="1" t="n">
        <v>46174</v>
      </c>
      <c r="D245" t="inlineStr">
        <is>
          <t>ÖREBRO LÄN</t>
        </is>
      </c>
      <c r="E245" t="inlineStr">
        <is>
          <t>DEGERFORS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59863-2024</t>
        </is>
      </c>
      <c r="B246" s="1" t="n">
        <v>45639</v>
      </c>
      <c r="C246" s="1" t="n">
        <v>46174</v>
      </c>
      <c r="D246" t="inlineStr">
        <is>
          <t>ÖREBRO LÄN</t>
        </is>
      </c>
      <c r="E246" t="inlineStr">
        <is>
          <t>DEGERFORS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14678-2025</t>
        </is>
      </c>
      <c r="B247" s="1" t="n">
        <v>45742.56563657407</v>
      </c>
      <c r="C247" s="1" t="n">
        <v>46174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14681-2025</t>
        </is>
      </c>
      <c r="B248" s="1" t="n">
        <v>45742.56857638889</v>
      </c>
      <c r="C248" s="1" t="n">
        <v>46174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35706-2025</t>
        </is>
      </c>
      <c r="B249" s="1" t="n">
        <v>45860.37125</v>
      </c>
      <c r="C249" s="1" t="n">
        <v>46174</v>
      </c>
      <c r="D249" t="inlineStr">
        <is>
          <t>ÖREBRO LÄN</t>
        </is>
      </c>
      <c r="E249" t="inlineStr">
        <is>
          <t>DEGERFORS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9273-2026</t>
        </is>
      </c>
      <c r="B250" s="1" t="n">
        <v>46070</v>
      </c>
      <c r="C250" s="1" t="n">
        <v>46174</v>
      </c>
      <c r="D250" t="inlineStr">
        <is>
          <t>ÖREBRO LÄN</t>
        </is>
      </c>
      <c r="E250" t="inlineStr">
        <is>
          <t>DEGERFORS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12159-2026</t>
        </is>
      </c>
      <c r="B251" s="1" t="n">
        <v>46086.63024305556</v>
      </c>
      <c r="C251" s="1" t="n">
        <v>46174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12160-2026</t>
        </is>
      </c>
      <c r="B252" s="1" t="n">
        <v>46086.63143518518</v>
      </c>
      <c r="C252" s="1" t="n">
        <v>46174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36768-2025</t>
        </is>
      </c>
      <c r="B253" s="1" t="n">
        <v>45873.58413194444</v>
      </c>
      <c r="C253" s="1" t="n">
        <v>46174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36769-2025</t>
        </is>
      </c>
      <c r="B254" s="1" t="n">
        <v>45873.58680555555</v>
      </c>
      <c r="C254" s="1" t="n">
        <v>46174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12162-2026</t>
        </is>
      </c>
      <c r="B255" s="1" t="n">
        <v>46086.63362268519</v>
      </c>
      <c r="C255" s="1" t="n">
        <v>46174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23683-2025</t>
        </is>
      </c>
      <c r="B256" s="1" t="n">
        <v>45793.34197916667</v>
      </c>
      <c r="C256" s="1" t="n">
        <v>46174</v>
      </c>
      <c r="D256" t="inlineStr">
        <is>
          <t>ÖREBRO LÄN</t>
        </is>
      </c>
      <c r="E256" t="inlineStr">
        <is>
          <t>DEGERFORS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12161-2026</t>
        </is>
      </c>
      <c r="B257" s="1" t="n">
        <v>46086.63248842592</v>
      </c>
      <c r="C257" s="1" t="n">
        <v>46174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19227-2026</t>
        </is>
      </c>
      <c r="B258" s="1" t="n">
        <v>46132.64737268518</v>
      </c>
      <c r="C258" s="1" t="n">
        <v>46174</v>
      </c>
      <c r="D258" t="inlineStr">
        <is>
          <t>ÖREBRO LÄN</t>
        </is>
      </c>
      <c r="E258" t="inlineStr">
        <is>
          <t>DEGERFORS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12936-2026</t>
        </is>
      </c>
      <c r="B259" s="1" t="n">
        <v>46092.61789351852</v>
      </c>
      <c r="C259" s="1" t="n">
        <v>46174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37333-2025</t>
        </is>
      </c>
      <c r="B260" s="1" t="n">
        <v>45876.66482638889</v>
      </c>
      <c r="C260" s="1" t="n">
        <v>46174</v>
      </c>
      <c r="D260" t="inlineStr">
        <is>
          <t>ÖREBRO LÄN</t>
        </is>
      </c>
      <c r="E260" t="inlineStr">
        <is>
          <t>DEGERFORS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37265-2025</t>
        </is>
      </c>
      <c r="B261" s="1" t="n">
        <v>45876.46099537037</v>
      </c>
      <c r="C261" s="1" t="n">
        <v>46174</v>
      </c>
      <c r="D261" t="inlineStr">
        <is>
          <t>ÖREBRO LÄN</t>
        </is>
      </c>
      <c r="E261" t="inlineStr">
        <is>
          <t>DEGERFORS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13293-2026</t>
        </is>
      </c>
      <c r="B262" s="1" t="n">
        <v>46094.30127314815</v>
      </c>
      <c r="C262" s="1" t="n">
        <v>46174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13040-2026</t>
        </is>
      </c>
      <c r="B263" s="1" t="n">
        <v>46093.25034722222</v>
      </c>
      <c r="C263" s="1" t="n">
        <v>46174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13039-2026</t>
        </is>
      </c>
      <c r="B264" s="1" t="n">
        <v>46093.24931712963</v>
      </c>
      <c r="C264" s="1" t="n">
        <v>46174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15594-2025</t>
        </is>
      </c>
      <c r="B265" s="1" t="n">
        <v>45747.88466435186</v>
      </c>
      <c r="C265" s="1" t="n">
        <v>46174</v>
      </c>
      <c r="D265" t="inlineStr">
        <is>
          <t>ÖREBRO LÄN</t>
        </is>
      </c>
      <c r="E265" t="inlineStr">
        <is>
          <t>DEGERFORS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20568-2026</t>
        </is>
      </c>
      <c r="B266" s="1" t="n">
        <v>46140.61158564815</v>
      </c>
      <c r="C266" s="1" t="n">
        <v>46174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20476-2026</t>
        </is>
      </c>
      <c r="B267" s="1" t="n">
        <v>46140.47034722222</v>
      </c>
      <c r="C267" s="1" t="n">
        <v>46174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20567-2026</t>
        </is>
      </c>
      <c r="B268" s="1" t="n">
        <v>46140.60994212963</v>
      </c>
      <c r="C268" s="1" t="n">
        <v>46174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20478-2026</t>
        </is>
      </c>
      <c r="B269" s="1" t="n">
        <v>46140.47150462963</v>
      </c>
      <c r="C269" s="1" t="n">
        <v>46174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21401-2026</t>
        </is>
      </c>
      <c r="B270" s="1" t="n">
        <v>46148.32917824074</v>
      </c>
      <c r="C270" s="1" t="n">
        <v>46174</v>
      </c>
      <c r="D270" t="inlineStr">
        <is>
          <t>ÖREBRO LÄN</t>
        </is>
      </c>
      <c r="E270" t="inlineStr">
        <is>
          <t>DEGERFORS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21440-2026</t>
        </is>
      </c>
      <c r="B271" s="1" t="n">
        <v>46148.41802083333</v>
      </c>
      <c r="C271" s="1" t="n">
        <v>46174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21442-2026</t>
        </is>
      </c>
      <c r="B272" s="1" t="n">
        <v>46148.41920138889</v>
      </c>
      <c r="C272" s="1" t="n">
        <v>46174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21402-2026</t>
        </is>
      </c>
      <c r="B273" s="1" t="n">
        <v>46148.33107638889</v>
      </c>
      <c r="C273" s="1" t="n">
        <v>46174</v>
      </c>
      <c r="D273" t="inlineStr">
        <is>
          <t>ÖREBRO LÄN</t>
        </is>
      </c>
      <c r="E273" t="inlineStr">
        <is>
          <t>DEGERFORS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21662-2026</t>
        </is>
      </c>
      <c r="B274" s="1" t="n">
        <v>46149.46591435185</v>
      </c>
      <c r="C274" s="1" t="n">
        <v>46174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15805-2026</t>
        </is>
      </c>
      <c r="B275" s="1" t="n">
        <v>46107.48753472222</v>
      </c>
      <c r="C275" s="1" t="n">
        <v>46174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15808-2026</t>
        </is>
      </c>
      <c r="B276" s="1" t="n">
        <v>46107.49006944444</v>
      </c>
      <c r="C276" s="1" t="n">
        <v>46174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21660-2026</t>
        </is>
      </c>
      <c r="B277" s="1" t="n">
        <v>46149.4645949074</v>
      </c>
      <c r="C277" s="1" t="n">
        <v>46174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21663-2026</t>
        </is>
      </c>
      <c r="B278" s="1" t="n">
        <v>46149.46855324074</v>
      </c>
      <c r="C278" s="1" t="n">
        <v>46174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22868-2026</t>
        </is>
      </c>
      <c r="B279" s="1" t="n">
        <v>46160.43400462963</v>
      </c>
      <c r="C279" s="1" t="n">
        <v>46174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22870-2026</t>
        </is>
      </c>
      <c r="B280" s="1" t="n">
        <v>46160.43618055555</v>
      </c>
      <c r="C280" s="1" t="n">
        <v>46174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22871-2026</t>
        </is>
      </c>
      <c r="B281" s="1" t="n">
        <v>46160.43755787037</v>
      </c>
      <c r="C281" s="1" t="n">
        <v>46174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23230-2026</t>
        </is>
      </c>
      <c r="B282" s="1" t="n">
        <v>46162.38981481481</v>
      </c>
      <c r="C282" s="1" t="n">
        <v>46174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23008-2026</t>
        </is>
      </c>
      <c r="B283" s="1" t="n">
        <v>46161.27608796296</v>
      </c>
      <c r="C283" s="1" t="n">
        <v>46174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23229-2026</t>
        </is>
      </c>
      <c r="B284" s="1" t="n">
        <v>46162.38615740741</v>
      </c>
      <c r="C284" s="1" t="n">
        <v>46174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2026-06-01T10:55:09Z</dcterms:created>
  <dcterms:modified xmlns:dcterms="http://purl.org/dc/terms/" xmlns:xsi="http://www.w3.org/2001/XMLSchema-instance" xsi:type="dcterms:W3CDTF">2026-06-01T10:55:10Z</dcterms:modified>
</cp:coreProperties>
</file>