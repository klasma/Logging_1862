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46220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46220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Y6">
        <f>HYPERLINK("https://klasma.github.io/Logging_1862/klagomål/A 41519-2023 FSC-klagomål.docx", "A 41519-2023")</f>
        <v/>
      </c>
      <c r="Z6">
        <f>HYPERLINK("https://klasma.github.io/Logging_1862/klagomålsmail/A 41519-2023 FSC-klagomål mail.docx", "A 41519-2023")</f>
        <v/>
      </c>
      <c r="AA6">
        <f>HYPERLINK("https://klasma.github.io/Logging_1862/tillsyn/A 41519-2023 tillsynsbegäran.docx", "A 41519-2023")</f>
        <v/>
      </c>
      <c r="AB6">
        <f>HYPERLINK("https://klasma.github.io/Logging_1862/tillsynsmail/A 41519-2023 tillsynsbegäran mail.docx", "A 41519-2023")</f>
        <v/>
      </c>
      <c r="AC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Y7">
        <f>HYPERLINK("https://klasma.github.io/Logging_1862/klagomål/A 22871-2026 FSC-klagomål.docx", "A 22871-2026")</f>
        <v/>
      </c>
      <c r="Z7">
        <f>HYPERLINK("https://klasma.github.io/Logging_1862/klagomålsmail/A 22871-2026 FSC-klagomål mail.docx", "A 22871-2026")</f>
        <v/>
      </c>
      <c r="AA7">
        <f>HYPERLINK("https://klasma.github.io/Logging_1862/tillsyn/A 22871-2026 tillsynsbegäran.docx", "A 22871-2026")</f>
        <v/>
      </c>
      <c r="AB7">
        <f>HYPERLINK("https://klasma.github.io/Logging_1862/tillsynsmail/A 22871-2026 tillsynsbegäran mail.docx", "A 22871-2026")</f>
        <v/>
      </c>
      <c r="AC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s="2" t="inlineStr">
        <is>
          <t>Tretåig hackspett
Grönpyrola
Thomsons trägnagare
Vågbandad barkbock
Spillkråka
Tjäder</t>
        </is>
      </c>
      <c r="V10">
        <f>HYPERLINK("https://klasma.github.io/Logging_1862/artfynd/A 38916-2023 artfynd.xlsx", "A 38916-2023")</f>
        <v/>
      </c>
      <c r="W10">
        <f>HYPERLINK("https://klasma.github.io/Logging_1862/kartor/A 38916-2023 karta.png", "A 38916-2023")</f>
        <v/>
      </c>
      <c r="Y10">
        <f>HYPERLINK("https://klasma.github.io/Logging_1862/klagomål/A 38916-2023 FSC-klagomål.docx", "A 38916-2023")</f>
        <v/>
      </c>
      <c r="Z10">
        <f>HYPERLINK("https://klasma.github.io/Logging_1862/klagomålsmail/A 38916-2023 FSC-klagomål mail.docx", "A 38916-2023")</f>
        <v/>
      </c>
      <c r="AA10">
        <f>HYPERLINK("https://klasma.github.io/Logging_1862/tillsyn/A 38916-2023 tillsynsbegäran.docx", "A 38916-2023")</f>
        <v/>
      </c>
      <c r="AB10">
        <f>HYPERLINK("https://klasma.github.io/Logging_1862/tillsynsmail/A 38916-2023 tillsynsbegäran mail.docx", "A 38916-2023")</f>
        <v/>
      </c>
      <c r="AC10">
        <f>HYPERLINK("https://klasma.github.io/Logging_1862/fåglar/A 38916-2023 prioriterade fågelarter.docx", "A 38916-2023")</f>
        <v/>
      </c>
    </row>
    <row r="11" ht="15" customHeight="1">
      <c r="A11" t="inlineStr">
        <is>
          <t>A 73321-2021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44550</v>
      </c>
      <c r="E11" s="1" t="n">
        <v>46220</v>
      </c>
      <c r="F11" t="inlineStr">
        <is>
          <t>ÖREBRO LÄN</t>
        </is>
      </c>
      <c r="G11" t="inlineStr">
        <is>
          <t>DEGERFORS</t>
        </is>
      </c>
      <c r="I11" t="n">
        <v>17</v>
      </c>
      <c r="J11" t="n">
        <v>3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8</v>
      </c>
      <c r="U11" s="2" t="inlineStr">
        <is>
          <t>Knärot
Grynig filtlav
Gulsparv
Rynkskinn
Vedticka
Spillkråka</t>
        </is>
      </c>
      <c r="V11">
        <f>HYPERLINK("https://klasma.github.io/Logging_1862/artfynd/A 73321-2021 artfynd.xlsx", "A 73321-2021")</f>
        <v/>
      </c>
      <c r="W11">
        <f>HYPERLINK("https://klasma.github.io/Logging_1862/kartor/A 73321-2021 karta.png", "A 73321-2021")</f>
        <v/>
      </c>
      <c r="X11">
        <f>HYPERLINK("https://klasma.github.io/Logging_1862/knärot/A 73321-2021 karta knärot.png", "A 73321-2021")</f>
        <v/>
      </c>
      <c r="Y11">
        <f>HYPERLINK("https://klasma.github.io/Logging_1862/klagomål/A 73321-2021 FSC-klagomål.docx", "A 73321-2021")</f>
        <v/>
      </c>
      <c r="Z11">
        <f>HYPERLINK("https://klasma.github.io/Logging_1862/klagomålsmail/A 73321-2021 FSC-klagomål mail.docx", "A 73321-2021")</f>
        <v/>
      </c>
      <c r="AA11">
        <f>HYPERLINK("https://klasma.github.io/Logging_1862/tillsyn/A 73321-2021 tillsynsbegäran.docx", "A 73321-2021")</f>
        <v/>
      </c>
      <c r="AB11">
        <f>HYPERLINK("https://klasma.github.io/Logging_1862/tillsynsmail/A 73321-2021 tillsynsbegäran mail.docx", "A 73321-2021")</f>
        <v/>
      </c>
      <c r="AC11">
        <f>HYPERLINK("https://klasma.github.io/Logging_1862/fåglar/A 73321-2021 prioriterade fågelarter.docx", "A 73321-2021")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46220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Y12">
        <f>HYPERLINK("https://klasma.github.io/Logging_1862/klagomål/A 29553-2026 FSC-klagomål.docx", "A 29553-2026")</f>
        <v/>
      </c>
      <c r="Z12">
        <f>HYPERLINK("https://klasma.github.io/Logging_1862/klagomålsmail/A 29553-2026 FSC-klagomål mail.docx", "A 29553-2026")</f>
        <v/>
      </c>
      <c r="AA12">
        <f>HYPERLINK("https://klasma.github.io/Logging_1862/tillsyn/A 29553-2026 tillsynsbegäran.docx", "A 29553-2026")</f>
        <v/>
      </c>
      <c r="AB12">
        <f>HYPERLINK("https://klasma.github.io/Logging_1862/tillsynsmail/A 29553-2026 tillsynsbegäran mail.docx", "A 29553-2026")</f>
        <v/>
      </c>
      <c r="AC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46220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Y13">
        <f>HYPERLINK("https://klasma.github.io/Logging_1862/klagomål/A 23008-2026 FSC-klagomål.docx", "A 23008-2026")</f>
        <v/>
      </c>
      <c r="Z13">
        <f>HYPERLINK("https://klasma.github.io/Logging_1862/klagomålsmail/A 23008-2026 FSC-klagomål mail.docx", "A 23008-2026")</f>
        <v/>
      </c>
      <c r="AA13">
        <f>HYPERLINK("https://klasma.github.io/Logging_1862/tillsyn/A 23008-2026 tillsynsbegäran.docx", "A 23008-2026")</f>
        <v/>
      </c>
      <c r="AB13">
        <f>HYPERLINK("https://klasma.github.io/Logging_1862/tillsynsmail/A 23008-2026 tillsynsbegäran mail.docx", "A 23008-2026")</f>
        <v/>
      </c>
      <c r="AC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36081-2025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45866</v>
      </c>
      <c r="E15" s="1" t="n">
        <v>46220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s="2" t="inlineStr">
        <is>
          <t>Jungfrulin
Skogsklocka
Svinrot
Springkorn</t>
        </is>
      </c>
      <c r="V15">
        <f>HYPERLINK("https://klasma.github.io/Logging_1862/artfynd/A 36081-2025 artfynd.xlsx", "A 36081-2025")</f>
        <v/>
      </c>
      <c r="W15">
        <f>HYPERLINK("https://klasma.github.io/Logging_1862/kartor/A 36081-2025 karta.png", "A 36081-2025")</f>
        <v/>
      </c>
      <c r="Y15">
        <f>HYPERLINK("https://klasma.github.io/Logging_1862/klagomål/A 36081-2025 FSC-klagomål.docx", "A 36081-2025")</f>
        <v/>
      </c>
      <c r="Z15">
        <f>HYPERLINK("https://klasma.github.io/Logging_1862/klagomålsmail/A 36081-2025 FSC-klagomål mail.docx", "A 36081-2025")</f>
        <v/>
      </c>
      <c r="AA15">
        <f>HYPERLINK("https://klasma.github.io/Logging_1862/tillsyn/A 36081-2025 tillsynsbegäran.docx", "A 36081-2025")</f>
        <v/>
      </c>
      <c r="AB15">
        <f>HYPERLINK("https://klasma.github.io/Logging_1862/tillsynsmail/A 36081-2025 tillsynsbegäran mail.docx", "A 36081-2025")</f>
        <v/>
      </c>
    </row>
    <row r="16" ht="15" customHeight="1">
      <c r="A16" t="inlineStr">
        <is>
          <t>A 47975-2025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45932</v>
      </c>
      <c r="E16" s="1" t="n">
        <v>46220</v>
      </c>
      <c r="F16" t="inlineStr">
        <is>
          <t>ÖREBRO LÄN</t>
        </is>
      </c>
      <c r="G16" t="inlineStr">
        <is>
          <t>DEGERFORS</t>
        </is>
      </c>
      <c r="I16" t="n">
        <v>11.8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10</v>
      </c>
      <c r="U16" s="2" t="inlineStr">
        <is>
          <t>Tretåig hackspett
Spillkråka
Kråka
Kungsfågel</t>
        </is>
      </c>
      <c r="V16">
        <f>HYPERLINK("https://klasma.github.io/Logging_1862/artfynd/A 47975-2025 artfynd.xlsx", "A 47975-2025")</f>
        <v/>
      </c>
      <c r="W16">
        <f>HYPERLINK("https://klasma.github.io/Logging_1862/kartor/A 47975-2025 karta.png", "A 47975-2025")</f>
        <v/>
      </c>
      <c r="Y16">
        <f>HYPERLINK("https://klasma.github.io/Logging_1862/klagomål/A 47975-2025 FSC-klagomål.docx", "A 47975-2025")</f>
        <v/>
      </c>
      <c r="Z16">
        <f>HYPERLINK("https://klasma.github.io/Logging_1862/klagomålsmail/A 47975-2025 FSC-klagomål mail.docx", "A 47975-2025")</f>
        <v/>
      </c>
      <c r="AA16">
        <f>HYPERLINK("https://klasma.github.io/Logging_1862/tillsyn/A 47975-2025 tillsynsbegäran.docx", "A 47975-2025")</f>
        <v/>
      </c>
      <c r="AB16">
        <f>HYPERLINK("https://klasma.github.io/Logging_1862/tillsynsmail/A 47975-2025 tillsynsbegäran mail.docx", "A 47975-2025")</f>
        <v/>
      </c>
      <c r="AC16">
        <f>HYPERLINK("https://klasma.github.io/Logging_1862/fåglar/A 47975-2025 prioriterade fågelarter.docx", "A 47975-2025")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Mattlummer
Spillkråka
Sångsvan</t>
        </is>
      </c>
      <c r="V17">
        <f>HYPERLINK("https://klasma.github.io/Logging_1862/artfynd/A 38915-2023 artfynd.xlsx", "A 38915-2023")</f>
        <v/>
      </c>
      <c r="W17">
        <f>HYPERLINK("https://klasma.github.io/Logging_1862/kartor/A 38915-2023 karta.png", "A 38915-2023")</f>
        <v/>
      </c>
      <c r="Y17">
        <f>HYPERLINK("https://klasma.github.io/Logging_1862/klagomål/A 38915-2023 FSC-klagomål.docx", "A 38915-2023")</f>
        <v/>
      </c>
      <c r="Z17">
        <f>HYPERLINK("https://klasma.github.io/Logging_1862/klagomålsmail/A 38915-2023 FSC-klagomål mail.docx", "A 38915-2023")</f>
        <v/>
      </c>
      <c r="AA17">
        <f>HYPERLINK("https://klasma.github.io/Logging_1862/tillsyn/A 38915-2023 tillsynsbegäran.docx", "A 38915-2023")</f>
        <v/>
      </c>
      <c r="AB17">
        <f>HYPERLINK("https://klasma.github.io/Logging_1862/tillsynsmail/A 38915-2023 tillsynsbegäran mail.docx", "A 38915-2023")</f>
        <v/>
      </c>
      <c r="AC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46220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s="2" t="inlineStr">
        <is>
          <t>Tretåig hackspett
Spillkråka
Kungsfågel
Revlummer</t>
        </is>
      </c>
      <c r="V18">
        <f>HYPERLINK("https://klasma.github.io/Logging_1862/artfynd/A 48284-2023 artfynd.xlsx", "A 48284-2023")</f>
        <v/>
      </c>
      <c r="W18">
        <f>HYPERLINK("https://klasma.github.io/Logging_1862/kartor/A 48284-2023 karta.png", "A 48284-2023")</f>
        <v/>
      </c>
      <c r="Y18">
        <f>HYPERLINK("https://klasma.github.io/Logging_1862/klagomål/A 48284-2023 FSC-klagomål.docx", "A 48284-2023")</f>
        <v/>
      </c>
      <c r="Z18">
        <f>HYPERLINK("https://klasma.github.io/Logging_1862/klagomålsmail/A 48284-2023 FSC-klagomål mail.docx", "A 48284-2023")</f>
        <v/>
      </c>
      <c r="AA18">
        <f>HYPERLINK("https://klasma.github.io/Logging_1862/tillsyn/A 48284-2023 tillsynsbegäran.docx", "A 48284-2023")</f>
        <v/>
      </c>
      <c r="AB18">
        <f>HYPERLINK("https://klasma.github.io/Logging_1862/tillsynsmail/A 48284-2023 tillsynsbegäran mail.docx", "A 48284-2023")</f>
        <v/>
      </c>
      <c r="AC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46220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8063-2024 artfynd.xlsx", "A 8063-2024")</f>
        <v/>
      </c>
      <c r="W19">
        <f>HYPERLINK("https://klasma.github.io/Logging_1862/kartor/A 8063-2024 karta.png", "A 8063-2024")</f>
        <v/>
      </c>
      <c r="Y19">
        <f>HYPERLINK("https://klasma.github.io/Logging_1862/klagomål/A 8063-2024 FSC-klagomål.docx", "A 8063-2024")</f>
        <v/>
      </c>
      <c r="Z19">
        <f>HYPERLINK("https://klasma.github.io/Logging_1862/klagomålsmail/A 8063-2024 FSC-klagomål mail.docx", "A 8063-2024")</f>
        <v/>
      </c>
      <c r="AA19">
        <f>HYPERLINK("https://klasma.github.io/Logging_1862/tillsyn/A 8063-2024 tillsynsbegäran.docx", "A 8063-2024")</f>
        <v/>
      </c>
      <c r="AB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46220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Y21">
        <f>HYPERLINK("https://klasma.github.io/Logging_1862/klagomål/A 47782-2025 FSC-klagomål.docx", "A 47782-2025")</f>
        <v/>
      </c>
      <c r="Z21">
        <f>HYPERLINK("https://klasma.github.io/Logging_1862/klagomålsmail/A 47782-2025 FSC-klagomål mail.docx", "A 47782-2025")</f>
        <v/>
      </c>
      <c r="AA21">
        <f>HYPERLINK("https://klasma.github.io/Logging_1862/tillsyn/A 47782-2025 tillsynsbegäran.docx", "A 47782-2025")</f>
        <v/>
      </c>
      <c r="AB21">
        <f>HYPERLINK("https://klasma.github.io/Logging_1862/tillsynsmail/A 47782-2025 tillsynsbegäran mail.docx", "A 47782-2025")</f>
        <v/>
      </c>
      <c r="AC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Y22">
        <f>HYPERLINK("https://klasma.github.io/Logging_1862/klagomål/A 12720-2024 FSC-klagomål.docx", "A 12720-2024")</f>
        <v/>
      </c>
      <c r="Z22">
        <f>HYPERLINK("https://klasma.github.io/Logging_1862/klagomålsmail/A 12720-2024 FSC-klagomål mail.docx", "A 12720-2024")</f>
        <v/>
      </c>
      <c r="AA22">
        <f>HYPERLINK("https://klasma.github.io/Logging_1862/tillsyn/A 12720-2024 tillsynsbegäran.docx", "A 12720-2024")</f>
        <v/>
      </c>
      <c r="AB22">
        <f>HYPERLINK("https://klasma.github.io/Logging_1862/tillsynsmail/A 12720-2024 tillsynsbegäran mail.docx", "A 12720-2024")</f>
        <v/>
      </c>
      <c r="AC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Y23">
        <f>HYPERLINK("https://klasma.github.io/Logging_1862/klagomål/A 22868-2026 FSC-klagomål.docx", "A 22868-2026")</f>
        <v/>
      </c>
      <c r="Z23">
        <f>HYPERLINK("https://klasma.github.io/Logging_1862/klagomålsmail/A 22868-2026 FSC-klagomål mail.docx", "A 22868-2026")</f>
        <v/>
      </c>
      <c r="AA23">
        <f>HYPERLINK("https://klasma.github.io/Logging_1862/tillsyn/A 22868-2026 tillsynsbegäran.docx", "A 22868-2026")</f>
        <v/>
      </c>
      <c r="AB23">
        <f>HYPERLINK("https://klasma.github.io/Logging_1862/tillsynsmail/A 22868-2026 tillsynsbegäran mail.docx", "A 22868-2026")</f>
        <v/>
      </c>
      <c r="AC23">
        <f>HYPERLINK("https://klasma.github.io/Logging_1862/fåglar/A 22868-2026 prioriterade fågelarter.docx", "A 22868-2026")</f>
        <v/>
      </c>
    </row>
    <row r="24" ht="15" customHeight="1">
      <c r="A24" t="inlineStr">
        <is>
          <t>A 4256-2026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46220</v>
      </c>
      <c r="F24" t="inlineStr">
        <is>
          <t>ÖREBRO LÄN</t>
        </is>
      </c>
      <c r="G24" t="inlineStr">
        <is>
          <t>DEGERFORS</t>
        </is>
      </c>
      <c r="I24" t="n">
        <v>2.9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Skogsklocka
Slåtterfibbla</t>
        </is>
      </c>
      <c r="V24">
        <f>HYPERLINK("https://klasma.github.io/Logging_1862/artfynd/A 4256-2026 artfynd.xlsx", "A 4256-2026")</f>
        <v/>
      </c>
      <c r="W24">
        <f>HYPERLINK("https://klasma.github.io/Logging_1862/kartor/A 4256-2026 karta.png", "A 4256-2026")</f>
        <v/>
      </c>
      <c r="Y24">
        <f>HYPERLINK("https://klasma.github.io/Logging_1862/klagomål/A 4256-2026 FSC-klagomål.docx", "A 4256-2026")</f>
        <v/>
      </c>
      <c r="Z24">
        <f>HYPERLINK("https://klasma.github.io/Logging_1862/klagomålsmail/A 4256-2026 FSC-klagomål mail.docx", "A 4256-2026")</f>
        <v/>
      </c>
      <c r="AA24">
        <f>HYPERLINK("https://klasma.github.io/Logging_1862/tillsyn/A 4256-2026 tillsynsbegäran.docx", "A 4256-2026")</f>
        <v/>
      </c>
      <c r="AB24">
        <f>HYPERLINK("https://klasma.github.io/Logging_1862/tillsynsmail/A 4256-2026 tillsynsbegäran mail.docx", "A 4256-2026")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46220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Kungsfågel</t>
        </is>
      </c>
      <c r="V25">
        <f>HYPERLINK("https://klasma.github.io/Logging_1862/artfynd/A 47785-2025 artfynd.xlsx", "A 47785-2025")</f>
        <v/>
      </c>
      <c r="W25">
        <f>HYPERLINK("https://klasma.github.io/Logging_1862/kartor/A 47785-2025 karta.png", "A 47785-2025")</f>
        <v/>
      </c>
      <c r="Y25">
        <f>HYPERLINK("https://klasma.github.io/Logging_1862/klagomål/A 47785-2025 FSC-klagomål.docx", "A 47785-2025")</f>
        <v/>
      </c>
      <c r="Z25">
        <f>HYPERLINK("https://klasma.github.io/Logging_1862/klagomålsmail/A 47785-2025 FSC-klagomål mail.docx", "A 47785-2025")</f>
        <v/>
      </c>
      <c r="AA25">
        <f>HYPERLINK("https://klasma.github.io/Logging_1862/tillsyn/A 47785-2025 tillsynsbegäran.docx", "A 47785-2025")</f>
        <v/>
      </c>
      <c r="AB25">
        <f>HYPERLINK("https://klasma.github.io/Logging_1862/tillsynsmail/A 47785-2025 tillsynsbegäran mail.docx", "A 47785-2025")</f>
        <v/>
      </c>
      <c r="AC25">
        <f>HYPERLINK("https://klasma.github.io/Logging_1862/fåglar/A 47785-2025 prioriterade fågelarter.docx", "A 47785-2025")</f>
        <v/>
      </c>
    </row>
    <row r="26" ht="15" customHeight="1">
      <c r="A26" t="inlineStr">
        <is>
          <t>A 38914-2023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Tretåig hackspett
Tjäder</t>
        </is>
      </c>
      <c r="V26">
        <f>HYPERLINK("https://klasma.github.io/Logging_1862/artfynd/A 38914-2023 artfynd.xlsx", "A 38914-2023")</f>
        <v/>
      </c>
      <c r="W26">
        <f>HYPERLINK("https://klasma.github.io/Logging_1862/kartor/A 38914-2023 karta.png", "A 38914-2023")</f>
        <v/>
      </c>
      <c r="Y26">
        <f>HYPERLINK("https://klasma.github.io/Logging_1862/klagomål/A 38914-2023 FSC-klagomål.docx", "A 38914-2023")</f>
        <v/>
      </c>
      <c r="Z26">
        <f>HYPERLINK("https://klasma.github.io/Logging_1862/klagomålsmail/A 38914-2023 FSC-klagomål mail.docx", "A 38914-2023")</f>
        <v/>
      </c>
      <c r="AA26">
        <f>HYPERLINK("https://klasma.github.io/Logging_1862/tillsyn/A 38914-2023 tillsynsbegäran.docx", "A 38914-2023")</f>
        <v/>
      </c>
      <c r="AB26">
        <f>HYPERLINK("https://klasma.github.io/Logging_1862/tillsynsmail/A 38914-2023 tillsynsbegäran mail.docx", "A 38914-2023")</f>
        <v/>
      </c>
      <c r="AC26">
        <f>HYPERLINK("https://klasma.github.io/Logging_1862/fåglar/A 38914-2023 prioriterade fågelarter.docx", "A 38914-2023")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46220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Spillkråka</t>
        </is>
      </c>
      <c r="V27">
        <f>HYPERLINK("https://klasma.github.io/Logging_1862/artfynd/A 40870-2024 artfynd.xlsx", "A 40870-2024")</f>
        <v/>
      </c>
      <c r="W27">
        <f>HYPERLINK("https://klasma.github.io/Logging_1862/kartor/A 40870-2024 karta.png", "A 40870-2024")</f>
        <v/>
      </c>
      <c r="Y27">
        <f>HYPERLINK("https://klasma.github.io/Logging_1862/klagomål/A 40870-2024 FSC-klagomål.docx", "A 40870-2024")</f>
        <v/>
      </c>
      <c r="Z27">
        <f>HYPERLINK("https://klasma.github.io/Logging_1862/klagomålsmail/A 40870-2024 FSC-klagomål mail.docx", "A 40870-2024")</f>
        <v/>
      </c>
      <c r="AA27">
        <f>HYPERLINK("https://klasma.github.io/Logging_1862/tillsyn/A 40870-2024 tillsynsbegäran.docx", "A 40870-2024")</f>
        <v/>
      </c>
      <c r="AB27">
        <f>HYPERLINK("https://klasma.github.io/Logging_1862/tillsynsmail/A 40870-2024 tillsynsbegäran mail.docx", "A 40870-2024")</f>
        <v/>
      </c>
      <c r="AC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46220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Tjäder
Fläcknycklar</t>
        </is>
      </c>
      <c r="V28">
        <f>HYPERLINK("https://klasma.github.io/Logging_1862/artfynd/A 38910-2023 artfynd.xlsx", "A 38910-2023")</f>
        <v/>
      </c>
      <c r="W28">
        <f>HYPERLINK("https://klasma.github.io/Logging_1862/kartor/A 38910-2023 karta.png", "A 38910-2023")</f>
        <v/>
      </c>
      <c r="Y28">
        <f>HYPERLINK("https://klasma.github.io/Logging_1862/klagomål/A 38910-2023 FSC-klagomål.docx", "A 38910-2023")</f>
        <v/>
      </c>
      <c r="Z28">
        <f>HYPERLINK("https://klasma.github.io/Logging_1862/klagomålsmail/A 38910-2023 FSC-klagomål mail.docx", "A 38910-2023")</f>
        <v/>
      </c>
      <c r="AA28">
        <f>HYPERLINK("https://klasma.github.io/Logging_1862/tillsyn/A 38910-2023 tillsynsbegäran.docx", "A 38910-2023")</f>
        <v/>
      </c>
      <c r="AB28">
        <f>HYPERLINK("https://klasma.github.io/Logging_1862/tillsynsmail/A 38910-2023 tillsynsbegäran mail.docx", "A 38910-2023")</f>
        <v/>
      </c>
      <c r="AC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38912-2023 artfynd.xlsx", "A 38912-2023")</f>
        <v/>
      </c>
      <c r="W29">
        <f>HYPERLINK("https://klasma.github.io/Logging_1862/kartor/A 38912-2023 karta.png", "A 38912-2023")</f>
        <v/>
      </c>
      <c r="Y29">
        <f>HYPERLINK("https://klasma.github.io/Logging_1862/klagomål/A 38912-2023 FSC-klagomål.docx", "A 38912-2023")</f>
        <v/>
      </c>
      <c r="Z29">
        <f>HYPERLINK("https://klasma.github.io/Logging_1862/klagomålsmail/A 38912-2023 FSC-klagomål mail.docx", "A 38912-2023")</f>
        <v/>
      </c>
      <c r="AA29">
        <f>HYPERLINK("https://klasma.github.io/Logging_1862/tillsyn/A 38912-2023 tillsynsbegäran.docx", "A 38912-2023")</f>
        <v/>
      </c>
      <c r="AB29">
        <f>HYPERLINK("https://klasma.github.io/Logging_1862/tillsynsmail/A 38912-2023 tillsynsbegäran mail.docx", "A 38912-2023")</f>
        <v/>
      </c>
      <c r="AC29">
        <f>HYPERLINK("https://klasma.github.io/Logging_1862/fåglar/A 38912-2023 prioriterade fågelarter.docx", "A 38912-2023")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46220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46220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46220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46220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HYPERLINK("https://klasma.github.io/Logging_1862/artfynd/A 33297-2023 artfynd.xlsx", "A 33297-2023")</f>
        <v/>
      </c>
      <c r="W33">
        <f>HYPERLINK("https://klasma.github.io/Logging_1862/kartor/A 33297-2023 karta.png", "A 33297-2023")</f>
        <v/>
      </c>
      <c r="Y33">
        <f>HYPERLINK("https://klasma.github.io/Logging_1862/klagomål/A 33297-2023 FSC-klagomål.docx", "A 33297-2023")</f>
        <v/>
      </c>
      <c r="Z33">
        <f>HYPERLINK("https://klasma.github.io/Logging_1862/klagomålsmail/A 33297-2023 FSC-klagomål mail.docx", "A 33297-2023")</f>
        <v/>
      </c>
      <c r="AA33">
        <f>HYPERLINK("https://klasma.github.io/Logging_1862/tillsyn/A 33297-2023 tillsynsbegäran.docx", "A 33297-2023")</f>
        <v/>
      </c>
      <c r="AB33">
        <f>HYPERLINK("https://klasma.github.io/Logging_1862/tillsynsmail/A 33297-2023 tillsynsbegäran mail.docx", "A 33297-2023")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46220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HYPERLINK("https://klasma.github.io/Logging_1862/artfynd/A 38904-2023 artfynd.xlsx", "A 38904-2023")</f>
        <v/>
      </c>
      <c r="W34">
        <f>HYPERLINK("https://klasma.github.io/Logging_1862/kartor/A 38904-2023 karta.png", "A 38904-2023")</f>
        <v/>
      </c>
      <c r="Y34">
        <f>HYPERLINK("https://klasma.github.io/Logging_1862/klagomål/A 38904-2023 FSC-klagomål.docx", "A 38904-2023")</f>
        <v/>
      </c>
      <c r="Z34">
        <f>HYPERLINK("https://klasma.github.io/Logging_1862/klagomålsmail/A 38904-2023 FSC-klagomål mail.docx", "A 38904-2023")</f>
        <v/>
      </c>
      <c r="AA34">
        <f>HYPERLINK("https://klasma.github.io/Logging_1862/tillsyn/A 38904-2023 tillsynsbegäran.docx", "A 38904-2023")</f>
        <v/>
      </c>
      <c r="AB34">
        <f>HYPERLINK("https://klasma.github.io/Logging_1862/tillsynsmail/A 38904-2023 tillsynsbegäran mail.docx", "A 38904-2023")</f>
        <v/>
      </c>
      <c r="AC34">
        <f>HYPERLINK("https://klasma.github.io/Logging_1862/fåglar/A 38904-2023 prioriterade fågelarter.docx", "A 38904-2023")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46220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27093-2023 artfynd.xlsx", "A 27093-2023")</f>
        <v/>
      </c>
      <c r="W35">
        <f>HYPERLINK("https://klasma.github.io/Logging_1862/kartor/A 27093-2023 karta.png", "A 27093-2023")</f>
        <v/>
      </c>
      <c r="Y35">
        <f>HYPERLINK("https://klasma.github.io/Logging_1862/klagomål/A 27093-2023 FSC-klagomål.docx", "A 27093-2023")</f>
        <v/>
      </c>
      <c r="Z35">
        <f>HYPERLINK("https://klasma.github.io/Logging_1862/klagomålsmail/A 27093-2023 FSC-klagomål mail.docx", "A 27093-2023")</f>
        <v/>
      </c>
      <c r="AA35">
        <f>HYPERLINK("https://klasma.github.io/Logging_1862/tillsyn/A 27093-2023 tillsynsbegäran.docx", "A 27093-2023")</f>
        <v/>
      </c>
      <c r="AB35">
        <f>HYPERLINK("https://klasma.github.io/Logging_1862/tillsynsmail/A 27093-2023 tillsynsbegäran mail.docx", "A 27093-2023")</f>
        <v/>
      </c>
      <c r="AC35">
        <f>HYPERLINK("https://klasma.github.io/Logging_1862/fåglar/A 27093-2023 prioriterade fågelarter.docx", "A 27093-2023")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46220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Svart trolldruva</t>
        </is>
      </c>
      <c r="V36">
        <f>HYPERLINK("https://klasma.github.io/Logging_1862/artfynd/A 49306-2025 artfynd.xlsx", "A 49306-2025")</f>
        <v/>
      </c>
      <c r="W36">
        <f>HYPERLINK("https://klasma.github.io/Logging_1862/kartor/A 49306-2025 karta.png", "A 49306-2025")</f>
        <v/>
      </c>
      <c r="Y36">
        <f>HYPERLINK("https://klasma.github.io/Logging_1862/klagomål/A 49306-2025 FSC-klagomål.docx", "A 49306-2025")</f>
        <v/>
      </c>
      <c r="Z36">
        <f>HYPERLINK("https://klasma.github.io/Logging_1862/klagomålsmail/A 49306-2025 FSC-klagomål mail.docx", "A 49306-2025")</f>
        <v/>
      </c>
      <c r="AA36">
        <f>HYPERLINK("https://klasma.github.io/Logging_1862/tillsyn/A 49306-2025 tillsynsbegäran.docx", "A 49306-2025")</f>
        <v/>
      </c>
      <c r="AB36">
        <f>HYPERLINK("https://klasma.github.io/Logging_1862/tillsynsmail/A 49306-2025 tillsynsbegäran mail.docx", "A 49306-2025")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46220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Tretåig hackspett</t>
        </is>
      </c>
      <c r="V37">
        <f>HYPERLINK("https://klasma.github.io/Logging_1862/artfynd/A 47787-2025 artfynd.xlsx", "A 47787-2025")</f>
        <v/>
      </c>
      <c r="W37">
        <f>HYPERLINK("https://klasma.github.io/Logging_1862/kartor/A 47787-2025 karta.png", "A 47787-2025")</f>
        <v/>
      </c>
      <c r="Y37">
        <f>HYPERLINK("https://klasma.github.io/Logging_1862/klagomål/A 47787-2025 FSC-klagomål.docx", "A 47787-2025")</f>
        <v/>
      </c>
      <c r="Z37">
        <f>HYPERLINK("https://klasma.github.io/Logging_1862/klagomålsmail/A 47787-2025 FSC-klagomål mail.docx", "A 47787-2025")</f>
        <v/>
      </c>
      <c r="AA37">
        <f>HYPERLINK("https://klasma.github.io/Logging_1862/tillsyn/A 47787-2025 tillsynsbegäran.docx", "A 47787-2025")</f>
        <v/>
      </c>
      <c r="AB37">
        <f>HYPERLINK("https://klasma.github.io/Logging_1862/tillsynsmail/A 47787-2025 tillsynsbegäran mail.docx", "A 47787-2025")</f>
        <v/>
      </c>
      <c r="AC37">
        <f>HYPERLINK("https://klasma.github.io/Logging_1862/fåglar/A 47787-2025 prioriterade fågelarter.docx", "A 47787-2025")</f>
        <v/>
      </c>
    </row>
    <row r="38" ht="15" customHeight="1">
      <c r="A38" t="inlineStr">
        <is>
          <t>A 48285-2023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45205</v>
      </c>
      <c r="E38" s="1" t="n">
        <v>46220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HYPERLINK("https://klasma.github.io/Logging_1862/artfynd/A 48285-2023 artfynd.xlsx", "A 48285-2023")</f>
        <v/>
      </c>
      <c r="W38">
        <f>HYPERLINK("https://klasma.github.io/Logging_1862/kartor/A 48285-2023 karta.png", "A 48285-2023")</f>
        <v/>
      </c>
      <c r="Y38">
        <f>HYPERLINK("https://klasma.github.io/Logging_1862/klagomål/A 48285-2023 FSC-klagomål.docx", "A 48285-2023")</f>
        <v/>
      </c>
      <c r="Z38">
        <f>HYPERLINK("https://klasma.github.io/Logging_1862/klagomålsmail/A 48285-2023 FSC-klagomål mail.docx", "A 48285-2023")</f>
        <v/>
      </c>
      <c r="AA38">
        <f>HYPERLINK("https://klasma.github.io/Logging_1862/tillsyn/A 48285-2023 tillsynsbegäran.docx", "A 48285-2023")</f>
        <v/>
      </c>
      <c r="AB38">
        <f>HYPERLINK("https://klasma.github.io/Logging_1862/tillsynsmail/A 48285-2023 tillsynsbegäran mail.docx", "A 48285-2023")</f>
        <v/>
      </c>
      <c r="AC38">
        <f>HYPERLINK("https://klasma.github.io/Logging_1862/fåglar/A 48285-2023 prioriterade fågelarter.docx", "A 48285-2023")</f>
        <v/>
      </c>
    </row>
    <row r="39" ht="15" customHeight="1">
      <c r="A39" t="inlineStr">
        <is>
          <t>A 38907-2023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46220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HYPERLINK("https://klasma.github.io/Logging_1862/artfynd/A 38907-2023 artfynd.xlsx", "A 38907-2023")</f>
        <v/>
      </c>
      <c r="W39">
        <f>HYPERLINK("https://klasma.github.io/Logging_1862/kartor/A 38907-2023 karta.png", "A 38907-2023")</f>
        <v/>
      </c>
      <c r="Y39">
        <f>HYPERLINK("https://klasma.github.io/Logging_1862/klagomål/A 38907-2023 FSC-klagomål.docx", "A 38907-2023")</f>
        <v/>
      </c>
      <c r="Z39">
        <f>HYPERLINK("https://klasma.github.io/Logging_1862/klagomålsmail/A 38907-2023 FSC-klagomål mail.docx", "A 38907-2023")</f>
        <v/>
      </c>
      <c r="AA39">
        <f>HYPERLINK("https://klasma.github.io/Logging_1862/tillsyn/A 38907-2023 tillsynsbegäran.docx", "A 38907-2023")</f>
        <v/>
      </c>
      <c r="AB39">
        <f>HYPERLINK("https://klasma.github.io/Logging_1862/tillsynsmail/A 38907-2023 tillsynsbegäran mail.docx", "A 38907-2023")</f>
        <v/>
      </c>
      <c r="AC39">
        <f>HYPERLINK("https://klasma.github.io/Logging_1862/fåglar/A 38907-2023 prioriterade fågelarter.docx", "A 38907-2023")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46220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Motaggsvamp</t>
        </is>
      </c>
      <c r="V40">
        <f>HYPERLINK("https://klasma.github.io/Logging_1862/artfynd/A 14177-2026 artfynd.xlsx", "A 14177-2026")</f>
        <v/>
      </c>
      <c r="W40">
        <f>HYPERLINK("https://klasma.github.io/Logging_1862/kartor/A 14177-2026 karta.png", "A 14177-2026")</f>
        <v/>
      </c>
      <c r="Y40">
        <f>HYPERLINK("https://klasma.github.io/Logging_1862/klagomål/A 14177-2026 FSC-klagomål.docx", "A 14177-2026")</f>
        <v/>
      </c>
      <c r="Z40">
        <f>HYPERLINK("https://klasma.github.io/Logging_1862/klagomålsmail/A 14177-2026 FSC-klagomål mail.docx", "A 14177-2026")</f>
        <v/>
      </c>
      <c r="AA40">
        <f>HYPERLINK("https://klasma.github.io/Logging_1862/tillsyn/A 14177-2026 tillsynsbegäran.docx", "A 14177-2026")</f>
        <v/>
      </c>
      <c r="AB40">
        <f>HYPERLINK("https://klasma.github.io/Logging_1862/tillsynsmail/A 14177-2026 tillsynsbegäran mail.docx", "A 14177-2026")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46220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HYPERLINK("https://klasma.github.io/Logging_1862/artfynd/A 47941-2024 artfynd.xlsx", "A 47941-2024")</f>
        <v/>
      </c>
      <c r="W41">
        <f>HYPERLINK("https://klasma.github.io/Logging_1862/kartor/A 47941-2024 karta.png", "A 47941-2024")</f>
        <v/>
      </c>
      <c r="Y41">
        <f>HYPERLINK("https://klasma.github.io/Logging_1862/klagomål/A 47941-2024 FSC-klagomål.docx", "A 47941-2024")</f>
        <v/>
      </c>
      <c r="Z41">
        <f>HYPERLINK("https://klasma.github.io/Logging_1862/klagomålsmail/A 47941-2024 FSC-klagomål mail.docx", "A 47941-2024")</f>
        <v/>
      </c>
      <c r="AA41">
        <f>HYPERLINK("https://klasma.github.io/Logging_1862/tillsyn/A 47941-2024 tillsynsbegäran.docx", "A 47941-2024")</f>
        <v/>
      </c>
      <c r="AB41">
        <f>HYPERLINK("https://klasma.github.io/Logging_1862/tillsynsmail/A 47941-2024 tillsynsbegäran mail.docx", "A 47941-2024")</f>
        <v/>
      </c>
    </row>
    <row r="42" ht="15" customHeight="1">
      <c r="A42" t="inlineStr">
        <is>
          <t>A 26971-2026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46220</v>
      </c>
      <c r="F42" t="inlineStr">
        <is>
          <t>ÖREBRO LÄN</t>
        </is>
      </c>
      <c r="G42" t="inlineStr">
        <is>
          <t>DEGERFORS</t>
        </is>
      </c>
      <c r="I42" t="n">
        <v>2.1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HYPERLINK("https://klasma.github.io/Logging_1862/artfynd/A 26971-2026 artfynd.xlsx", "A 26971-2026")</f>
        <v/>
      </c>
      <c r="W42">
        <f>HYPERLINK("https://klasma.github.io/Logging_1862/kartor/A 26971-2026 karta.png", "A 26971-2026")</f>
        <v/>
      </c>
      <c r="Y42">
        <f>HYPERLINK("https://klasma.github.io/Logging_1862/klagomål/A 26971-2026 FSC-klagomål.docx", "A 26971-2026")</f>
        <v/>
      </c>
      <c r="Z42">
        <f>HYPERLINK("https://klasma.github.io/Logging_1862/klagomålsmail/A 26971-2026 FSC-klagomål mail.docx", "A 26971-2026")</f>
        <v/>
      </c>
      <c r="AA42">
        <f>HYPERLINK("https://klasma.github.io/Logging_1862/tillsyn/A 26971-2026 tillsynsbegäran.docx", "A 26971-2026")</f>
        <v/>
      </c>
      <c r="AB42">
        <f>HYPERLINK("https://klasma.github.io/Logging_1862/tillsynsmail/A 26971-2026 tillsynsbegäran mail.docx", "A 26971-2026")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46220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HYPERLINK("https://klasma.github.io/Logging_1862/artfynd/A 27071-2026 artfynd.xlsx", "A 27071-2026")</f>
        <v/>
      </c>
      <c r="W43">
        <f>HYPERLINK("https://klasma.github.io/Logging_1862/kartor/A 27071-2026 karta.png", "A 27071-2026")</f>
        <v/>
      </c>
      <c r="Y43">
        <f>HYPERLINK("https://klasma.github.io/Logging_1862/klagomål/A 27071-2026 FSC-klagomål.docx", "A 27071-2026")</f>
        <v/>
      </c>
      <c r="Z43">
        <f>HYPERLINK("https://klasma.github.io/Logging_1862/klagomålsmail/A 27071-2026 FSC-klagomål mail.docx", "A 27071-2026")</f>
        <v/>
      </c>
      <c r="AA43">
        <f>HYPERLINK("https://klasma.github.io/Logging_1862/tillsyn/A 27071-2026 tillsynsbegäran.docx", "A 27071-2026")</f>
        <v/>
      </c>
      <c r="AB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46220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Spillkråka</t>
        </is>
      </c>
      <c r="V44">
        <f>HYPERLINK("https://klasma.github.io/Logging_1862/artfynd/A 27072-2026 artfynd.xlsx", "A 27072-2026")</f>
        <v/>
      </c>
      <c r="W44">
        <f>HYPERLINK("https://klasma.github.io/Logging_1862/kartor/A 27072-2026 karta.png", "A 27072-2026")</f>
        <v/>
      </c>
      <c r="Y44">
        <f>HYPERLINK("https://klasma.github.io/Logging_1862/klagomål/A 27072-2026 FSC-klagomål.docx", "A 27072-2026")</f>
        <v/>
      </c>
      <c r="Z44">
        <f>HYPERLINK("https://klasma.github.io/Logging_1862/klagomålsmail/A 27072-2026 FSC-klagomål mail.docx", "A 27072-2026")</f>
        <v/>
      </c>
      <c r="AA44">
        <f>HYPERLINK("https://klasma.github.io/Logging_1862/tillsyn/A 27072-2026 tillsynsbegäran.docx", "A 27072-2026")</f>
        <v/>
      </c>
      <c r="AB44">
        <f>HYPERLINK("https://klasma.github.io/Logging_1862/tillsynsmail/A 27072-2026 tillsynsbegäran mail.docx", "A 27072-2026")</f>
        <v/>
      </c>
      <c r="AC44">
        <f>HYPERLINK("https://klasma.github.io/Logging_1862/fåglar/A 27072-2026 prioriterade fågelarter.docx", "A 27072-2026")</f>
        <v/>
      </c>
    </row>
    <row r="45" ht="15" customHeight="1">
      <c r="A45" t="inlineStr">
        <is>
          <t>A 47915-2024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46220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Mattlummer</t>
        </is>
      </c>
      <c r="V45">
        <f>HYPERLINK("https://klasma.github.io/Logging_1862/artfynd/A 47915-2024 artfynd.xlsx", "A 47915-2024")</f>
        <v/>
      </c>
      <c r="W45">
        <f>HYPERLINK("https://klasma.github.io/Logging_1862/kartor/A 47915-2024 karta.png", "A 47915-2024")</f>
        <v/>
      </c>
      <c r="Y45">
        <f>HYPERLINK("https://klasma.github.io/Logging_1862/klagomål/A 47915-2024 FSC-klagomål.docx", "A 47915-2024")</f>
        <v/>
      </c>
      <c r="Z45">
        <f>HYPERLINK("https://klasma.github.io/Logging_1862/klagomålsmail/A 47915-2024 FSC-klagomål mail.docx", "A 47915-2024")</f>
        <v/>
      </c>
      <c r="AA45">
        <f>HYPERLINK("https://klasma.github.io/Logging_1862/tillsyn/A 47915-2024 tillsynsbegäran.docx", "A 47915-2024")</f>
        <v/>
      </c>
      <c r="AB45">
        <f>HYPERLINK("https://klasma.github.io/Logging_1862/tillsynsmail/A 47915-2024 tillsynsbegäran mail.docx", "A 47915-2024")</f>
        <v/>
      </c>
    </row>
    <row r="46" ht="15" customHeight="1">
      <c r="A46" t="inlineStr">
        <is>
          <t>A 28976-2026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46220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Orange taggsvamp</t>
        </is>
      </c>
      <c r="V46">
        <f>HYPERLINK("https://klasma.github.io/Logging_1862/artfynd/A 28976-2026 artfynd.xlsx", "A 28976-2026")</f>
        <v/>
      </c>
      <c r="W46">
        <f>HYPERLINK("https://klasma.github.io/Logging_1862/kartor/A 28976-2026 karta.png", "A 28976-2026")</f>
        <v/>
      </c>
      <c r="Y46">
        <f>HYPERLINK("https://klasma.github.io/Logging_1862/klagomål/A 28976-2026 FSC-klagomål.docx", "A 28976-2026")</f>
        <v/>
      </c>
      <c r="Z46">
        <f>HYPERLINK("https://klasma.github.io/Logging_1862/klagomålsmail/A 28976-2026 FSC-klagomål mail.docx", "A 28976-2026")</f>
        <v/>
      </c>
      <c r="AA46">
        <f>HYPERLINK("https://klasma.github.io/Logging_1862/tillsyn/A 28976-2026 tillsynsbegäran.docx", "A 28976-2026")</f>
        <v/>
      </c>
      <c r="AB46">
        <f>HYPERLINK("https://klasma.github.io/Logging_1862/tillsynsmail/A 28976-2026 tillsynsbegäran mail.docx", "A 28976-2026")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46220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Hårklomossa</t>
        </is>
      </c>
      <c r="V47">
        <f>HYPERLINK("https://klasma.github.io/Logging_1862/artfynd/A 14121-2022 artfynd.xlsx", "A 14121-2022")</f>
        <v/>
      </c>
      <c r="W47">
        <f>HYPERLINK("https://klasma.github.io/Logging_1862/kartor/A 14121-2022 karta.png", "A 14121-2022")</f>
        <v/>
      </c>
      <c r="Y47">
        <f>HYPERLINK("https://klasma.github.io/Logging_1862/klagomål/A 14121-2022 FSC-klagomål.docx", "A 14121-2022")</f>
        <v/>
      </c>
      <c r="Z47">
        <f>HYPERLINK("https://klasma.github.io/Logging_1862/klagomålsmail/A 14121-2022 FSC-klagomål mail.docx", "A 14121-2022")</f>
        <v/>
      </c>
      <c r="AA47">
        <f>HYPERLINK("https://klasma.github.io/Logging_1862/tillsyn/A 14121-2022 tillsynsbegäran.docx", "A 14121-2022")</f>
        <v/>
      </c>
      <c r="AB47">
        <f>HYPERLINK("https://klasma.github.io/Logging_1862/tillsynsmail/A 14121-2022 tillsynsbegäran mail.docx", "A 14121-2022")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46220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53838-2024 artfynd.xlsx", "A 53838-2024")</f>
        <v/>
      </c>
      <c r="W48">
        <f>HYPERLINK("https://klasma.github.io/Logging_1862/kartor/A 53838-2024 karta.png", "A 53838-2024")</f>
        <v/>
      </c>
      <c r="Y48">
        <f>HYPERLINK("https://klasma.github.io/Logging_1862/klagomål/A 53838-2024 FSC-klagomål.docx", "A 53838-2024")</f>
        <v/>
      </c>
      <c r="Z48">
        <f>HYPERLINK("https://klasma.github.io/Logging_1862/klagomålsmail/A 53838-2024 FSC-klagomål mail.docx", "A 53838-2024")</f>
        <v/>
      </c>
      <c r="AA48">
        <f>HYPERLINK("https://klasma.github.io/Logging_1862/tillsyn/A 53838-2024 tillsynsbegäran.docx", "A 53838-2024")</f>
        <v/>
      </c>
      <c r="AB48">
        <f>HYPERLINK("https://klasma.github.io/Logging_1862/tillsynsmail/A 53838-2024 tillsynsbegäran mail.docx", "A 53838-2024")</f>
        <v/>
      </c>
      <c r="AC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46220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HYPERLINK("https://klasma.github.io/Logging_1862/artfynd/A 2357-2022 artfynd.xlsx", "A 2357-2022")</f>
        <v/>
      </c>
      <c r="W49">
        <f>HYPERLINK("https://klasma.github.io/Logging_1862/kartor/A 2357-2022 karta.png", "A 2357-2022")</f>
        <v/>
      </c>
      <c r="Y49">
        <f>HYPERLINK("https://klasma.github.io/Logging_1862/klagomål/A 2357-2022 FSC-klagomål.docx", "A 2357-2022")</f>
        <v/>
      </c>
      <c r="Z49">
        <f>HYPERLINK("https://klasma.github.io/Logging_1862/klagomålsmail/A 2357-2022 FSC-klagomål mail.docx", "A 2357-2022")</f>
        <v/>
      </c>
      <c r="AA49">
        <f>HYPERLINK("https://klasma.github.io/Logging_1862/tillsyn/A 2357-2022 tillsynsbegäran.docx", "A 2357-2022")</f>
        <v/>
      </c>
      <c r="AB49">
        <f>HYPERLINK("https://klasma.github.io/Logging_1862/tillsynsmail/A 2357-2022 tillsynsbegäran mail.docx", "A 2357-2022")</f>
        <v/>
      </c>
      <c r="AC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46220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46220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46220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46220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46220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46220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46220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46220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46220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46220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46220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46220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46220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46220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46220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46220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46220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46220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46220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46220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7975-2025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46220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18675-2025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46220</v>
      </c>
      <c r="F71" t="inlineStr">
        <is>
          <t>ÖREBRO LÄN</t>
        </is>
      </c>
      <c r="G71" t="inlineStr">
        <is>
          <t>DEGERFORS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44754</v>
      </c>
      <c r="E72" s="1" t="n">
        <v>46220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37672-2024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45541</v>
      </c>
      <c r="E73" s="1" t="n">
        <v>46220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56478-2024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45624</v>
      </c>
      <c r="E74" s="1" t="n">
        <v>46220</v>
      </c>
      <c r="F74" t="inlineStr">
        <is>
          <t>ÖREBRO LÄN</t>
        </is>
      </c>
      <c r="G74" t="inlineStr">
        <is>
          <t>DEGERFORS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8062-2024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46220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10321-2023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46220</v>
      </c>
      <c r="F76" t="inlineStr">
        <is>
          <t>ÖREBRO LÄN</t>
        </is>
      </c>
      <c r="G76" t="inlineStr">
        <is>
          <t>DEGERFORS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23460-2024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46220</v>
      </c>
      <c r="F77" t="inlineStr">
        <is>
          <t>ÖREBRO LÄN</t>
        </is>
      </c>
      <c r="G77" t="inlineStr">
        <is>
          <t>DEGERFORS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46220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46220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46220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24707-2025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46220</v>
      </c>
      <c r="F81" t="inlineStr">
        <is>
          <t>ÖREBRO LÄN</t>
        </is>
      </c>
      <c r="G81" t="inlineStr">
        <is>
          <t>DEGERFORS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46220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45163</v>
      </c>
      <c r="E83" s="1" t="n">
        <v>46220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46220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46220</v>
      </c>
      <c r="F85" t="inlineStr">
        <is>
          <t>ÖREBRO LÄN</t>
        </is>
      </c>
      <c r="G85" t="inlineStr">
        <is>
          <t>DEGERFORS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28367-2025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46220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28368-2025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46220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44579</v>
      </c>
      <c r="E88" s="1" t="n">
        <v>46220</v>
      </c>
      <c r="F88" t="inlineStr">
        <is>
          <t>ÖREBRO LÄN</t>
        </is>
      </c>
      <c r="G88" t="inlineStr">
        <is>
          <t>DEGERFORS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46220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41766-2025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46220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23066-2022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46220</v>
      </c>
      <c r="F91" t="inlineStr">
        <is>
          <t>ÖREBRO LÄN</t>
        </is>
      </c>
      <c r="G91" t="inlineStr">
        <is>
          <t>DEGERFORS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43694-2025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46220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43691-2025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46220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46220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46220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60907-2023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45261</v>
      </c>
      <c r="E96" s="1" t="n">
        <v>46220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59863-2024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45639</v>
      </c>
      <c r="E97" s="1" t="n">
        <v>46220</v>
      </c>
      <c r="F97" t="inlineStr">
        <is>
          <t>ÖREBRO LÄN</t>
        </is>
      </c>
      <c r="G97" t="inlineStr">
        <is>
          <t>DEGERFORS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46220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46220</v>
      </c>
      <c r="F99" t="inlineStr">
        <is>
          <t>ÖREBRO LÄN</t>
        </is>
      </c>
      <c r="G99" t="inlineStr">
        <is>
          <t>DEGERFORS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50766-2024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45602</v>
      </c>
      <c r="E100" s="1" t="n">
        <v>46220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8184-2022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44609</v>
      </c>
      <c r="E101" s="1" t="n">
        <v>46220</v>
      </c>
      <c r="F101" t="inlineStr">
        <is>
          <t>ÖREBRO LÄN</t>
        </is>
      </c>
      <c r="G101" t="inlineStr">
        <is>
          <t>DEGERFORS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52523-2024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45609</v>
      </c>
      <c r="E102" s="1" t="n">
        <v>46220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46220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37333-2025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45876</v>
      </c>
      <c r="E104" s="1" t="n">
        <v>46220</v>
      </c>
      <c r="F104" t="inlineStr">
        <is>
          <t>ÖREBRO LÄN</t>
        </is>
      </c>
      <c r="G104" t="inlineStr">
        <is>
          <t>DEGERFORS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37265-2025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46220</v>
      </c>
      <c r="F105" t="inlineStr">
        <is>
          <t>ÖREBRO LÄN</t>
        </is>
      </c>
      <c r="G105" t="inlineStr">
        <is>
          <t>DEGERFORS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15594-2025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46220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54515-2023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45233</v>
      </c>
      <c r="E107" s="1" t="n">
        <v>46220</v>
      </c>
      <c r="F107" t="inlineStr">
        <is>
          <t>ÖREBRO LÄN</t>
        </is>
      </c>
      <c r="G107" t="inlineStr">
        <is>
          <t>DEGERFORS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51040-2025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46220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54994-2024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46220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38875-2025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46220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52099-2025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46220</v>
      </c>
      <c r="F111" t="inlineStr">
        <is>
          <t>ÖREBRO LÄN</t>
        </is>
      </c>
      <c r="G111" t="inlineStr">
        <is>
          <t>DEGERFORS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13236-2025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46220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38233-2023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45160</v>
      </c>
      <c r="E113" s="1" t="n">
        <v>46220</v>
      </c>
      <c r="F113" t="inlineStr">
        <is>
          <t>ÖREBRO LÄN</t>
        </is>
      </c>
      <c r="G113" t="inlineStr">
        <is>
          <t>DEGERFORS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10674-2024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45369</v>
      </c>
      <c r="E115" s="1" t="n">
        <v>46220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46220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60933-2024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46220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73693-2021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46220</v>
      </c>
      <c r="F118" t="inlineStr">
        <is>
          <t>ÖREBRO LÄN</t>
        </is>
      </c>
      <c r="G118" t="inlineStr">
        <is>
          <t>DEGERFORS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60937-2024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46220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60940-2024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46220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46220</v>
      </c>
      <c r="F121" t="inlineStr">
        <is>
          <t>ÖREBRO LÄN</t>
        </is>
      </c>
      <c r="G121" t="inlineStr">
        <is>
          <t>DEGERFORS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60524-2025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45995</v>
      </c>
      <c r="E122" s="1" t="n">
        <v>46220</v>
      </c>
      <c r="F122" t="inlineStr">
        <is>
          <t>ÖREBRO LÄN</t>
        </is>
      </c>
      <c r="G122" t="inlineStr">
        <is>
          <t>DEGERFORS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57234-2024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45629</v>
      </c>
      <c r="E123" s="1" t="n">
        <v>46220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46220</v>
      </c>
      <c r="F124" t="inlineStr">
        <is>
          <t>ÖREBRO LÄN</t>
        </is>
      </c>
      <c r="G124" t="inlineStr">
        <is>
          <t>DEGERFORS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60708-2025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46220</v>
      </c>
      <c r="F125" t="inlineStr">
        <is>
          <t>ÖREBRO LÄN</t>
        </is>
      </c>
      <c r="G125" t="inlineStr">
        <is>
          <t>DEGERFORS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46220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48118-2023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46220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12148-2025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45729</v>
      </c>
      <c r="E128" s="1" t="n">
        <v>46220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8074-2024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45351</v>
      </c>
      <c r="E129" s="1" t="n">
        <v>46220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9273-2026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46220</v>
      </c>
      <c r="F130" t="inlineStr">
        <is>
          <t>ÖREBRO LÄN</t>
        </is>
      </c>
      <c r="G130" t="inlineStr">
        <is>
          <t>DEGERFORS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12159-2026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46220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12160-2026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46086</v>
      </c>
      <c r="E132" s="1" t="n">
        <v>46220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21952-2024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45443</v>
      </c>
      <c r="E133" s="1" t="n">
        <v>46220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12936-2026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46220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13293-2026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46094</v>
      </c>
      <c r="E135" s="1" t="n">
        <v>46220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62972-2023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46220</v>
      </c>
      <c r="F136" t="inlineStr">
        <is>
          <t>ÖREBRO LÄN</t>
        </is>
      </c>
      <c r="G136" t="inlineStr">
        <is>
          <t>DEGERFORS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13040-2026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46220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13039-2026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46220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12143-2025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45729</v>
      </c>
      <c r="E139" s="1" t="n">
        <v>46220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51653-2023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46220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20577-2023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45057</v>
      </c>
      <c r="E141" s="1" t="n">
        <v>46220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45365-2023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45192</v>
      </c>
      <c r="E142" s="1" t="n">
        <v>46220</v>
      </c>
      <c r="F142" t="inlineStr">
        <is>
          <t>ÖREBRO LÄN</t>
        </is>
      </c>
      <c r="G142" t="inlineStr">
        <is>
          <t>DEGERFORS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6387-2024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45338</v>
      </c>
      <c r="E143" s="1" t="n">
        <v>46220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46220</v>
      </c>
      <c r="F144" t="inlineStr">
        <is>
          <t>ÖREBRO LÄN</t>
        </is>
      </c>
      <c r="G144" t="inlineStr">
        <is>
          <t>DEGERFORS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45338</v>
      </c>
      <c r="E145" s="1" t="n">
        <v>46220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18913-2026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46220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11085-2023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46220</v>
      </c>
      <c r="F147" t="inlineStr">
        <is>
          <t>ÖREBRO LÄN</t>
        </is>
      </c>
      <c r="G147" t="inlineStr">
        <is>
          <t>DEGERFORS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18506-2026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46220</v>
      </c>
      <c r="F148" t="inlineStr">
        <is>
          <t>ÖREBRO LÄN</t>
        </is>
      </c>
      <c r="G148" t="inlineStr">
        <is>
          <t>DEGERFORS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19227-2026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46132</v>
      </c>
      <c r="E149" s="1" t="n">
        <v>46220</v>
      </c>
      <c r="F149" t="inlineStr">
        <is>
          <t>ÖREBRO LÄN</t>
        </is>
      </c>
      <c r="G149" t="inlineStr">
        <is>
          <t>DEGERFORS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45330</v>
      </c>
      <c r="E150" s="1" t="n">
        <v>46220</v>
      </c>
      <c r="F150" t="inlineStr">
        <is>
          <t>ÖREBRO LÄN</t>
        </is>
      </c>
      <c r="G150" t="inlineStr">
        <is>
          <t>DEGERFORS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50378-2024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46220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33293-2023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45116</v>
      </c>
      <c r="E152" s="1" t="n">
        <v>46220</v>
      </c>
      <c r="F152" t="inlineStr">
        <is>
          <t>ÖREBRO LÄN</t>
        </is>
      </c>
      <c r="G152" t="inlineStr">
        <is>
          <t>DEGERFORS</t>
        </is>
      </c>
      <c r="I152" t="n">
        <v>17.2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44807-2023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46220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51652-2023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46220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44457-2022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46220</v>
      </c>
      <c r="F155" t="inlineStr">
        <is>
          <t>ÖREBRO LÄN</t>
        </is>
      </c>
      <c r="G155" t="inlineStr">
        <is>
          <t>DEGERFORS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32211-2022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46220</v>
      </c>
      <c r="F156" t="inlineStr">
        <is>
          <t>ÖREBRO LÄN</t>
        </is>
      </c>
      <c r="G156" t="inlineStr">
        <is>
          <t>DEGERFORS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13405-2024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46220</v>
      </c>
      <c r="F157" t="inlineStr">
        <is>
          <t>ÖREBRO LÄN</t>
        </is>
      </c>
      <c r="G157" t="inlineStr">
        <is>
          <t>DEGERFORS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12729-2024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46220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46220</v>
      </c>
      <c r="F159" t="inlineStr">
        <is>
          <t>ÖREBRO LÄN</t>
        </is>
      </c>
      <c r="G159" t="inlineStr">
        <is>
          <t>DEGERFORS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43752-2025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45912</v>
      </c>
      <c r="E160" s="1" t="n">
        <v>46220</v>
      </c>
      <c r="F160" t="inlineStr">
        <is>
          <t>ÖREBRO LÄN</t>
        </is>
      </c>
      <c r="G160" t="inlineStr">
        <is>
          <t>DEGERFORS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20567-2026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46140</v>
      </c>
      <c r="E161" s="1" t="n">
        <v>46220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20568-2026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46220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20478-2026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46220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20476-2026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46220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26857-2026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46220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46220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26947-2026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46220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27411-2026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46220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63905-2021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46220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21440-2026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46220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38743-2022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46220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46220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27745-2026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46220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27746-2026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46220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21402-2026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46220</v>
      </c>
      <c r="F175" t="inlineStr">
        <is>
          <t>ÖREBRO LÄN</t>
        </is>
      </c>
      <c r="G175" t="inlineStr">
        <is>
          <t>DEGERFORS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47935-2024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45589</v>
      </c>
      <c r="E176" s="1" t="n">
        <v>46220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21660-2026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46220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21663-2026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46220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21442-2026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46148</v>
      </c>
      <c r="E179" s="1" t="n">
        <v>46220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21401-2026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46148</v>
      </c>
      <c r="E180" s="1" t="n">
        <v>46220</v>
      </c>
      <c r="F180" t="inlineStr">
        <is>
          <t>ÖREBRO LÄN</t>
        </is>
      </c>
      <c r="G180" t="inlineStr">
        <is>
          <t>DEGERFORS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46220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46220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46190</v>
      </c>
      <c r="E183" s="1" t="n">
        <v>46220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46220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8059-2024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45351</v>
      </c>
      <c r="E185" s="1" t="n">
        <v>46220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46220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44735-2021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46220</v>
      </c>
      <c r="F187" t="inlineStr">
        <is>
          <t>ÖREBRO LÄN</t>
        </is>
      </c>
      <c r="G187" t="inlineStr">
        <is>
          <t>DEGERFORS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46220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29482-2023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46220</v>
      </c>
      <c r="F189" t="inlineStr">
        <is>
          <t>ÖREBRO LÄN</t>
        </is>
      </c>
      <c r="G189" t="inlineStr">
        <is>
          <t>DEGERFORS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59158-2022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44904</v>
      </c>
      <c r="E190" s="1" t="n">
        <v>46220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46220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46220</v>
      </c>
      <c r="F192" t="inlineStr">
        <is>
          <t>ÖREBRO LÄN</t>
        </is>
      </c>
      <c r="G192" t="inlineStr">
        <is>
          <t>DEGERFORS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10320-2023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46220</v>
      </c>
      <c r="F193" t="inlineStr">
        <is>
          <t>ÖREBRO LÄN</t>
        </is>
      </c>
      <c r="G193" t="inlineStr">
        <is>
          <t>DEGERFORS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28789-2026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46195</v>
      </c>
      <c r="E194" s="1" t="n">
        <v>46220</v>
      </c>
      <c r="F194" t="inlineStr">
        <is>
          <t>ÖREBRO LÄN</t>
        </is>
      </c>
      <c r="G194" t="inlineStr">
        <is>
          <t>DEGERFORS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28708-2026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46220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28930-2026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46199</v>
      </c>
      <c r="E196" s="1" t="n">
        <v>46220</v>
      </c>
      <c r="F196" t="inlineStr">
        <is>
          <t>ÖREBRO LÄN</t>
        </is>
      </c>
      <c r="G196" t="inlineStr">
        <is>
          <t>DEGERFORS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28695-2026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46220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46220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10797-2023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44989</v>
      </c>
      <c r="E199" s="1" t="n">
        <v>46220</v>
      </c>
      <c r="F199" t="inlineStr">
        <is>
          <t>ÖREBRO LÄN</t>
        </is>
      </c>
      <c r="G199" t="inlineStr">
        <is>
          <t>DEGERFORS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11084-2023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46220</v>
      </c>
      <c r="F200" t="inlineStr">
        <is>
          <t>ÖREBRO LÄN</t>
        </is>
      </c>
      <c r="G200" t="inlineStr">
        <is>
          <t>DEGERFORS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50764-2024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46220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33658-2024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45520</v>
      </c>
      <c r="E202" s="1" t="n">
        <v>46220</v>
      </c>
      <c r="F202" t="inlineStr">
        <is>
          <t>ÖREBRO LÄN</t>
        </is>
      </c>
      <c r="G202" t="inlineStr">
        <is>
          <t>DEGERFORS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29132-2026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46202</v>
      </c>
      <c r="E203" s="1" t="n">
        <v>46220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45861-2023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45195</v>
      </c>
      <c r="E204" s="1" t="n">
        <v>46220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43768-2024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46220</v>
      </c>
      <c r="F205" t="inlineStr">
        <is>
          <t>ÖREBRO LÄN</t>
        </is>
      </c>
      <c r="G205" t="inlineStr">
        <is>
          <t>DEGERFORS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29130-2026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46220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46220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23229-2026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46220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14678-2025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45742</v>
      </c>
      <c r="E209" s="1" t="n">
        <v>46220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29552-2026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46204</v>
      </c>
      <c r="E210" s="1" t="n">
        <v>46220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38738-2022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46220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23854-2026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46220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52131-2021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44463</v>
      </c>
      <c r="E213" s="1" t="n">
        <v>46220</v>
      </c>
      <c r="F213" t="inlineStr">
        <is>
          <t>ÖREBRO LÄN</t>
        </is>
      </c>
      <c r="G213" t="inlineStr">
        <is>
          <t>DEGERFORS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24460-2026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46220</v>
      </c>
      <c r="F214" t="inlineStr">
        <is>
          <t>ÖREBRO LÄN</t>
        </is>
      </c>
      <c r="G214" t="inlineStr">
        <is>
          <t>DEGERFORS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24462-2026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46220</v>
      </c>
      <c r="F215" t="inlineStr">
        <is>
          <t>ÖREBRO LÄN</t>
        </is>
      </c>
      <c r="G215" t="inlineStr">
        <is>
          <t>DEGERFORS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61750-2021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46220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7472-2025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45705</v>
      </c>
      <c r="E217" s="1" t="n">
        <v>46220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24689-2026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46220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50207-2024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46220</v>
      </c>
      <c r="F219" t="inlineStr">
        <is>
          <t>ÖREBRO LÄN</t>
        </is>
      </c>
      <c r="G219" t="inlineStr">
        <is>
          <t>DEGERFORS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50208-2024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46220</v>
      </c>
      <c r="F220" t="inlineStr">
        <is>
          <t>ÖREBRO LÄN</t>
        </is>
      </c>
      <c r="G220" t="inlineStr">
        <is>
          <t>DEGERFORS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12108-2024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46220</v>
      </c>
      <c r="F221" t="inlineStr">
        <is>
          <t>ÖREBRO LÄN</t>
        </is>
      </c>
      <c r="G221" t="inlineStr">
        <is>
          <t>DEGERFORS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46220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32154-2023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46220</v>
      </c>
      <c r="F223" t="inlineStr">
        <is>
          <t>ÖREBRO LÄN</t>
        </is>
      </c>
      <c r="G223" t="inlineStr">
        <is>
          <t>DEGERFORS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46220</v>
      </c>
      <c r="F224" t="inlineStr">
        <is>
          <t>ÖREBRO LÄN</t>
        </is>
      </c>
      <c r="G224" t="inlineStr">
        <is>
          <t>DEGERFORS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46288-2024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46220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51996-2023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46220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58629-2024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46220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46220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62982-2023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46220</v>
      </c>
      <c r="F229" t="inlineStr">
        <is>
          <t>ÖREBRO LÄN</t>
        </is>
      </c>
      <c r="G229" t="inlineStr">
        <is>
          <t>DEGERFORS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21935-2024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46220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46220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46220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46220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46220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46220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46220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46220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46220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2026-07-17T01:42:55Z</dcterms:created>
  <dcterms:modified xmlns:dcterms="http://purl.org/dc/terms/" xmlns:xsi="http://www.w3.org/2001/XMLSchema-instance" xsi:type="dcterms:W3CDTF">2026-07-17T01:42:55Z</dcterms:modified>
</cp:coreProperties>
</file>