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22870-2026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46160</v>
      </c>
      <c r="E2" s="1" t="n">
        <v>46319</v>
      </c>
      <c r="F2" t="inlineStr">
        <is>
          <t>ÖREBRO LÄN</t>
        </is>
      </c>
      <c r="G2" t="inlineStr">
        <is>
          <t>DEGERFORS</t>
        </is>
      </c>
      <c r="H2" t="inlineStr">
        <is>
          <t>Sveaskog</t>
        </is>
      </c>
      <c r="I2" t="n">
        <v>4.1</v>
      </c>
      <c r="J2" t="n">
        <v>15</v>
      </c>
      <c r="K2" t="n">
        <v>1</v>
      </c>
      <c r="L2" t="n">
        <v>6</v>
      </c>
      <c r="M2" t="n">
        <v>1</v>
      </c>
      <c r="N2" t="n">
        <v>0</v>
      </c>
      <c r="O2" t="n">
        <v>0</v>
      </c>
      <c r="P2" t="n">
        <v>0</v>
      </c>
      <c r="Q2" t="n">
        <v>7</v>
      </c>
      <c r="R2" t="n">
        <v>1</v>
      </c>
      <c r="S2" t="n">
        <v>17</v>
      </c>
      <c r="T2" t="n">
        <v>45</v>
      </c>
      <c r="U2" t="n">
        <v>45</v>
      </c>
      <c r="V2" s="2" t="inlineStr">
        <is>
          <t>Tornseglare
Brunlångöra
Dropptaggsvamp
Duvhök
Enkelbeckasin
Nordfladdermus
Talltita
Grönpyrola
Nattskärra
Spillkråka
Tjäder
Tofsmes
Dvärgpipistrell
Havsörn
Sångsvan
Vattenfladdermus
Åkergroda</t>
        </is>
      </c>
      <c r="W2">
        <f>HYPERLINK("https://klasma.github.io/Logging_1862/artfynd/A 22870-2026 artfynd.xlsx", "A 22870-2026")</f>
        <v/>
      </c>
      <c r="X2">
        <f>HYPERLINK("https://klasma.github.io/Logging_1862/kartor/A 22870-2026 karta.png", "A 22870-2026")</f>
        <v/>
      </c>
      <c r="Y2">
        <f>HYPERLINK("https://klasma.github.io/Logging_1862/kartor_geotiff/A 22870-2026 georefererad karta.tif", "A 22870-2026")</f>
        <v/>
      </c>
      <c r="AA2">
        <f>HYPERLINK("https://klasma.github.io/Logging_1862/klagomål/A 22870-2026 FSC-klagomål.docx", "A 22870-2026")</f>
        <v/>
      </c>
      <c r="AB2">
        <f>HYPERLINK("https://klasma.github.io/Logging_1862/klagomålsmail/A 22870-2026 FSC-klagomål mail.docx", "A 22870-2026")</f>
        <v/>
      </c>
      <c r="AC2">
        <f>HYPERLINK("https://klasma.github.io/Logging_1862/tillsyn/A 22870-2026 tillsynsbegäran.docx", "A 22870-2026")</f>
        <v/>
      </c>
      <c r="AD2">
        <f>HYPERLINK("https://klasma.github.io/Logging_1862/tillsynsmail/A 22870-2026 tillsynsbegäran mail.docx", "A 22870-2026")</f>
        <v/>
      </c>
      <c r="AE2">
        <f>HYPERLINK("https://klasma.github.io/Logging_1862/fåglar/A 22870-2026 prioriterade fågelarter.docx", "A 22870-2026")</f>
        <v/>
      </c>
    </row>
    <row r="3" ht="15" customHeight="1">
      <c r="A3" t="inlineStr">
        <is>
          <t>A 5800-2026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46051</v>
      </c>
      <c r="E3" s="1" t="n">
        <v>46319</v>
      </c>
      <c r="F3" t="inlineStr">
        <is>
          <t>ÖREBRO LÄN</t>
        </is>
      </c>
      <c r="G3" t="inlineStr">
        <is>
          <t>DEGERFORS</t>
        </is>
      </c>
      <c r="I3" t="n">
        <v>17.7</v>
      </c>
      <c r="J3" t="n">
        <v>4</v>
      </c>
      <c r="K3" t="n">
        <v>7</v>
      </c>
      <c r="L3" t="n">
        <v>2</v>
      </c>
      <c r="M3" t="n">
        <v>0</v>
      </c>
      <c r="N3" t="n">
        <v>1</v>
      </c>
      <c r="O3" t="n">
        <v>0</v>
      </c>
      <c r="P3" t="n">
        <v>0</v>
      </c>
      <c r="Q3" t="n">
        <v>3</v>
      </c>
      <c r="R3" t="n">
        <v>1</v>
      </c>
      <c r="S3" t="n">
        <v>14</v>
      </c>
      <c r="T3" t="n">
        <v>26</v>
      </c>
      <c r="U3" t="n">
        <v>8</v>
      </c>
      <c r="V3" s="2" t="inlineStr">
        <is>
          <t>Ask
Gullpudra
Rynkskinn
Bronshjon
Grönpyrola
Stubbspretmossa
Svart trolldruva
Vedticka
Västlig hakmossa
Vågbandad barkbock
Blåsippa
Spillkråka
Grönvit nattviol
Revlummer</t>
        </is>
      </c>
      <c r="W3">
        <f>HYPERLINK("https://klasma.github.io/Logging_1862/artfynd/A 5800-2026 artfynd.xlsx", "A 5800-2026")</f>
        <v/>
      </c>
      <c r="X3">
        <f>HYPERLINK("https://klasma.github.io/Logging_1862/kartor/A 5800-2026 karta.png", "A 5800-2026")</f>
        <v/>
      </c>
      <c r="Y3">
        <f>HYPERLINK("https://klasma.github.io/Logging_1862/kartor_geotiff/A 5800-2026 georefererad karta.tif", "A 5800-2026")</f>
        <v/>
      </c>
      <c r="AA3">
        <f>HYPERLINK("https://klasma.github.io/Logging_1862/klagomål/A 5800-2026 FSC-klagomål.docx", "A 5800-2026")</f>
        <v/>
      </c>
      <c r="AB3">
        <f>HYPERLINK("https://klasma.github.io/Logging_1862/klagomålsmail/A 5800-2026 FSC-klagomål mail.docx", "A 5800-2026")</f>
        <v/>
      </c>
      <c r="AC3">
        <f>HYPERLINK("https://klasma.github.io/Logging_1862/tillsyn/A 5800-2026 tillsynsbegäran.docx", "A 5800-2026")</f>
        <v/>
      </c>
      <c r="AD3">
        <f>HYPERLINK("https://klasma.github.io/Logging_1862/tillsynsmail/A 5800-2026 tillsynsbegäran mail.docx", "A 5800-2026")</f>
        <v/>
      </c>
      <c r="AE3">
        <f>HYPERLINK("https://klasma.github.io/Logging_1862/fåglar/A 5800-2026 prioriterade fågelarter.docx", "A 5800-2026")</f>
        <v/>
      </c>
    </row>
    <row r="4" ht="15" customHeight="1">
      <c r="A4" t="inlineStr">
        <is>
          <t>A 15809-2026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46107</v>
      </c>
      <c r="E4" s="1" t="n">
        <v>46319</v>
      </c>
      <c r="F4" t="inlineStr">
        <is>
          <t>ÖREBRO LÄN</t>
        </is>
      </c>
      <c r="G4" t="inlineStr">
        <is>
          <t>DEGERFORS</t>
        </is>
      </c>
      <c r="H4" t="inlineStr">
        <is>
          <t>Sveaskog</t>
        </is>
      </c>
      <c r="I4" t="n">
        <v>9.5</v>
      </c>
      <c r="J4" t="n">
        <v>11</v>
      </c>
      <c r="K4" t="n">
        <v>0</v>
      </c>
      <c r="L4" t="n">
        <v>6</v>
      </c>
      <c r="M4" t="n">
        <v>1</v>
      </c>
      <c r="N4" t="n">
        <v>0</v>
      </c>
      <c r="O4" t="n">
        <v>0</v>
      </c>
      <c r="P4" t="n">
        <v>0</v>
      </c>
      <c r="Q4" t="n">
        <v>7</v>
      </c>
      <c r="R4" t="n">
        <v>1</v>
      </c>
      <c r="S4" t="n">
        <v>13</v>
      </c>
      <c r="T4" t="n">
        <v>21</v>
      </c>
      <c r="U4" t="n">
        <v>20</v>
      </c>
      <c r="V4" s="2" t="inlineStr">
        <is>
          <t>Tornseglare
Dropptaggsvamp
Duvhök
Järnsparv
Nordfladdermus
Orange taggsvamp
Talltita
Spillkråka
Tjäder
Tofsmes
Dvärgpipistrell
Vattenfladdermus
Revlummer</t>
        </is>
      </c>
      <c r="W4">
        <f>HYPERLINK("https://klasma.github.io/Logging_1862/artfynd/A 15809-2026 artfynd.xlsx", "A 15809-2026")</f>
        <v/>
      </c>
      <c r="X4">
        <f>HYPERLINK("https://klasma.github.io/Logging_1862/kartor/A 15809-2026 karta.png", "A 15809-2026")</f>
        <v/>
      </c>
      <c r="Y4">
        <f>HYPERLINK("https://klasma.github.io/Logging_1862/kartor_geotiff/A 15809-2026 georefererad karta.tif", "A 15809-2026")</f>
        <v/>
      </c>
      <c r="AA4">
        <f>HYPERLINK("https://klasma.github.io/Logging_1862/klagomål/A 15809-2026 FSC-klagomål.docx", "A 15809-2026")</f>
        <v/>
      </c>
      <c r="AB4">
        <f>HYPERLINK("https://klasma.github.io/Logging_1862/klagomålsmail/A 15809-2026 FSC-klagomål mail.docx", "A 15809-2026")</f>
        <v/>
      </c>
      <c r="AC4">
        <f>HYPERLINK("https://klasma.github.io/Logging_1862/tillsyn/A 15809-2026 tillsynsbegäran.docx", "A 15809-2026")</f>
        <v/>
      </c>
      <c r="AD4">
        <f>HYPERLINK("https://klasma.github.io/Logging_1862/tillsynsmail/A 15809-2026 tillsynsbegäran mail.docx", "A 15809-2026")</f>
        <v/>
      </c>
      <c r="AE4">
        <f>HYPERLINK("https://klasma.github.io/Logging_1862/fåglar/A 15809-2026 prioriterade fågelarter.docx", "A 15809-2026")</f>
        <v/>
      </c>
    </row>
    <row r="5" ht="15" customHeight="1">
      <c r="A5" t="inlineStr">
        <is>
          <t>A 22871-2026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46160</v>
      </c>
      <c r="E5" s="1" t="n">
        <v>46319</v>
      </c>
      <c r="F5" t="inlineStr">
        <is>
          <t>ÖREBRO LÄN</t>
        </is>
      </c>
      <c r="G5" t="inlineStr">
        <is>
          <t>DEGERFORS</t>
        </is>
      </c>
      <c r="H5" t="inlineStr">
        <is>
          <t>Sveaskog</t>
        </is>
      </c>
      <c r="I5" t="n">
        <v>3.2</v>
      </c>
      <c r="J5" t="n">
        <v>11</v>
      </c>
      <c r="K5" t="n">
        <v>1</v>
      </c>
      <c r="L5" t="n">
        <v>6</v>
      </c>
      <c r="M5" t="n">
        <v>1</v>
      </c>
      <c r="N5" t="n">
        <v>0</v>
      </c>
      <c r="O5" t="n">
        <v>0</v>
      </c>
      <c r="P5" t="n">
        <v>0</v>
      </c>
      <c r="Q5" t="n">
        <v>7</v>
      </c>
      <c r="R5" t="n">
        <v>1</v>
      </c>
      <c r="S5" t="n">
        <v>13</v>
      </c>
      <c r="T5" t="n">
        <v>35</v>
      </c>
      <c r="U5" t="n">
        <v>35</v>
      </c>
      <c r="V5" s="2" t="inlineStr">
        <is>
          <t>Tornseglare
Brunlångöra
Dropptaggsvamp
Duvhök
Nordfladdermus
Talltita
Tretåig hackspett
Grönpyrola
Nattskärra
Spillkråka
Tofsmes
Dvärgpipistrell
Havsörn</t>
        </is>
      </c>
      <c r="W5">
        <f>HYPERLINK("https://klasma.github.io/Logging_1862/artfynd/A 22871-2026 artfynd.xlsx", "A 22871-2026")</f>
        <v/>
      </c>
      <c r="X5">
        <f>HYPERLINK("https://klasma.github.io/Logging_1862/kartor/A 22871-2026 karta.png", "A 22871-2026")</f>
        <v/>
      </c>
      <c r="Y5">
        <f>HYPERLINK("https://klasma.github.io/Logging_1862/kartor_geotiff/A 22871-2026 georefererad karta.tif", "A 22871-2026")</f>
        <v/>
      </c>
      <c r="AA5">
        <f>HYPERLINK("https://klasma.github.io/Logging_1862/klagomål/A 22871-2026 FSC-klagomål.docx", "A 22871-2026")</f>
        <v/>
      </c>
      <c r="AB5">
        <f>HYPERLINK("https://klasma.github.io/Logging_1862/klagomålsmail/A 22871-2026 FSC-klagomål mail.docx", "A 22871-2026")</f>
        <v/>
      </c>
      <c r="AC5">
        <f>HYPERLINK("https://klasma.github.io/Logging_1862/tillsyn/A 22871-2026 tillsynsbegäran.docx", "A 22871-2026")</f>
        <v/>
      </c>
      <c r="AD5">
        <f>HYPERLINK("https://klasma.github.io/Logging_1862/tillsynsmail/A 22871-2026 tillsynsbegäran mail.docx", "A 22871-2026")</f>
        <v/>
      </c>
      <c r="AE5">
        <f>HYPERLINK("https://klasma.github.io/Logging_1862/fåglar/A 22871-2026 prioriterade fågelarter.docx", "A 22871-2026")</f>
        <v/>
      </c>
    </row>
    <row r="6" ht="15" customHeight="1">
      <c r="A6" t="inlineStr">
        <is>
          <t>A 27663-2026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46190</v>
      </c>
      <c r="E6" s="1" t="n">
        <v>46319</v>
      </c>
      <c r="F6" t="inlineStr">
        <is>
          <t>ÖREBRO LÄN</t>
        </is>
      </c>
      <c r="G6" t="inlineStr">
        <is>
          <t>DEGERFORS</t>
        </is>
      </c>
      <c r="H6" t="inlineStr">
        <is>
          <t>Sveaskog</t>
        </is>
      </c>
      <c r="I6" t="n">
        <v>6.8</v>
      </c>
      <c r="J6" t="n">
        <v>10</v>
      </c>
      <c r="K6" t="n">
        <v>1</v>
      </c>
      <c r="L6" t="n">
        <v>5</v>
      </c>
      <c r="M6" t="n">
        <v>0</v>
      </c>
      <c r="N6" t="n">
        <v>0</v>
      </c>
      <c r="O6" t="n">
        <v>0</v>
      </c>
      <c r="P6" t="n">
        <v>0</v>
      </c>
      <c r="Q6" t="n">
        <v>5</v>
      </c>
      <c r="R6" t="n">
        <v>0</v>
      </c>
      <c r="S6" t="n">
        <v>11</v>
      </c>
      <c r="T6" t="n">
        <v>21</v>
      </c>
      <c r="U6" t="n">
        <v>21</v>
      </c>
      <c r="V6" s="2" t="inlineStr">
        <is>
          <t>Bivråk
Entita
Järnsparv
Talltita
Tretåig hackspett
Thomsons trägnagare
Mattlummer
Spillkråka
Tjäder
Tofsmes
Revlummer</t>
        </is>
      </c>
      <c r="W6">
        <f>HYPERLINK("https://klasma.github.io/Logging_1862/artfynd/A 27663-2026 artfynd.xlsx", "A 27663-2026")</f>
        <v/>
      </c>
      <c r="X6">
        <f>HYPERLINK("https://klasma.github.io/Logging_1862/kartor/A 27663-2026 karta.png", "A 27663-2026")</f>
        <v/>
      </c>
      <c r="Y6">
        <f>HYPERLINK("https://klasma.github.io/Logging_1862/kartor_geotiff/A 27663-2026 georefererad karta.tif", "A 27663-2026")</f>
        <v/>
      </c>
      <c r="AA6">
        <f>HYPERLINK("https://klasma.github.io/Logging_1862/klagomål/A 27663-2026 FSC-klagomål.docx", "A 27663-2026")</f>
        <v/>
      </c>
      <c r="AB6">
        <f>HYPERLINK("https://klasma.github.io/Logging_1862/klagomålsmail/A 27663-2026 FSC-klagomål mail.docx", "A 27663-2026")</f>
        <v/>
      </c>
      <c r="AC6">
        <f>HYPERLINK("https://klasma.github.io/Logging_1862/tillsyn/A 27663-2026 tillsynsbegäran.docx", "A 27663-2026")</f>
        <v/>
      </c>
      <c r="AD6">
        <f>HYPERLINK("https://klasma.github.io/Logging_1862/tillsynsmail/A 27663-2026 tillsynsbegäran mail.docx", "A 27663-2026")</f>
        <v/>
      </c>
      <c r="AE6">
        <f>HYPERLINK("https://klasma.github.io/Logging_1862/fåglar/A 27663-2026 prioriterade fågelarter.docx", "A 27663-2026")</f>
        <v/>
      </c>
    </row>
    <row r="7" ht="15" customHeight="1">
      <c r="A7" t="inlineStr">
        <is>
          <t>A 27668-2026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46190</v>
      </c>
      <c r="E7" s="1" t="n">
        <v>46319</v>
      </c>
      <c r="F7" t="inlineStr">
        <is>
          <t>ÖREBRO LÄN</t>
        </is>
      </c>
      <c r="G7" t="inlineStr">
        <is>
          <t>DEGERFORS</t>
        </is>
      </c>
      <c r="H7" t="inlineStr">
        <is>
          <t>Sveaskog</t>
        </is>
      </c>
      <c r="I7" t="n">
        <v>2.3</v>
      </c>
      <c r="J7" t="n">
        <v>9</v>
      </c>
      <c r="K7" t="n">
        <v>1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10</v>
      </c>
      <c r="T7" t="n">
        <v>29</v>
      </c>
      <c r="U7" t="n">
        <v>29</v>
      </c>
      <c r="V7" s="2" t="inlineStr">
        <is>
          <t>Järnsparv
Talltita
Tretåig hackspett
Grönpyrola
Mattlummer
Spillkråka
Tjäder
Tofsmes
Vanlig snok
Revlummer</t>
        </is>
      </c>
      <c r="W7">
        <f>HYPERLINK("https://klasma.github.io/Logging_1862/artfynd/A 27668-2026 artfynd.xlsx", "A 27668-2026")</f>
        <v/>
      </c>
      <c r="X7">
        <f>HYPERLINK("https://klasma.github.io/Logging_1862/kartor/A 27668-2026 karta.png", "A 27668-2026")</f>
        <v/>
      </c>
      <c r="Y7">
        <f>HYPERLINK("https://klasma.github.io/Logging_1862/kartor_geotiff/A 27668-2026 georefererad karta.tif", "A 27668-2026")</f>
        <v/>
      </c>
      <c r="AA7">
        <f>HYPERLINK("https://klasma.github.io/Logging_1862/klagomål/A 27668-2026 FSC-klagomål.docx", "A 27668-2026")</f>
        <v/>
      </c>
      <c r="AB7">
        <f>HYPERLINK("https://klasma.github.io/Logging_1862/klagomålsmail/A 27668-2026 FSC-klagomål mail.docx", "A 27668-2026")</f>
        <v/>
      </c>
      <c r="AC7">
        <f>HYPERLINK("https://klasma.github.io/Logging_1862/tillsyn/A 27668-2026 tillsynsbegäran.docx", "A 27668-2026")</f>
        <v/>
      </c>
      <c r="AD7">
        <f>HYPERLINK("https://klasma.github.io/Logging_1862/tillsynsmail/A 27668-2026 tillsynsbegäran mail.docx", "A 27668-2026")</f>
        <v/>
      </c>
      <c r="AE7">
        <f>HYPERLINK("https://klasma.github.io/Logging_1862/fåglar/A 27668-2026 prioriterade fågelarter.docx", "A 27668-2026")</f>
        <v/>
      </c>
    </row>
    <row r="8" ht="15" customHeight="1">
      <c r="A8" t="inlineStr">
        <is>
          <t>A 23008-2026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46161</v>
      </c>
      <c r="E8" s="1" t="n">
        <v>46319</v>
      </c>
      <c r="F8" t="inlineStr">
        <is>
          <t>ÖREBRO LÄN</t>
        </is>
      </c>
      <c r="G8" t="inlineStr">
        <is>
          <t>DEGERFORS</t>
        </is>
      </c>
      <c r="H8" t="inlineStr">
        <is>
          <t>Sveaskog</t>
        </is>
      </c>
      <c r="I8" t="n">
        <v>2.4</v>
      </c>
      <c r="J8" t="n">
        <v>7</v>
      </c>
      <c r="K8" t="n">
        <v>1</v>
      </c>
      <c r="L8" t="n">
        <v>4</v>
      </c>
      <c r="M8" t="n">
        <v>0</v>
      </c>
      <c r="N8" t="n">
        <v>0</v>
      </c>
      <c r="O8" t="n">
        <v>0</v>
      </c>
      <c r="P8" t="n">
        <v>0</v>
      </c>
      <c r="Q8" t="n">
        <v>4</v>
      </c>
      <c r="R8" t="n">
        <v>0</v>
      </c>
      <c r="S8" t="n">
        <v>9</v>
      </c>
      <c r="T8" t="n">
        <v>12</v>
      </c>
      <c r="U8" t="n">
        <v>11</v>
      </c>
      <c r="V8" s="2" t="inlineStr">
        <is>
          <t>Björktrast
Duvhök
Talltita
Vedskivlav
Brandticka
Nattskärra
Spillkråka
Tjäder
Tofsmes</t>
        </is>
      </c>
      <c r="W8">
        <f>HYPERLINK("https://klasma.github.io/Logging_1862/artfynd/A 23008-2026 artfynd.xlsx", "A 23008-2026")</f>
        <v/>
      </c>
      <c r="X8">
        <f>HYPERLINK("https://klasma.github.io/Logging_1862/kartor/A 23008-2026 karta.png", "A 23008-2026")</f>
        <v/>
      </c>
      <c r="Y8">
        <f>HYPERLINK("https://klasma.github.io/Logging_1862/kartor_geotiff/A 23008-2026 georefererad karta.tif", "A 23008-2026")</f>
        <v/>
      </c>
      <c r="AA8">
        <f>HYPERLINK("https://klasma.github.io/Logging_1862/klagomål/A 23008-2026 FSC-klagomål.docx", "A 23008-2026")</f>
        <v/>
      </c>
      <c r="AB8">
        <f>HYPERLINK("https://klasma.github.io/Logging_1862/klagomålsmail/A 23008-2026 FSC-klagomål mail.docx", "A 23008-2026")</f>
        <v/>
      </c>
      <c r="AC8">
        <f>HYPERLINK("https://klasma.github.io/Logging_1862/tillsyn/A 23008-2026 tillsynsbegäran.docx", "A 23008-2026")</f>
        <v/>
      </c>
      <c r="AD8">
        <f>HYPERLINK("https://klasma.github.io/Logging_1862/tillsynsmail/A 23008-2026 tillsynsbegäran mail.docx", "A 23008-2026")</f>
        <v/>
      </c>
      <c r="AE8">
        <f>HYPERLINK("https://klasma.github.io/Logging_1862/fåglar/A 23008-2026 prioriterade fågelarter.docx", "A 23008-2026")</f>
        <v/>
      </c>
    </row>
    <row r="9" ht="15" customHeight="1">
      <c r="A9" t="inlineStr">
        <is>
          <t>A 25541-2023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45089</v>
      </c>
      <c r="E9" s="1" t="n">
        <v>46319</v>
      </c>
      <c r="F9" t="inlineStr">
        <is>
          <t>ÖREBRO LÄN</t>
        </is>
      </c>
      <c r="G9" t="inlineStr">
        <is>
          <t>DEGERFORS</t>
        </is>
      </c>
      <c r="H9" t="inlineStr">
        <is>
          <t>Sveaskog</t>
        </is>
      </c>
      <c r="I9" t="n">
        <v>1.8</v>
      </c>
      <c r="J9" t="n">
        <v>2</v>
      </c>
      <c r="K9" t="n">
        <v>2</v>
      </c>
      <c r="L9" t="n">
        <v>4</v>
      </c>
      <c r="M9" t="n">
        <v>1</v>
      </c>
      <c r="N9" t="n">
        <v>0</v>
      </c>
      <c r="O9" t="n">
        <v>0</v>
      </c>
      <c r="P9" t="n">
        <v>0</v>
      </c>
      <c r="Q9" t="n">
        <v>5</v>
      </c>
      <c r="R9" t="n">
        <v>1</v>
      </c>
      <c r="S9" t="n">
        <v>8</v>
      </c>
      <c r="T9" t="n">
        <v>9</v>
      </c>
      <c r="U9" t="n">
        <v>9</v>
      </c>
      <c r="V9" s="2" t="inlineStr">
        <is>
          <t>Gräddticka
Gransotdyna
Tretåig hackspett
Ullticka
Vedflikmossa
Brandticka
Vedticka
Spillkråka</t>
        </is>
      </c>
      <c r="W9">
        <f>HYPERLINK("https://klasma.github.io/Logging_1862/artfynd/A 25541-2023 artfynd.xlsx", "A 25541-2023")</f>
        <v/>
      </c>
      <c r="X9">
        <f>HYPERLINK("https://klasma.github.io/Logging_1862/kartor/A 25541-2023 karta.png", "A 25541-2023")</f>
        <v/>
      </c>
      <c r="Y9">
        <f>HYPERLINK("https://klasma.github.io/Logging_1862/kartor_geotiff/A 25541-2023 georefererad karta.tif", "A 25541-2023")</f>
        <v/>
      </c>
      <c r="AA9">
        <f>HYPERLINK("https://klasma.github.io/Logging_1862/klagomål/A 25541-2023 FSC-klagomål.docx", "A 25541-2023")</f>
        <v/>
      </c>
      <c r="AB9">
        <f>HYPERLINK("https://klasma.github.io/Logging_1862/klagomålsmail/A 25541-2023 FSC-klagomål mail.docx", "A 25541-2023")</f>
        <v/>
      </c>
      <c r="AC9">
        <f>HYPERLINK("https://klasma.github.io/Logging_1862/tillsyn/A 25541-2023 tillsynsbegäran.docx", "A 25541-2023")</f>
        <v/>
      </c>
      <c r="AD9">
        <f>HYPERLINK("https://klasma.github.io/Logging_1862/tillsynsmail/A 25541-2023 tillsynsbegäran mail.docx", "A 25541-2023")</f>
        <v/>
      </c>
      <c r="AE9">
        <f>HYPERLINK("https://klasma.github.io/Logging_1862/fåglar/A 25541-2023 prioriterade fågelarter.docx", "A 25541-2023")</f>
        <v/>
      </c>
    </row>
    <row r="10" ht="15" customHeight="1">
      <c r="A10" t="inlineStr">
        <is>
          <t>A 41519-2023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45175</v>
      </c>
      <c r="E10" s="1" t="n">
        <v>46319</v>
      </c>
      <c r="F10" t="inlineStr">
        <is>
          <t>ÖREBRO LÄN</t>
        </is>
      </c>
      <c r="G10" t="inlineStr">
        <is>
          <t>DEGERFORS</t>
        </is>
      </c>
      <c r="H10" t="inlineStr">
        <is>
          <t>Sveaskog</t>
        </is>
      </c>
      <c r="I10" t="n">
        <v>3.3</v>
      </c>
      <c r="J10" t="n">
        <v>6</v>
      </c>
      <c r="K10" t="n">
        <v>2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8</v>
      </c>
      <c r="T10" t="n">
        <v>19</v>
      </c>
      <c r="U10" t="n">
        <v>19</v>
      </c>
      <c r="V10" s="2" t="inlineStr">
        <is>
          <t>Tretåig hackspett
Grönpyrola
Thomsons trägnagare
Spillkråka
Tjäder
Gröngöling
Kungsfågel
Fläcknycklar</t>
        </is>
      </c>
      <c r="W10">
        <f>HYPERLINK("https://klasma.github.io/Logging_1862/artfynd/A 41519-2023 artfynd.xlsx", "A 41519-2023")</f>
        <v/>
      </c>
      <c r="X10">
        <f>HYPERLINK("https://klasma.github.io/Logging_1862/kartor/A 41519-2023 karta.png", "A 41519-2023")</f>
        <v/>
      </c>
      <c r="Y10">
        <f>HYPERLINK("https://klasma.github.io/Logging_1862/kartor_geotiff/A 41519-2023 georefererad karta.tif", "A 41519-2023")</f>
        <v/>
      </c>
      <c r="AA10">
        <f>HYPERLINK("https://klasma.github.io/Logging_1862/klagomål/A 41519-2023 FSC-klagomål.docx", "A 41519-2023")</f>
        <v/>
      </c>
      <c r="AB10">
        <f>HYPERLINK("https://klasma.github.io/Logging_1862/klagomålsmail/A 41519-2023 FSC-klagomål mail.docx", "A 41519-2023")</f>
        <v/>
      </c>
      <c r="AC10">
        <f>HYPERLINK("https://klasma.github.io/Logging_1862/tillsyn/A 41519-2023 tillsynsbegäran.docx", "A 41519-2023")</f>
        <v/>
      </c>
      <c r="AD10">
        <f>HYPERLINK("https://klasma.github.io/Logging_1862/tillsynsmail/A 41519-2023 tillsynsbegäran mail.docx", "A 41519-2023")</f>
        <v/>
      </c>
      <c r="AE10">
        <f>HYPERLINK("https://klasma.github.io/Logging_1862/fåglar/A 41519-2023 prioriterade fågelarter.docx", "A 41519-2023")</f>
        <v/>
      </c>
    </row>
    <row r="11" ht="15" customHeight="1">
      <c r="A11" t="inlineStr">
        <is>
          <t>A 12719-2024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45384</v>
      </c>
      <c r="E11" s="1" t="n">
        <v>46319</v>
      </c>
      <c r="F11" t="inlineStr">
        <is>
          <t>ÖREBRO LÄN</t>
        </is>
      </c>
      <c r="G11" t="inlineStr">
        <is>
          <t>DEGERFORS</t>
        </is>
      </c>
      <c r="H11" t="inlineStr">
        <is>
          <t>Sveaskog</t>
        </is>
      </c>
      <c r="I11" t="n">
        <v>11.7</v>
      </c>
      <c r="J11" t="n">
        <v>5</v>
      </c>
      <c r="K11" t="n">
        <v>0</v>
      </c>
      <c r="L11" t="n">
        <v>5</v>
      </c>
      <c r="M11" t="n">
        <v>0</v>
      </c>
      <c r="N11" t="n">
        <v>0</v>
      </c>
      <c r="O11" t="n">
        <v>0</v>
      </c>
      <c r="P11" t="n">
        <v>0</v>
      </c>
      <c r="Q11" t="n">
        <v>5</v>
      </c>
      <c r="R11" t="n">
        <v>0</v>
      </c>
      <c r="S11" t="n">
        <v>8</v>
      </c>
      <c r="T11" t="n">
        <v>22</v>
      </c>
      <c r="U11" t="n">
        <v>21</v>
      </c>
      <c r="V11" s="2" t="inlineStr">
        <is>
          <t>Jungfrulin
Motaggsvamp
Nordfladdermus
Svinrot
Tretåig hackspett
Tjäder
Åkergroda
Fläcknycklar</t>
        </is>
      </c>
      <c r="W11">
        <f>HYPERLINK("https://klasma.github.io/Logging_1862/artfynd/A 12719-2024 artfynd.xlsx", "A 12719-2024")</f>
        <v/>
      </c>
      <c r="X11">
        <f>HYPERLINK("https://klasma.github.io/Logging_1862/kartor/A 12719-2024 karta.png", "A 12719-2024")</f>
        <v/>
      </c>
      <c r="Y11">
        <f>HYPERLINK("https://klasma.github.io/Logging_1862/kartor_geotiff/A 12719-2024 georefererad karta.tif", "A 12719-2024")</f>
        <v/>
      </c>
      <c r="AA11">
        <f>HYPERLINK("https://klasma.github.io/Logging_1862/klagomål/A 12719-2024 FSC-klagomål.docx", "A 12719-2024")</f>
        <v/>
      </c>
      <c r="AB11">
        <f>HYPERLINK("https://klasma.github.io/Logging_1862/klagomålsmail/A 12719-2024 FSC-klagomål mail.docx", "A 12719-2024")</f>
        <v/>
      </c>
      <c r="AC11">
        <f>HYPERLINK("https://klasma.github.io/Logging_1862/tillsyn/A 12719-2024 tillsynsbegäran.docx", "A 12719-2024")</f>
        <v/>
      </c>
      <c r="AD11">
        <f>HYPERLINK("https://klasma.github.io/Logging_1862/tillsynsmail/A 12719-2024 tillsynsbegäran mail.docx", "A 12719-2024")</f>
        <v/>
      </c>
      <c r="AE11">
        <f>HYPERLINK("https://klasma.github.io/Logging_1862/fåglar/A 12719-2024 prioriterade fågelarter.docx", "A 12719-2024")</f>
        <v/>
      </c>
    </row>
    <row r="12" ht="15" customHeight="1">
      <c r="A12" t="inlineStr">
        <is>
          <t>A 22868-2026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46160</v>
      </c>
      <c r="E12" s="1" t="n">
        <v>46319</v>
      </c>
      <c r="F12" t="inlineStr">
        <is>
          <t>ÖREBRO LÄN</t>
        </is>
      </c>
      <c r="G12" t="inlineStr">
        <is>
          <t>DEGERFORS</t>
        </is>
      </c>
      <c r="H12" t="inlineStr">
        <is>
          <t>Sveaskog</t>
        </is>
      </c>
      <c r="I12" t="n">
        <v>3.3</v>
      </c>
      <c r="J12" t="n">
        <v>7</v>
      </c>
      <c r="K12" t="n">
        <v>1</v>
      </c>
      <c r="L12" t="n">
        <v>3</v>
      </c>
      <c r="M12" t="n">
        <v>0</v>
      </c>
      <c r="N12" t="n">
        <v>0</v>
      </c>
      <c r="O12" t="n">
        <v>0</v>
      </c>
      <c r="P12" t="n">
        <v>0</v>
      </c>
      <c r="Q12" t="n">
        <v>3</v>
      </c>
      <c r="R12" t="n">
        <v>0</v>
      </c>
      <c r="S12" t="n">
        <v>8</v>
      </c>
      <c r="T12" t="n">
        <v>11</v>
      </c>
      <c r="U12" t="n">
        <v>11</v>
      </c>
      <c r="V12" s="2" t="inlineStr">
        <is>
          <t>Björktrast
Nordfladdermus
Talltita
Grönpyrola
Nattskärra
Spillkråka
Tjäder
Tofsmes</t>
        </is>
      </c>
      <c r="W12">
        <f>HYPERLINK("https://klasma.github.io/Logging_1862/artfynd/A 22868-2026 artfynd.xlsx", "A 22868-2026")</f>
        <v/>
      </c>
      <c r="X12">
        <f>HYPERLINK("https://klasma.github.io/Logging_1862/kartor/A 22868-2026 karta.png", "A 22868-2026")</f>
        <v/>
      </c>
      <c r="Y12">
        <f>HYPERLINK("https://klasma.github.io/Logging_1862/kartor_geotiff/A 22868-2026 georefererad karta.tif", "A 22868-2026")</f>
        <v/>
      </c>
      <c r="AA12">
        <f>HYPERLINK("https://klasma.github.io/Logging_1862/klagomål/A 22868-2026 FSC-klagomål.docx", "A 22868-2026")</f>
        <v/>
      </c>
      <c r="AB12">
        <f>HYPERLINK("https://klasma.github.io/Logging_1862/klagomålsmail/A 22868-2026 FSC-klagomål mail.docx", "A 22868-2026")</f>
        <v/>
      </c>
      <c r="AC12">
        <f>HYPERLINK("https://klasma.github.io/Logging_1862/tillsyn/A 22868-2026 tillsynsbegäran.docx", "A 22868-2026")</f>
        <v/>
      </c>
      <c r="AD12">
        <f>HYPERLINK("https://klasma.github.io/Logging_1862/tillsynsmail/A 22868-2026 tillsynsbegäran mail.docx", "A 22868-2026")</f>
        <v/>
      </c>
      <c r="AE12">
        <f>HYPERLINK("https://klasma.github.io/Logging_1862/fåglar/A 22868-2026 prioriterade fågelarter.docx", "A 22868-2026")</f>
        <v/>
      </c>
    </row>
    <row r="13" ht="15" customHeight="1">
      <c r="A13" t="inlineStr">
        <is>
          <t>A 12721-2024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45384</v>
      </c>
      <c r="E13" s="1" t="n">
        <v>46319</v>
      </c>
      <c r="F13" t="inlineStr">
        <is>
          <t>ÖREBRO LÄN</t>
        </is>
      </c>
      <c r="G13" t="inlineStr">
        <is>
          <t>DEGERFORS</t>
        </is>
      </c>
      <c r="H13" t="inlineStr">
        <is>
          <t>Sveaskog</t>
        </is>
      </c>
      <c r="I13" t="n">
        <v>3.5</v>
      </c>
      <c r="J13" t="n">
        <v>4</v>
      </c>
      <c r="K13" t="n">
        <v>1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7</v>
      </c>
      <c r="T13" t="n">
        <v>7</v>
      </c>
      <c r="U13" t="n">
        <v>7</v>
      </c>
      <c r="V13" s="2" t="inlineStr">
        <is>
          <t>Kolflarnlav
Tretåig hackspett
Vaddporing
Flagellkvastmossa
Spillkråka
Tjäder
Fläcknycklar</t>
        </is>
      </c>
      <c r="W13">
        <f>HYPERLINK("https://klasma.github.io/Logging_1862/artfynd/A 12721-2024 artfynd.xlsx", "A 12721-2024")</f>
        <v/>
      </c>
      <c r="X13">
        <f>HYPERLINK("https://klasma.github.io/Logging_1862/kartor/A 12721-2024 karta.png", "A 12721-2024")</f>
        <v/>
      </c>
      <c r="Y13">
        <f>HYPERLINK("https://klasma.github.io/Logging_1862/kartor_geotiff/A 12721-2024 georefererad karta.tif", "A 12721-2024")</f>
        <v/>
      </c>
      <c r="AA13">
        <f>HYPERLINK("https://klasma.github.io/Logging_1862/klagomål/A 12721-2024 FSC-klagomål.docx", "A 12721-2024")</f>
        <v/>
      </c>
      <c r="AB13">
        <f>HYPERLINK("https://klasma.github.io/Logging_1862/klagomålsmail/A 12721-2024 FSC-klagomål mail.docx", "A 12721-2024")</f>
        <v/>
      </c>
      <c r="AC13">
        <f>HYPERLINK("https://klasma.github.io/Logging_1862/tillsyn/A 12721-2024 tillsynsbegäran.docx", "A 12721-2024")</f>
        <v/>
      </c>
      <c r="AD13">
        <f>HYPERLINK("https://klasma.github.io/Logging_1862/tillsynsmail/A 12721-2024 tillsynsbegäran mail.docx", "A 12721-2024")</f>
        <v/>
      </c>
      <c r="AE13">
        <f>HYPERLINK("https://klasma.github.io/Logging_1862/fåglar/A 12721-2024 prioriterade fågelarter.docx", "A 12721-2024")</f>
        <v/>
      </c>
    </row>
    <row r="14" ht="15" customHeight="1">
      <c r="A14" t="inlineStr">
        <is>
          <t>A 38916-2023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45163</v>
      </c>
      <c r="E14" s="1" t="n">
        <v>46319</v>
      </c>
      <c r="F14" t="inlineStr">
        <is>
          <t>ÖREBRO LÄN</t>
        </is>
      </c>
      <c r="G14" t="inlineStr">
        <is>
          <t>DEGERFORS</t>
        </is>
      </c>
      <c r="H14" t="inlineStr">
        <is>
          <t>Sveaskog</t>
        </is>
      </c>
      <c r="I14" t="n">
        <v>4.3</v>
      </c>
      <c r="J14" t="n">
        <v>3</v>
      </c>
      <c r="K14" t="n">
        <v>3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6</v>
      </c>
      <c r="T14" t="n">
        <v>27</v>
      </c>
      <c r="U14" t="n">
        <v>27</v>
      </c>
      <c r="V14" s="2" t="inlineStr">
        <is>
          <t>Tretåig hackspett
Grönpyrola
Thomsons trägnagare
Vågbandad barkbock
Spillkråka
Tjäder</t>
        </is>
      </c>
      <c r="W14">
        <f>HYPERLINK("https://klasma.github.io/Logging_1862/artfynd/A 38916-2023 artfynd.xlsx", "A 38916-2023")</f>
        <v/>
      </c>
      <c r="X14">
        <f>HYPERLINK("https://klasma.github.io/Logging_1862/kartor/A 38916-2023 karta.png", "A 38916-2023")</f>
        <v/>
      </c>
      <c r="Y14">
        <f>HYPERLINK("https://klasma.github.io/Logging_1862/kartor_geotiff/A 38916-2023 georefererad karta.tif", "A 38916-2023")</f>
        <v/>
      </c>
      <c r="AA14">
        <f>HYPERLINK("https://klasma.github.io/Logging_1862/klagomål/A 38916-2023 FSC-klagomål.docx", "A 38916-2023")</f>
        <v/>
      </c>
      <c r="AB14">
        <f>HYPERLINK("https://klasma.github.io/Logging_1862/klagomålsmail/A 38916-2023 FSC-klagomål mail.docx", "A 38916-2023")</f>
        <v/>
      </c>
      <c r="AC14">
        <f>HYPERLINK("https://klasma.github.io/Logging_1862/tillsyn/A 38916-2023 tillsynsbegäran.docx", "A 38916-2023")</f>
        <v/>
      </c>
      <c r="AD14">
        <f>HYPERLINK("https://klasma.github.io/Logging_1862/tillsynsmail/A 38916-2023 tillsynsbegäran mail.docx", "A 38916-2023")</f>
        <v/>
      </c>
      <c r="AE14">
        <f>HYPERLINK("https://klasma.github.io/Logging_1862/fåglar/A 38916-2023 prioriterade fågelarter.docx", "A 38916-2023")</f>
        <v/>
      </c>
    </row>
    <row r="15" ht="15" customHeight="1">
      <c r="A15" t="inlineStr">
        <is>
          <t>A 73321-2021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44550</v>
      </c>
      <c r="E15" s="1" t="n">
        <v>46319</v>
      </c>
      <c r="F15" t="inlineStr">
        <is>
          <t>ÖREBRO LÄN</t>
        </is>
      </c>
      <c r="G15" t="inlineStr">
        <is>
          <t>DEGERFORS</t>
        </is>
      </c>
      <c r="I15" t="n">
        <v>17</v>
      </c>
      <c r="J15" t="n">
        <v>3</v>
      </c>
      <c r="K15" t="n">
        <v>1</v>
      </c>
      <c r="L15" t="n">
        <v>3</v>
      </c>
      <c r="M15" t="n">
        <v>1</v>
      </c>
      <c r="N15" t="n">
        <v>0</v>
      </c>
      <c r="O15" t="n">
        <v>0</v>
      </c>
      <c r="P15" t="n">
        <v>0</v>
      </c>
      <c r="Q15" t="n">
        <v>4</v>
      </c>
      <c r="R15" t="n">
        <v>1</v>
      </c>
      <c r="S15" t="n">
        <v>6</v>
      </c>
      <c r="T15" t="n">
        <v>8</v>
      </c>
      <c r="U15" t="n">
        <v>8</v>
      </c>
      <c r="V15" s="2" t="inlineStr">
        <is>
          <t>Knärot
Grynig filtlav
Gulsparv
Rynkskinn
Vedticka
Spillkråka</t>
        </is>
      </c>
      <c r="W15">
        <f>HYPERLINK("https://klasma.github.io/Logging_1862/artfynd/A 73321-2021 artfynd.xlsx", "A 73321-2021")</f>
        <v/>
      </c>
      <c r="X15">
        <f>HYPERLINK("https://klasma.github.io/Logging_1862/kartor/A 73321-2021 karta.png", "A 73321-2021")</f>
        <v/>
      </c>
      <c r="Y15">
        <f>HYPERLINK("https://klasma.github.io/Logging_1862/kartor_geotiff/A 73321-2021 georefererad karta.tif", "A 73321-2021")</f>
        <v/>
      </c>
      <c r="Z15">
        <f>HYPERLINK("https://klasma.github.io/Logging_1862/knärot/A 73321-2021 karta knärot.png", "A 73321-2021")</f>
        <v/>
      </c>
      <c r="AA15">
        <f>HYPERLINK("https://klasma.github.io/Logging_1862/klagomål/A 73321-2021 FSC-klagomål.docx", "A 73321-2021")</f>
        <v/>
      </c>
      <c r="AB15">
        <f>HYPERLINK("https://klasma.github.io/Logging_1862/klagomålsmail/A 73321-2021 FSC-klagomål mail.docx", "A 73321-2021")</f>
        <v/>
      </c>
      <c r="AC15">
        <f>HYPERLINK("https://klasma.github.io/Logging_1862/tillsyn/A 73321-2021 tillsynsbegäran.docx", "A 73321-2021")</f>
        <v/>
      </c>
      <c r="AD15">
        <f>HYPERLINK("https://klasma.github.io/Logging_1862/tillsynsmail/A 73321-2021 tillsynsbegäran mail.docx", "A 73321-2021")</f>
        <v/>
      </c>
      <c r="AE15">
        <f>HYPERLINK("https://klasma.github.io/Logging_1862/fåglar/A 73321-2021 prioriterade fågelarter.docx", "A 73321-2021")</f>
        <v/>
      </c>
    </row>
    <row r="16" ht="15" customHeight="1">
      <c r="A16" t="inlineStr">
        <is>
          <t>A 41520-2023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45175</v>
      </c>
      <c r="E16" s="1" t="n">
        <v>46319</v>
      </c>
      <c r="F16" t="inlineStr">
        <is>
          <t>ÖREBRO LÄN</t>
        </is>
      </c>
      <c r="G16" t="inlineStr">
        <is>
          <t>DEGERFORS</t>
        </is>
      </c>
      <c r="H16" t="inlineStr">
        <is>
          <t>Sveaskog</t>
        </is>
      </c>
      <c r="I16" t="n">
        <v>3</v>
      </c>
      <c r="J16" t="n">
        <v>3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5</v>
      </c>
      <c r="T16" t="n">
        <v>26</v>
      </c>
      <c r="U16" t="n">
        <v>26</v>
      </c>
      <c r="V16" s="2" t="inlineStr">
        <is>
          <t>Tretåig hackspett
Grönpyrola
Mindre märgborre
Spillkråka
Tjäder</t>
        </is>
      </c>
      <c r="W16">
        <f>HYPERLINK("https://klasma.github.io/Logging_1862/artfynd/A 41520-2023 artfynd.xlsx", "A 41520-2023")</f>
        <v/>
      </c>
      <c r="X16">
        <f>HYPERLINK("https://klasma.github.io/Logging_1862/kartor/A 41520-2023 karta.png", "A 41520-2023")</f>
        <v/>
      </c>
      <c r="Y16">
        <f>HYPERLINK("https://klasma.github.io/Logging_1862/kartor_geotiff/A 41520-2023 georefererad karta.tif", "A 41520-2023")</f>
        <v/>
      </c>
      <c r="AA16">
        <f>HYPERLINK("https://klasma.github.io/Logging_1862/klagomål/A 41520-2023 FSC-klagomål.docx", "A 41520-2023")</f>
        <v/>
      </c>
      <c r="AB16">
        <f>HYPERLINK("https://klasma.github.io/Logging_1862/klagomålsmail/A 41520-2023 FSC-klagomål mail.docx", "A 41520-2023")</f>
        <v/>
      </c>
      <c r="AC16">
        <f>HYPERLINK("https://klasma.github.io/Logging_1862/tillsyn/A 41520-2023 tillsynsbegäran.docx", "A 41520-2023")</f>
        <v/>
      </c>
      <c r="AD16">
        <f>HYPERLINK("https://klasma.github.io/Logging_1862/tillsynsmail/A 41520-2023 tillsynsbegäran mail.docx", "A 41520-2023")</f>
        <v/>
      </c>
      <c r="AE16">
        <f>HYPERLINK("https://klasma.github.io/Logging_1862/fåglar/A 41520-2023 prioriterade fågelarter.docx", "A 41520-2023")</f>
        <v/>
      </c>
    </row>
    <row r="17" ht="15" customHeight="1">
      <c r="A17" t="inlineStr">
        <is>
          <t>A 47975-2025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45932</v>
      </c>
      <c r="E17" s="1" t="n">
        <v>46319</v>
      </c>
      <c r="F17" t="inlineStr">
        <is>
          <t>ÖREBRO LÄN</t>
        </is>
      </c>
      <c r="G17" t="inlineStr">
        <is>
          <t>DEGERFORS</t>
        </is>
      </c>
      <c r="I17" t="n">
        <v>11.8</v>
      </c>
      <c r="J17" t="n">
        <v>4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4</v>
      </c>
      <c r="T17" t="n">
        <v>10</v>
      </c>
      <c r="U17" t="n">
        <v>10</v>
      </c>
      <c r="V17" s="2" t="inlineStr">
        <is>
          <t>Tretåig hackspett
Spillkråka
Kråka
Kungsfågel</t>
        </is>
      </c>
      <c r="W17">
        <f>HYPERLINK("https://klasma.github.io/Logging_1862/artfynd/A 47975-2025 artfynd.xlsx", "A 47975-2025")</f>
        <v/>
      </c>
      <c r="X17">
        <f>HYPERLINK("https://klasma.github.io/Logging_1862/kartor/A 47975-2025 karta.png", "A 47975-2025")</f>
        <v/>
      </c>
      <c r="Y17">
        <f>HYPERLINK("https://klasma.github.io/Logging_1862/kartor_geotiff/A 47975-2025 georefererad karta.tif", "A 47975-2025")</f>
        <v/>
      </c>
      <c r="AA17">
        <f>HYPERLINK("https://klasma.github.io/Logging_1862/klagomål/A 47975-2025 FSC-klagomål.docx", "A 47975-2025")</f>
        <v/>
      </c>
      <c r="AB17">
        <f>HYPERLINK("https://klasma.github.io/Logging_1862/klagomålsmail/A 47975-2025 FSC-klagomål mail.docx", "A 47975-2025")</f>
        <v/>
      </c>
      <c r="AC17">
        <f>HYPERLINK("https://klasma.github.io/Logging_1862/tillsyn/A 47975-2025 tillsynsbegäran.docx", "A 47975-2025")</f>
        <v/>
      </c>
      <c r="AD17">
        <f>HYPERLINK("https://klasma.github.io/Logging_1862/tillsynsmail/A 47975-2025 tillsynsbegäran mail.docx", "A 47975-2025")</f>
        <v/>
      </c>
      <c r="AE17">
        <f>HYPERLINK("https://klasma.github.io/Logging_1862/fåglar/A 47975-2025 prioriterade fågelarter.docx", "A 47975-2025")</f>
        <v/>
      </c>
    </row>
    <row r="18" ht="15" customHeight="1">
      <c r="A18" t="inlineStr">
        <is>
          <t>A 38915-2023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45163</v>
      </c>
      <c r="E18" s="1" t="n">
        <v>46319</v>
      </c>
      <c r="F18" t="inlineStr">
        <is>
          <t>ÖREBRO LÄN</t>
        </is>
      </c>
      <c r="G18" t="inlineStr">
        <is>
          <t>DEGERFORS</t>
        </is>
      </c>
      <c r="H18" t="inlineStr">
        <is>
          <t>Sveaskog</t>
        </is>
      </c>
      <c r="I18" t="n">
        <v>4.5</v>
      </c>
      <c r="J18" t="n">
        <v>4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4</v>
      </c>
      <c r="T18" t="n">
        <v>9</v>
      </c>
      <c r="U18" t="n">
        <v>9</v>
      </c>
      <c r="V18" s="2" t="inlineStr">
        <is>
          <t>Tretåig hackspett
Mattlummer
Spillkråka
Sångsvan</t>
        </is>
      </c>
      <c r="W18">
        <f>HYPERLINK("https://klasma.github.io/Logging_1862/artfynd/A 38915-2023 artfynd.xlsx", "A 38915-2023")</f>
        <v/>
      </c>
      <c r="X18">
        <f>HYPERLINK("https://klasma.github.io/Logging_1862/kartor/A 38915-2023 karta.png", "A 38915-2023")</f>
        <v/>
      </c>
      <c r="Y18">
        <f>HYPERLINK("https://klasma.github.io/Logging_1862/kartor_geotiff/A 38915-2023 georefererad karta.tif", "A 38915-2023")</f>
        <v/>
      </c>
      <c r="AA18">
        <f>HYPERLINK("https://klasma.github.io/Logging_1862/klagomål/A 38915-2023 FSC-klagomål.docx", "A 38915-2023")</f>
        <v/>
      </c>
      <c r="AB18">
        <f>HYPERLINK("https://klasma.github.io/Logging_1862/klagomålsmail/A 38915-2023 FSC-klagomål mail.docx", "A 38915-2023")</f>
        <v/>
      </c>
      <c r="AC18">
        <f>HYPERLINK("https://klasma.github.io/Logging_1862/tillsyn/A 38915-2023 tillsynsbegäran.docx", "A 38915-2023")</f>
        <v/>
      </c>
      <c r="AD18">
        <f>HYPERLINK("https://klasma.github.io/Logging_1862/tillsynsmail/A 38915-2023 tillsynsbegäran mail.docx", "A 38915-2023")</f>
        <v/>
      </c>
      <c r="AE18">
        <f>HYPERLINK("https://klasma.github.io/Logging_1862/fåglar/A 38915-2023 prioriterade fågelarter.docx", "A 38915-2023")</f>
        <v/>
      </c>
    </row>
    <row r="19" ht="15" customHeight="1">
      <c r="A19" t="inlineStr">
        <is>
          <t>A 48284-2023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45205</v>
      </c>
      <c r="E19" s="1" t="n">
        <v>46319</v>
      </c>
      <c r="F19" t="inlineStr">
        <is>
          <t>ÖREBRO LÄN</t>
        </is>
      </c>
      <c r="G19" t="inlineStr">
        <is>
          <t>DEGERFORS</t>
        </is>
      </c>
      <c r="H19" t="inlineStr">
        <is>
          <t>Sveaskog</t>
        </is>
      </c>
      <c r="I19" t="n">
        <v>6.7</v>
      </c>
      <c r="J19" t="n">
        <v>4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</v>
      </c>
      <c r="T19" t="n">
        <v>9</v>
      </c>
      <c r="U19" t="n">
        <v>9</v>
      </c>
      <c r="V19" s="2" t="inlineStr">
        <is>
          <t>Tretåig hackspett
Spillkråka
Kungsfågel
Revlummer</t>
        </is>
      </c>
      <c r="W19">
        <f>HYPERLINK("https://klasma.github.io/Logging_1862/artfynd/A 48284-2023 artfynd.xlsx", "A 48284-2023")</f>
        <v/>
      </c>
      <c r="X19">
        <f>HYPERLINK("https://klasma.github.io/Logging_1862/kartor/A 48284-2023 karta.png", "A 48284-2023")</f>
        <v/>
      </c>
      <c r="Y19">
        <f>HYPERLINK("https://klasma.github.io/Logging_1862/kartor_geotiff/A 48284-2023 georefererad karta.tif", "A 48284-2023")</f>
        <v/>
      </c>
      <c r="AA19">
        <f>HYPERLINK("https://klasma.github.io/Logging_1862/klagomål/A 48284-2023 FSC-klagomål.docx", "A 48284-2023")</f>
        <v/>
      </c>
      <c r="AB19">
        <f>HYPERLINK("https://klasma.github.io/Logging_1862/klagomålsmail/A 48284-2023 FSC-klagomål mail.docx", "A 48284-2023")</f>
        <v/>
      </c>
      <c r="AC19">
        <f>HYPERLINK("https://klasma.github.io/Logging_1862/tillsyn/A 48284-2023 tillsynsbegäran.docx", "A 48284-2023")</f>
        <v/>
      </c>
      <c r="AD19">
        <f>HYPERLINK("https://klasma.github.io/Logging_1862/tillsynsmail/A 48284-2023 tillsynsbegäran mail.docx", "A 48284-2023")</f>
        <v/>
      </c>
      <c r="AE19">
        <f>HYPERLINK("https://klasma.github.io/Logging_1862/fåglar/A 48284-2023 prioriterade fågelarter.docx", "A 48284-2023")</f>
        <v/>
      </c>
    </row>
    <row r="20" ht="15" customHeight="1">
      <c r="A20" t="inlineStr">
        <is>
          <t>A 12720-2024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45384</v>
      </c>
      <c r="E20" s="1" t="n">
        <v>46319</v>
      </c>
      <c r="F20" t="inlineStr">
        <is>
          <t>ÖREBRO LÄN</t>
        </is>
      </c>
      <c r="G20" t="inlineStr">
        <is>
          <t>DEGERFORS</t>
        </is>
      </c>
      <c r="H20" t="inlineStr">
        <is>
          <t>Sveaskog</t>
        </is>
      </c>
      <c r="I20" t="n">
        <v>5.1</v>
      </c>
      <c r="J20" t="n">
        <v>3</v>
      </c>
      <c r="K20" t="n">
        <v>0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4</v>
      </c>
      <c r="T20" t="n">
        <v>7</v>
      </c>
      <c r="U20" t="n">
        <v>7</v>
      </c>
      <c r="V20" s="2" t="inlineStr">
        <is>
          <t>Nordfladdermus
Svinrot
Tretåig hackspett
Fläcknycklar</t>
        </is>
      </c>
      <c r="W20">
        <f>HYPERLINK("https://klasma.github.io/Logging_1862/artfynd/A 12720-2024 artfynd.xlsx", "A 12720-2024")</f>
        <v/>
      </c>
      <c r="X20">
        <f>HYPERLINK("https://klasma.github.io/Logging_1862/kartor/A 12720-2024 karta.png", "A 12720-2024")</f>
        <v/>
      </c>
      <c r="Y20">
        <f>HYPERLINK("https://klasma.github.io/Logging_1862/kartor_geotiff/A 12720-2024 georefererad karta.tif", "A 12720-2024")</f>
        <v/>
      </c>
      <c r="AA20">
        <f>HYPERLINK("https://klasma.github.io/Logging_1862/klagomål/A 12720-2024 FSC-klagomål.docx", "A 12720-2024")</f>
        <v/>
      </c>
      <c r="AB20">
        <f>HYPERLINK("https://klasma.github.io/Logging_1862/klagomålsmail/A 12720-2024 FSC-klagomål mail.docx", "A 12720-2024")</f>
        <v/>
      </c>
      <c r="AC20">
        <f>HYPERLINK("https://klasma.github.io/Logging_1862/tillsyn/A 12720-2024 tillsynsbegäran.docx", "A 12720-2024")</f>
        <v/>
      </c>
      <c r="AD20">
        <f>HYPERLINK("https://klasma.github.io/Logging_1862/tillsynsmail/A 12720-2024 tillsynsbegäran mail.docx", "A 12720-2024")</f>
        <v/>
      </c>
      <c r="AE20">
        <f>HYPERLINK("https://klasma.github.io/Logging_1862/fåglar/A 12720-2024 prioriterade fågelarter.docx", "A 12720-2024")</f>
        <v/>
      </c>
    </row>
    <row r="21" ht="15" customHeight="1">
      <c r="A21" t="inlineStr">
        <is>
          <t>A 36081-2025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45866</v>
      </c>
      <c r="E21" s="1" t="n">
        <v>46319</v>
      </c>
      <c r="F21" t="inlineStr">
        <is>
          <t>ÖREBRO LÄN</t>
        </is>
      </c>
      <c r="G21" t="inlineStr">
        <is>
          <t>DEGERFORS</t>
        </is>
      </c>
      <c r="H21" t="inlineStr">
        <is>
          <t>Sveaskog</t>
        </is>
      </c>
      <c r="I21" t="n">
        <v>1.5</v>
      </c>
      <c r="J21" t="n">
        <v>0</v>
      </c>
      <c r="K21" t="n">
        <v>1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4</v>
      </c>
      <c r="T21" t="n">
        <v>4</v>
      </c>
      <c r="U21" t="n">
        <v>0</v>
      </c>
      <c r="V21" s="2" t="inlineStr">
        <is>
          <t>Jungfrulin
Skogsklocka
Svinrot
Springkorn</t>
        </is>
      </c>
      <c r="W21">
        <f>HYPERLINK("https://klasma.github.io/Logging_1862/artfynd/A 36081-2025 artfynd.xlsx", "A 36081-2025")</f>
        <v/>
      </c>
      <c r="X21">
        <f>HYPERLINK("https://klasma.github.io/Logging_1862/kartor/A 36081-2025 karta.png", "A 36081-2025")</f>
        <v/>
      </c>
      <c r="Y21">
        <f>HYPERLINK("https://klasma.github.io/Logging_1862/kartor_geotiff/A 36081-2025 georefererad karta.tif", "A 36081-2025")</f>
        <v/>
      </c>
      <c r="AA21">
        <f>HYPERLINK("https://klasma.github.io/Logging_1862/klagomål/A 36081-2025 FSC-klagomål.docx", "A 36081-2025")</f>
        <v/>
      </c>
      <c r="AB21">
        <f>HYPERLINK("https://klasma.github.io/Logging_1862/klagomålsmail/A 36081-2025 FSC-klagomål mail.docx", "A 36081-2025")</f>
        <v/>
      </c>
      <c r="AC21">
        <f>HYPERLINK("https://klasma.github.io/Logging_1862/tillsyn/A 36081-2025 tillsynsbegäran.docx", "A 36081-2025")</f>
        <v/>
      </c>
      <c r="AD21">
        <f>HYPERLINK("https://klasma.github.io/Logging_1862/tillsynsmail/A 36081-2025 tillsynsbegäran mail.docx", "A 36081-2025")</f>
        <v/>
      </c>
    </row>
    <row r="22" ht="15" customHeight="1">
      <c r="A22" t="inlineStr">
        <is>
          <t>A 8063-2024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45351</v>
      </c>
      <c r="E22" s="1" t="n">
        <v>46319</v>
      </c>
      <c r="F22" t="inlineStr">
        <is>
          <t>ÖREBRO LÄN</t>
        </is>
      </c>
      <c r="G22" t="inlineStr">
        <is>
          <t>DEGERFORS</t>
        </is>
      </c>
      <c r="H22" t="inlineStr">
        <is>
          <t>Sveaskog</t>
        </is>
      </c>
      <c r="I22" t="n">
        <v>1.5</v>
      </c>
      <c r="J22" t="n">
        <v>0</v>
      </c>
      <c r="K22" t="n">
        <v>1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4</v>
      </c>
      <c r="T22" t="n">
        <v>4</v>
      </c>
      <c r="U22" t="n">
        <v>4</v>
      </c>
      <c r="V22" s="2" t="inlineStr">
        <is>
          <t>Jungfrulin
Skogsklocka
Svinrot
Springkorn</t>
        </is>
      </c>
      <c r="W22">
        <f>HYPERLINK("https://klasma.github.io/Logging_1862/artfynd/A 8063-2024 artfynd.xlsx", "A 8063-2024")</f>
        <v/>
      </c>
      <c r="X22">
        <f>HYPERLINK("https://klasma.github.io/Logging_1862/kartor/A 8063-2024 karta.png", "A 8063-2024")</f>
        <v/>
      </c>
      <c r="Y22">
        <f>HYPERLINK("https://klasma.github.io/Logging_1862/kartor_geotiff/A 8063-2024 georefererad karta.tif", "A 8063-2024")</f>
        <v/>
      </c>
      <c r="AA22">
        <f>HYPERLINK("https://klasma.github.io/Logging_1862/klagomål/A 8063-2024 FSC-klagomål.docx", "A 8063-2024")</f>
        <v/>
      </c>
      <c r="AB22">
        <f>HYPERLINK("https://klasma.github.io/Logging_1862/klagomålsmail/A 8063-2024 FSC-klagomål mail.docx", "A 8063-2024")</f>
        <v/>
      </c>
      <c r="AC22">
        <f>HYPERLINK("https://klasma.github.io/Logging_1862/tillsyn/A 8063-2024 tillsynsbegäran.docx", "A 8063-2024")</f>
        <v/>
      </c>
      <c r="AD22">
        <f>HYPERLINK("https://klasma.github.io/Logging_1862/tillsynsmail/A 8063-2024 tillsynsbegäran mail.docx", "A 8063-2024")</f>
        <v/>
      </c>
    </row>
    <row r="23" ht="15" customHeight="1">
      <c r="A23" t="inlineStr">
        <is>
          <t>S 3852-2024</t>
        </is>
      </c>
      <c r="B23" t="inlineStr">
        <is>
          <t>samrådsanmälan</t>
        </is>
      </c>
      <c r="C23" t="inlineStr">
        <is>
          <t>Skogsgödsling</t>
        </is>
      </c>
      <c r="D23" s="1" t="n">
        <v>45559</v>
      </c>
      <c r="E23" s="1" t="n">
        <v>46319</v>
      </c>
      <c r="F23" t="inlineStr">
        <is>
          <t>ÖREBRO LÄN</t>
        </is>
      </c>
      <c r="G23" t="inlineStr">
        <is>
          <t>DEGERFORS</t>
        </is>
      </c>
      <c r="H23" t="inlineStr">
        <is>
          <t>Sveaskog</t>
        </is>
      </c>
      <c r="I23" t="n">
        <v>263.3</v>
      </c>
      <c r="J23" t="n">
        <v>3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4</v>
      </c>
      <c r="T23" t="n">
        <v>8</v>
      </c>
      <c r="U23" t="n">
        <v>8</v>
      </c>
      <c r="V23" s="2" t="inlineStr">
        <is>
          <t>Talltita
Vågticka
Spillkråka
Tjäder</t>
        </is>
      </c>
      <c r="W23">
        <f>HYPERLINK("https://klasma.github.io/Logging_1862/artfynd/S 3852-2024 artfynd.xlsx", "S 3852-2024")</f>
        <v/>
      </c>
      <c r="X23">
        <f>HYPERLINK("https://klasma.github.io/Logging_1862/kartor/S 3852-2024 karta.png", "S 3852-2024")</f>
        <v/>
      </c>
      <c r="Y23">
        <f>HYPERLINK("https://klasma.github.io/Logging_1862/kartor_geotiff/S 3852-2024 georefererad karta.tif", "S 3852-2024")</f>
        <v/>
      </c>
      <c r="AA23">
        <f>HYPERLINK("https://klasma.github.io/Logging_1862/klagomål/S 3852-2024 FSC-klagomål.docx", "S 3852-2024")</f>
        <v/>
      </c>
      <c r="AB23">
        <f>HYPERLINK("https://klasma.github.io/Logging_1862/klagomålsmail/S 3852-2024 FSC-klagomål mail.docx", "S 3852-2024")</f>
        <v/>
      </c>
      <c r="AC23">
        <f>HYPERLINK("https://klasma.github.io/Logging_1862/tillsyn/S 3852-2024 tillsynsbegäran.docx", "S 3852-2024")</f>
        <v/>
      </c>
      <c r="AD23">
        <f>HYPERLINK("https://klasma.github.io/Logging_1862/tillsynsmail/S 3852-2024 tillsynsbegäran mail.docx", "S 3852-2024")</f>
        <v/>
      </c>
      <c r="AE23">
        <f>HYPERLINK("https://klasma.github.io/Logging_1862/fåglar/S 3852-2024 prioriterade fågelarter.docx", "S 3852-2024")</f>
        <v/>
      </c>
    </row>
    <row r="24" ht="15" customHeight="1">
      <c r="A24" t="inlineStr">
        <is>
          <t>A 27671-2026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46190</v>
      </c>
      <c r="E24" s="1" t="n">
        <v>46319</v>
      </c>
      <c r="F24" t="inlineStr">
        <is>
          <t>ÖREBRO LÄN</t>
        </is>
      </c>
      <c r="G24" t="inlineStr">
        <is>
          <t>DEGERFORS</t>
        </is>
      </c>
      <c r="H24" t="inlineStr">
        <is>
          <t>Sveaskog</t>
        </is>
      </c>
      <c r="I24" t="n">
        <v>3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5</v>
      </c>
      <c r="U24" t="n">
        <v>5</v>
      </c>
      <c r="V24" s="2" t="inlineStr">
        <is>
          <t>Spillkråka
Tjäder
Fläcknycklar</t>
        </is>
      </c>
      <c r="W24">
        <f>HYPERLINK("https://klasma.github.io/Logging_1862/artfynd/A 27671-2026 artfynd.xlsx", "A 27671-2026")</f>
        <v/>
      </c>
      <c r="X24">
        <f>HYPERLINK("https://klasma.github.io/Logging_1862/kartor/A 27671-2026 karta.png", "A 27671-2026")</f>
        <v/>
      </c>
      <c r="Y24">
        <f>HYPERLINK("https://klasma.github.io/Logging_1862/kartor_geotiff/A 27671-2026 georefererad karta.tif", "A 27671-2026")</f>
        <v/>
      </c>
      <c r="AA24">
        <f>HYPERLINK("https://klasma.github.io/Logging_1862/klagomål/A 27671-2026 FSC-klagomål.docx", "A 27671-2026")</f>
        <v/>
      </c>
      <c r="AB24">
        <f>HYPERLINK("https://klasma.github.io/Logging_1862/klagomålsmail/A 27671-2026 FSC-klagomål mail.docx", "A 27671-2026")</f>
        <v/>
      </c>
      <c r="AC24">
        <f>HYPERLINK("https://klasma.github.io/Logging_1862/tillsyn/A 27671-2026 tillsynsbegäran.docx", "A 27671-2026")</f>
        <v/>
      </c>
      <c r="AD24">
        <f>HYPERLINK("https://klasma.github.io/Logging_1862/tillsynsmail/A 27671-2026 tillsynsbegäran mail.docx", "A 27671-2026")</f>
        <v/>
      </c>
      <c r="AE24">
        <f>HYPERLINK("https://klasma.github.io/Logging_1862/fåglar/A 27671-2026 prioriterade fågelarter.docx", "A 27671-2026")</f>
        <v/>
      </c>
    </row>
    <row r="25" ht="15" customHeight="1">
      <c r="A25" t="inlineStr">
        <is>
          <t>A 47782-2025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45931</v>
      </c>
      <c r="E25" s="1" t="n">
        <v>46319</v>
      </c>
      <c r="F25" t="inlineStr">
        <is>
          <t>ÖREBRO LÄN</t>
        </is>
      </c>
      <c r="G25" t="inlineStr">
        <is>
          <t>DEGERFORS</t>
        </is>
      </c>
      <c r="I25" t="n">
        <v>13.4</v>
      </c>
      <c r="J25" t="n">
        <v>3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3</v>
      </c>
      <c r="T25" t="n">
        <v>11</v>
      </c>
      <c r="U25" t="n">
        <v>11</v>
      </c>
      <c r="V25" s="2" t="inlineStr">
        <is>
          <t>Talltita
Tretåig hackspett
Spillkråka</t>
        </is>
      </c>
      <c r="W25">
        <f>HYPERLINK("https://klasma.github.io/Logging_1862/artfynd/A 47782-2025 artfynd.xlsx", "A 47782-2025")</f>
        <v/>
      </c>
      <c r="X25">
        <f>HYPERLINK("https://klasma.github.io/Logging_1862/kartor/A 47782-2025 karta.png", "A 47782-2025")</f>
        <v/>
      </c>
      <c r="Y25">
        <f>HYPERLINK("https://klasma.github.io/Logging_1862/kartor_geotiff/A 47782-2025 georefererad karta.tif", "A 47782-2025")</f>
        <v/>
      </c>
      <c r="AA25">
        <f>HYPERLINK("https://klasma.github.io/Logging_1862/klagomål/A 47782-2025 FSC-klagomål.docx", "A 47782-2025")</f>
        <v/>
      </c>
      <c r="AB25">
        <f>HYPERLINK("https://klasma.github.io/Logging_1862/klagomålsmail/A 47782-2025 FSC-klagomål mail.docx", "A 47782-2025")</f>
        <v/>
      </c>
      <c r="AC25">
        <f>HYPERLINK("https://klasma.github.io/Logging_1862/tillsyn/A 47782-2025 tillsynsbegäran.docx", "A 47782-2025")</f>
        <v/>
      </c>
      <c r="AD25">
        <f>HYPERLINK("https://klasma.github.io/Logging_1862/tillsynsmail/A 47782-2025 tillsynsbegäran mail.docx", "A 47782-2025")</f>
        <v/>
      </c>
      <c r="AE25">
        <f>HYPERLINK("https://klasma.github.io/Logging_1862/fåglar/A 47782-2025 prioriterade fågelarter.docx", "A 47782-2025")</f>
        <v/>
      </c>
    </row>
    <row r="26" ht="15" customHeight="1">
      <c r="A26" t="inlineStr">
        <is>
          <t>A 47785-2025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45931</v>
      </c>
      <c r="E26" s="1" t="n">
        <v>46319</v>
      </c>
      <c r="F26" t="inlineStr">
        <is>
          <t>ÖREBRO LÄN</t>
        </is>
      </c>
      <c r="G26" t="inlineStr">
        <is>
          <t>DEGERFORS</t>
        </is>
      </c>
      <c r="I26" t="n">
        <v>2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2</v>
      </c>
      <c r="U26" t="n">
        <v>2</v>
      </c>
      <c r="V26" s="2" t="inlineStr">
        <is>
          <t>Spillkråka
Kungsfågel</t>
        </is>
      </c>
      <c r="W26">
        <f>HYPERLINK("https://klasma.github.io/Logging_1862/artfynd/A 47785-2025 artfynd.xlsx", "A 47785-2025")</f>
        <v/>
      </c>
      <c r="X26">
        <f>HYPERLINK("https://klasma.github.io/Logging_1862/kartor/A 47785-2025 karta.png", "A 47785-2025")</f>
        <v/>
      </c>
      <c r="Y26">
        <f>HYPERLINK("https://klasma.github.io/Logging_1862/kartor_geotiff/A 47785-2025 georefererad karta.tif", "A 47785-2025")</f>
        <v/>
      </c>
      <c r="AA26">
        <f>HYPERLINK("https://klasma.github.io/Logging_1862/klagomål/A 47785-2025 FSC-klagomål.docx", "A 47785-2025")</f>
        <v/>
      </c>
      <c r="AB26">
        <f>HYPERLINK("https://klasma.github.io/Logging_1862/klagomålsmail/A 47785-2025 FSC-klagomål mail.docx", "A 47785-2025")</f>
        <v/>
      </c>
      <c r="AC26">
        <f>HYPERLINK("https://klasma.github.io/Logging_1862/tillsyn/A 47785-2025 tillsynsbegäran.docx", "A 47785-2025")</f>
        <v/>
      </c>
      <c r="AD26">
        <f>HYPERLINK("https://klasma.github.io/Logging_1862/tillsynsmail/A 47785-2025 tillsynsbegäran mail.docx", "A 47785-2025")</f>
        <v/>
      </c>
      <c r="AE26">
        <f>HYPERLINK("https://klasma.github.io/Logging_1862/fåglar/A 47785-2025 prioriterade fågelarter.docx", "A 47785-2025")</f>
        <v/>
      </c>
    </row>
    <row r="27" ht="15" customHeight="1">
      <c r="A27" t="inlineStr">
        <is>
          <t>A 28976-2026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46199</v>
      </c>
      <c r="E27" s="1" t="n">
        <v>46319</v>
      </c>
      <c r="F27" t="inlineStr">
        <is>
          <t>ÖREBRO LÄN</t>
        </is>
      </c>
      <c r="G27" t="inlineStr">
        <is>
          <t>DEGERFORS</t>
        </is>
      </c>
      <c r="H27" t="inlineStr">
        <is>
          <t>Sveaskog</t>
        </is>
      </c>
      <c r="I27" t="n">
        <v>2.3</v>
      </c>
      <c r="J27" t="n">
        <v>1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2</v>
      </c>
      <c r="T27" t="n">
        <v>2</v>
      </c>
      <c r="U27" t="n">
        <v>1</v>
      </c>
      <c r="V27" s="2" t="inlineStr">
        <is>
          <t>Orange taggsvamp
Talltita</t>
        </is>
      </c>
      <c r="W27">
        <f>HYPERLINK("https://klasma.github.io/Logging_1862/artfynd/A 28976-2026 artfynd.xlsx", "A 28976-2026")</f>
        <v/>
      </c>
      <c r="X27">
        <f>HYPERLINK("https://klasma.github.io/Logging_1862/kartor/A 28976-2026 karta.png", "A 28976-2026")</f>
        <v/>
      </c>
      <c r="Y27">
        <f>HYPERLINK("https://klasma.github.io/Logging_1862/kartor_geotiff/A 28976-2026 georefererad karta.tif", "A 28976-2026")</f>
        <v/>
      </c>
      <c r="AA27">
        <f>HYPERLINK("https://klasma.github.io/Logging_1862/klagomål/A 28976-2026 FSC-klagomål.docx", "A 28976-2026")</f>
        <v/>
      </c>
      <c r="AB27">
        <f>HYPERLINK("https://klasma.github.io/Logging_1862/klagomålsmail/A 28976-2026 FSC-klagomål mail.docx", "A 28976-2026")</f>
        <v/>
      </c>
      <c r="AC27">
        <f>HYPERLINK("https://klasma.github.io/Logging_1862/tillsyn/A 28976-2026 tillsynsbegäran.docx", "A 28976-2026")</f>
        <v/>
      </c>
      <c r="AD27">
        <f>HYPERLINK("https://klasma.github.io/Logging_1862/tillsynsmail/A 28976-2026 tillsynsbegäran mail.docx", "A 28976-2026")</f>
        <v/>
      </c>
      <c r="AE27">
        <f>HYPERLINK("https://klasma.github.io/Logging_1862/fåglar/A 28976-2026 prioriterade fågelarter.docx", "A 28976-2026")</f>
        <v/>
      </c>
    </row>
    <row r="28" ht="15" customHeight="1">
      <c r="A28" t="inlineStr">
        <is>
          <t>A 38910-2023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45163</v>
      </c>
      <c r="E28" s="1" t="n">
        <v>46319</v>
      </c>
      <c r="F28" t="inlineStr">
        <is>
          <t>ÖREBRO LÄN</t>
        </is>
      </c>
      <c r="G28" t="inlineStr">
        <is>
          <t>DEGERFORS</t>
        </is>
      </c>
      <c r="H28" t="inlineStr">
        <is>
          <t>Sveaskog</t>
        </is>
      </c>
      <c r="I28" t="n">
        <v>2.8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</v>
      </c>
      <c r="T28" t="n">
        <v>3</v>
      </c>
      <c r="U28" t="n">
        <v>3</v>
      </c>
      <c r="V28" s="2" t="inlineStr">
        <is>
          <t>Tjäder
Fläcknycklar</t>
        </is>
      </c>
      <c r="W28">
        <f>HYPERLINK("https://klasma.github.io/Logging_1862/artfynd/A 38910-2023 artfynd.xlsx", "A 38910-2023")</f>
        <v/>
      </c>
      <c r="X28">
        <f>HYPERLINK("https://klasma.github.io/Logging_1862/kartor/A 38910-2023 karta.png", "A 38910-2023")</f>
        <v/>
      </c>
      <c r="Y28">
        <f>HYPERLINK("https://klasma.github.io/Logging_1862/kartor_geotiff/A 38910-2023 georefererad karta.tif", "A 38910-2023")</f>
        <v/>
      </c>
      <c r="AA28">
        <f>HYPERLINK("https://klasma.github.io/Logging_1862/klagomål/A 38910-2023 FSC-klagomål.docx", "A 38910-2023")</f>
        <v/>
      </c>
      <c r="AB28">
        <f>HYPERLINK("https://klasma.github.io/Logging_1862/klagomålsmail/A 38910-2023 FSC-klagomål mail.docx", "A 38910-2023")</f>
        <v/>
      </c>
      <c r="AC28">
        <f>HYPERLINK("https://klasma.github.io/Logging_1862/tillsyn/A 38910-2023 tillsynsbegäran.docx", "A 38910-2023")</f>
        <v/>
      </c>
      <c r="AD28">
        <f>HYPERLINK("https://klasma.github.io/Logging_1862/tillsynsmail/A 38910-2023 tillsynsbegäran mail.docx", "A 38910-2023")</f>
        <v/>
      </c>
      <c r="AE28">
        <f>HYPERLINK("https://klasma.github.io/Logging_1862/fåglar/A 38910-2023 prioriterade fågelarter.docx", "A 38910-2023")</f>
        <v/>
      </c>
    </row>
    <row r="29" ht="15" customHeight="1">
      <c r="A29" t="inlineStr">
        <is>
          <t>A 40870-2024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45558</v>
      </c>
      <c r="E29" s="1" t="n">
        <v>46319</v>
      </c>
      <c r="F29" t="inlineStr">
        <is>
          <t>ÖREBRO LÄN</t>
        </is>
      </c>
      <c r="G29" t="inlineStr">
        <is>
          <t>DEGERFORS</t>
        </is>
      </c>
      <c r="H29" t="inlineStr">
        <is>
          <t>Sveaskog</t>
        </is>
      </c>
      <c r="I29" t="n">
        <v>1.9</v>
      </c>
      <c r="J29" t="n">
        <v>2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2</v>
      </c>
      <c r="T29" t="n">
        <v>2</v>
      </c>
      <c r="U29" t="n">
        <v>2</v>
      </c>
      <c r="V29" s="2" t="inlineStr">
        <is>
          <t>Tretåig hackspett
Spillkråka</t>
        </is>
      </c>
      <c r="W29">
        <f>HYPERLINK("https://klasma.github.io/Logging_1862/artfynd/A 40870-2024 artfynd.xlsx", "A 40870-2024")</f>
        <v/>
      </c>
      <c r="X29">
        <f>HYPERLINK("https://klasma.github.io/Logging_1862/kartor/A 40870-2024 karta.png", "A 40870-2024")</f>
        <v/>
      </c>
      <c r="Y29">
        <f>HYPERLINK("https://klasma.github.io/Logging_1862/kartor_geotiff/A 40870-2024 georefererad karta.tif", "A 40870-2024")</f>
        <v/>
      </c>
      <c r="AA29">
        <f>HYPERLINK("https://klasma.github.io/Logging_1862/klagomål/A 40870-2024 FSC-klagomål.docx", "A 40870-2024")</f>
        <v/>
      </c>
      <c r="AB29">
        <f>HYPERLINK("https://klasma.github.io/Logging_1862/klagomålsmail/A 40870-2024 FSC-klagomål mail.docx", "A 40870-2024")</f>
        <v/>
      </c>
      <c r="AC29">
        <f>HYPERLINK("https://klasma.github.io/Logging_1862/tillsyn/A 40870-2024 tillsynsbegäran.docx", "A 40870-2024")</f>
        <v/>
      </c>
      <c r="AD29">
        <f>HYPERLINK("https://klasma.github.io/Logging_1862/tillsynsmail/A 40870-2024 tillsynsbegäran mail.docx", "A 40870-2024")</f>
        <v/>
      </c>
      <c r="AE29">
        <f>HYPERLINK("https://klasma.github.io/Logging_1862/fåglar/A 40870-2024 prioriterade fågelarter.docx", "A 40870-2024")</f>
        <v/>
      </c>
    </row>
    <row r="30" ht="15" customHeight="1">
      <c r="A30" t="inlineStr">
        <is>
          <t>A 38912-2023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45163</v>
      </c>
      <c r="E30" s="1" t="n">
        <v>46319</v>
      </c>
      <c r="F30" t="inlineStr">
        <is>
          <t>ÖREBRO LÄN</t>
        </is>
      </c>
      <c r="G30" t="inlineStr">
        <is>
          <t>DEGERFORS</t>
        </is>
      </c>
      <c r="H30" t="inlineStr">
        <is>
          <t>Sveaskog</t>
        </is>
      </c>
      <c r="I30" t="n">
        <v>5.4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2</v>
      </c>
      <c r="U30" t="n">
        <v>2</v>
      </c>
      <c r="V30" s="2" t="inlineStr">
        <is>
          <t>Tretåig hackspett
Tjäder</t>
        </is>
      </c>
      <c r="W30">
        <f>HYPERLINK("https://klasma.github.io/Logging_1862/artfynd/A 38912-2023 artfynd.xlsx", "A 38912-2023")</f>
        <v/>
      </c>
      <c r="X30">
        <f>HYPERLINK("https://klasma.github.io/Logging_1862/kartor/A 38912-2023 karta.png", "A 38912-2023")</f>
        <v/>
      </c>
      <c r="Y30">
        <f>HYPERLINK("https://klasma.github.io/Logging_1862/kartor_geotiff/A 38912-2023 georefererad karta.tif", "A 38912-2023")</f>
        <v/>
      </c>
      <c r="AA30">
        <f>HYPERLINK("https://klasma.github.io/Logging_1862/klagomål/A 38912-2023 FSC-klagomål.docx", "A 38912-2023")</f>
        <v/>
      </c>
      <c r="AB30">
        <f>HYPERLINK("https://klasma.github.io/Logging_1862/klagomålsmail/A 38912-2023 FSC-klagomål mail.docx", "A 38912-2023")</f>
        <v/>
      </c>
      <c r="AC30">
        <f>HYPERLINK("https://klasma.github.io/Logging_1862/tillsyn/A 38912-2023 tillsynsbegäran.docx", "A 38912-2023")</f>
        <v/>
      </c>
      <c r="AD30">
        <f>HYPERLINK("https://klasma.github.io/Logging_1862/tillsynsmail/A 38912-2023 tillsynsbegäran mail.docx", "A 38912-2023")</f>
        <v/>
      </c>
      <c r="AE30">
        <f>HYPERLINK("https://klasma.github.io/Logging_1862/fåglar/A 38912-2023 prioriterade fågelarter.docx", "A 38912-2023")</f>
        <v/>
      </c>
    </row>
    <row r="31" ht="15" customHeight="1">
      <c r="A31" t="inlineStr">
        <is>
          <t>A 4256-2026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46045</v>
      </c>
      <c r="E31" s="1" t="n">
        <v>46319</v>
      </c>
      <c r="F31" t="inlineStr">
        <is>
          <t>ÖREBRO LÄN</t>
        </is>
      </c>
      <c r="G31" t="inlineStr">
        <is>
          <t>DEGERFORS</t>
        </is>
      </c>
      <c r="I31" t="n">
        <v>2.9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2</v>
      </c>
      <c r="T31" t="n">
        <v>2</v>
      </c>
      <c r="U31" t="n">
        <v>0</v>
      </c>
      <c r="V31" s="2" t="inlineStr">
        <is>
          <t>Skogsklocka
Slåtterfibbla</t>
        </is>
      </c>
      <c r="W31">
        <f>HYPERLINK("https://klasma.github.io/Logging_1862/artfynd/A 4256-2026 artfynd.xlsx", "A 4256-2026")</f>
        <v/>
      </c>
      <c r="X31">
        <f>HYPERLINK("https://klasma.github.io/Logging_1862/kartor/A 4256-2026 karta.png", "A 4256-2026")</f>
        <v/>
      </c>
      <c r="Y31">
        <f>HYPERLINK("https://klasma.github.io/Logging_1862/kartor_geotiff/A 4256-2026 georefererad karta.tif", "A 4256-2026")</f>
        <v/>
      </c>
      <c r="AA31">
        <f>HYPERLINK("https://klasma.github.io/Logging_1862/klagomål/A 4256-2026 FSC-klagomål.docx", "A 4256-2026")</f>
        <v/>
      </c>
      <c r="AB31">
        <f>HYPERLINK("https://klasma.github.io/Logging_1862/klagomålsmail/A 4256-2026 FSC-klagomål mail.docx", "A 4256-2026")</f>
        <v/>
      </c>
      <c r="AC31">
        <f>HYPERLINK("https://klasma.github.io/Logging_1862/tillsyn/A 4256-2026 tillsynsbegäran.docx", "A 4256-2026")</f>
        <v/>
      </c>
      <c r="AD31">
        <f>HYPERLINK("https://klasma.github.io/Logging_1862/tillsynsmail/A 4256-2026 tillsynsbegäran mail.docx", "A 4256-2026")</f>
        <v/>
      </c>
    </row>
    <row r="32" ht="15" customHeight="1">
      <c r="A32" t="inlineStr">
        <is>
          <t>A 38914-2023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45163</v>
      </c>
      <c r="E32" s="1" t="n">
        <v>46319</v>
      </c>
      <c r="F32" t="inlineStr">
        <is>
          <t>ÖREBRO LÄN</t>
        </is>
      </c>
      <c r="G32" t="inlineStr">
        <is>
          <t>DEGERFORS</t>
        </is>
      </c>
      <c r="H32" t="inlineStr">
        <is>
          <t>Sveaskog</t>
        </is>
      </c>
      <c r="I32" t="n">
        <v>5.4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2</v>
      </c>
      <c r="T32" t="n">
        <v>2</v>
      </c>
      <c r="U32" t="n">
        <v>2</v>
      </c>
      <c r="V32" s="2" t="inlineStr">
        <is>
          <t>Tretåig hackspett
Tjäder</t>
        </is>
      </c>
      <c r="W32">
        <f>HYPERLINK("https://klasma.github.io/Logging_1862/artfynd/A 38914-2023 artfynd.xlsx", "A 38914-2023")</f>
        <v/>
      </c>
      <c r="X32">
        <f>HYPERLINK("https://klasma.github.io/Logging_1862/kartor/A 38914-2023 karta.png", "A 38914-2023")</f>
        <v/>
      </c>
      <c r="Y32">
        <f>HYPERLINK("https://klasma.github.io/Logging_1862/kartor_geotiff/A 38914-2023 georefererad karta.tif", "A 38914-2023")</f>
        <v/>
      </c>
      <c r="AA32">
        <f>HYPERLINK("https://klasma.github.io/Logging_1862/klagomål/A 38914-2023 FSC-klagomål.docx", "A 38914-2023")</f>
        <v/>
      </c>
      <c r="AB32">
        <f>HYPERLINK("https://klasma.github.io/Logging_1862/klagomålsmail/A 38914-2023 FSC-klagomål mail.docx", "A 38914-2023")</f>
        <v/>
      </c>
      <c r="AC32">
        <f>HYPERLINK("https://klasma.github.io/Logging_1862/tillsyn/A 38914-2023 tillsynsbegäran.docx", "A 38914-2023")</f>
        <v/>
      </c>
      <c r="AD32">
        <f>HYPERLINK("https://klasma.github.io/Logging_1862/tillsynsmail/A 38914-2023 tillsynsbegäran mail.docx", "A 38914-2023")</f>
        <v/>
      </c>
      <c r="AE32">
        <f>HYPERLINK("https://klasma.github.io/Logging_1862/fåglar/A 38914-2023 prioriterade fågelarter.docx", "A 38914-2023")</f>
        <v/>
      </c>
    </row>
    <row r="33" ht="15" customHeight="1">
      <c r="A33" t="inlineStr">
        <is>
          <t>A 14121-2022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44651</v>
      </c>
      <c r="E33" s="1" t="n">
        <v>46319</v>
      </c>
      <c r="F33" t="inlineStr">
        <is>
          <t>ÖREBRO LÄN</t>
        </is>
      </c>
      <c r="G33" t="inlineStr">
        <is>
          <t>DEGERFORS</t>
        </is>
      </c>
      <c r="I33" t="n">
        <v>4.4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s="2" t="inlineStr">
        <is>
          <t>Hårklomossa</t>
        </is>
      </c>
      <c r="W33">
        <f>HYPERLINK("https://klasma.github.io/Logging_1862/artfynd/A 14121-2022 artfynd.xlsx", "A 14121-2022")</f>
        <v/>
      </c>
      <c r="X33">
        <f>HYPERLINK("https://klasma.github.io/Logging_1862/kartor/A 14121-2022 karta.png", "A 14121-2022")</f>
        <v/>
      </c>
      <c r="Y33">
        <f>HYPERLINK("https://klasma.github.io/Logging_1862/kartor_geotiff/A 14121-2022 georefererad karta.tif", "A 14121-2022")</f>
        <v/>
      </c>
      <c r="AA33">
        <f>HYPERLINK("https://klasma.github.io/Logging_1862/klagomål/A 14121-2022 FSC-klagomål.docx", "A 14121-2022")</f>
        <v/>
      </c>
      <c r="AB33">
        <f>HYPERLINK("https://klasma.github.io/Logging_1862/klagomålsmail/A 14121-2022 FSC-klagomål mail.docx", "A 14121-2022")</f>
        <v/>
      </c>
      <c r="AC33">
        <f>HYPERLINK("https://klasma.github.io/Logging_1862/tillsyn/A 14121-2022 tillsynsbegäran.docx", "A 14121-2022")</f>
        <v/>
      </c>
      <c r="AD33">
        <f>HYPERLINK("https://klasma.github.io/Logging_1862/tillsynsmail/A 14121-2022 tillsynsbegäran mail.docx", "A 14121-2022")</f>
        <v/>
      </c>
    </row>
    <row r="34" ht="15" customHeight="1">
      <c r="A34" t="inlineStr">
        <is>
          <t>A 49306-2025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45938</v>
      </c>
      <c r="E34" s="1" t="n">
        <v>46319</v>
      </c>
      <c r="F34" t="inlineStr">
        <is>
          <t>ÖREBRO LÄN</t>
        </is>
      </c>
      <c r="G34" t="inlineStr">
        <is>
          <t>DEGERFORS</t>
        </is>
      </c>
      <c r="I34" t="n">
        <v>5.8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s="2" t="inlineStr">
        <is>
          <t>Svart trolldruva</t>
        </is>
      </c>
      <c r="W34">
        <f>HYPERLINK("https://klasma.github.io/Logging_1862/artfynd/A 49306-2025 artfynd.xlsx", "A 49306-2025")</f>
        <v/>
      </c>
      <c r="X34">
        <f>HYPERLINK("https://klasma.github.io/Logging_1862/kartor/A 49306-2025 karta.png", "A 49306-2025")</f>
        <v/>
      </c>
      <c r="Y34">
        <f>HYPERLINK("https://klasma.github.io/Logging_1862/kartor_geotiff/A 49306-2025 georefererad karta.tif", "A 49306-2025")</f>
        <v/>
      </c>
      <c r="AA34">
        <f>HYPERLINK("https://klasma.github.io/Logging_1862/klagomål/A 49306-2025 FSC-klagomål.docx", "A 49306-2025")</f>
        <v/>
      </c>
      <c r="AB34">
        <f>HYPERLINK("https://klasma.github.io/Logging_1862/klagomålsmail/A 49306-2025 FSC-klagomål mail.docx", "A 49306-2025")</f>
        <v/>
      </c>
      <c r="AC34">
        <f>HYPERLINK("https://klasma.github.io/Logging_1862/tillsyn/A 49306-2025 tillsynsbegäran.docx", "A 49306-2025")</f>
        <v/>
      </c>
      <c r="AD34">
        <f>HYPERLINK("https://klasma.github.io/Logging_1862/tillsynsmail/A 49306-2025 tillsynsbegäran mail.docx", "A 49306-2025")</f>
        <v/>
      </c>
    </row>
    <row r="35" ht="15" customHeight="1">
      <c r="A35" t="inlineStr">
        <is>
          <t>A 27071-2026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46186</v>
      </c>
      <c r="E35" s="1" t="n">
        <v>46319</v>
      </c>
      <c r="F35" t="inlineStr">
        <is>
          <t>ÖREBRO LÄN</t>
        </is>
      </c>
      <c r="G35" t="inlineStr">
        <is>
          <t>DEGERFORS</t>
        </is>
      </c>
      <c r="H35" t="inlineStr">
        <is>
          <t>Sveaskog</t>
        </is>
      </c>
      <c r="I35" t="n">
        <v>9.9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s="2" t="inlineStr">
        <is>
          <t>Vedticka</t>
        </is>
      </c>
      <c r="W35">
        <f>HYPERLINK("https://klasma.github.io/Logging_1862/artfynd/A 27071-2026 artfynd.xlsx", "A 27071-2026")</f>
        <v/>
      </c>
      <c r="X35">
        <f>HYPERLINK("https://klasma.github.io/Logging_1862/kartor/A 27071-2026 karta.png", "A 27071-2026")</f>
        <v/>
      </c>
      <c r="Y35">
        <f>HYPERLINK("https://klasma.github.io/Logging_1862/kartor_geotiff/A 27071-2026 georefererad karta.tif", "A 27071-2026")</f>
        <v/>
      </c>
      <c r="AA35">
        <f>HYPERLINK("https://klasma.github.io/Logging_1862/klagomål/A 27071-2026 FSC-klagomål.docx", "A 27071-2026")</f>
        <v/>
      </c>
      <c r="AB35">
        <f>HYPERLINK("https://klasma.github.io/Logging_1862/klagomålsmail/A 27071-2026 FSC-klagomål mail.docx", "A 27071-2026")</f>
        <v/>
      </c>
      <c r="AC35">
        <f>HYPERLINK("https://klasma.github.io/Logging_1862/tillsyn/A 27071-2026 tillsynsbegäran.docx", "A 27071-2026")</f>
        <v/>
      </c>
      <c r="AD35">
        <f>HYPERLINK("https://klasma.github.io/Logging_1862/tillsynsmail/A 27071-2026 tillsynsbegäran mail.docx", "A 27071-2026")</f>
        <v/>
      </c>
    </row>
    <row r="36" ht="15" customHeight="1">
      <c r="A36" t="inlineStr">
        <is>
          <t>A 27072-2026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46186</v>
      </c>
      <c r="E36" s="1" t="n">
        <v>46319</v>
      </c>
      <c r="F36" t="inlineStr">
        <is>
          <t>ÖREBRO LÄN</t>
        </is>
      </c>
      <c r="G36" t="inlineStr">
        <is>
          <t>DEGERFORS</t>
        </is>
      </c>
      <c r="H36" t="inlineStr">
        <is>
          <t>Sveaskog</t>
        </is>
      </c>
      <c r="I36" t="n">
        <v>7.6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s="2" t="inlineStr">
        <is>
          <t>Spillkråka</t>
        </is>
      </c>
      <c r="W36">
        <f>HYPERLINK("https://klasma.github.io/Logging_1862/artfynd/A 27072-2026 artfynd.xlsx", "A 27072-2026")</f>
        <v/>
      </c>
      <c r="X36">
        <f>HYPERLINK("https://klasma.github.io/Logging_1862/kartor/A 27072-2026 karta.png", "A 27072-2026")</f>
        <v/>
      </c>
      <c r="Y36">
        <f>HYPERLINK("https://klasma.github.io/Logging_1862/kartor_geotiff/A 27072-2026 georefererad karta.tif", "A 27072-2026")</f>
        <v/>
      </c>
      <c r="AA36">
        <f>HYPERLINK("https://klasma.github.io/Logging_1862/klagomål/A 27072-2026 FSC-klagomål.docx", "A 27072-2026")</f>
        <v/>
      </c>
      <c r="AB36">
        <f>HYPERLINK("https://klasma.github.io/Logging_1862/klagomålsmail/A 27072-2026 FSC-klagomål mail.docx", "A 27072-2026")</f>
        <v/>
      </c>
      <c r="AC36">
        <f>HYPERLINK("https://klasma.github.io/Logging_1862/tillsyn/A 27072-2026 tillsynsbegäran.docx", "A 27072-2026")</f>
        <v/>
      </c>
      <c r="AD36">
        <f>HYPERLINK("https://klasma.github.io/Logging_1862/tillsynsmail/A 27072-2026 tillsynsbegäran mail.docx", "A 27072-2026")</f>
        <v/>
      </c>
      <c r="AE36">
        <f>HYPERLINK("https://klasma.github.io/Logging_1862/fåglar/A 27072-2026 prioriterade fågelarter.docx", "A 27072-2026")</f>
        <v/>
      </c>
    </row>
    <row r="37" ht="15" customHeight="1">
      <c r="A37" t="inlineStr">
        <is>
          <t>A 47787-2025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45931</v>
      </c>
      <c r="E37" s="1" t="n">
        <v>46319</v>
      </c>
      <c r="F37" t="inlineStr">
        <is>
          <t>ÖREBRO LÄN</t>
        </is>
      </c>
      <c r="G37" t="inlineStr">
        <is>
          <t>DEGERFORS</t>
        </is>
      </c>
      <c r="I37" t="n">
        <v>4.1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2</v>
      </c>
      <c r="U37" t="n">
        <v>2</v>
      </c>
      <c r="V37" s="2" t="inlineStr">
        <is>
          <t>Tretåig hackspett</t>
        </is>
      </c>
      <c r="W37">
        <f>HYPERLINK("https://klasma.github.io/Logging_1862/artfynd/A 47787-2025 artfynd.xlsx", "A 47787-2025")</f>
        <v/>
      </c>
      <c r="X37">
        <f>HYPERLINK("https://klasma.github.io/Logging_1862/kartor/A 47787-2025 karta.png", "A 47787-2025")</f>
        <v/>
      </c>
      <c r="Y37">
        <f>HYPERLINK("https://klasma.github.io/Logging_1862/kartor_geotiff/A 47787-2025 georefererad karta.tif", "A 47787-2025")</f>
        <v/>
      </c>
      <c r="AA37">
        <f>HYPERLINK("https://klasma.github.io/Logging_1862/klagomål/A 47787-2025 FSC-klagomål.docx", "A 47787-2025")</f>
        <v/>
      </c>
      <c r="AB37">
        <f>HYPERLINK("https://klasma.github.io/Logging_1862/klagomålsmail/A 47787-2025 FSC-klagomål mail.docx", "A 47787-2025")</f>
        <v/>
      </c>
      <c r="AC37">
        <f>HYPERLINK("https://klasma.github.io/Logging_1862/tillsyn/A 47787-2025 tillsynsbegäran.docx", "A 47787-2025")</f>
        <v/>
      </c>
      <c r="AD37">
        <f>HYPERLINK("https://klasma.github.io/Logging_1862/tillsynsmail/A 47787-2025 tillsynsbegäran mail.docx", "A 47787-2025")</f>
        <v/>
      </c>
      <c r="AE37">
        <f>HYPERLINK("https://klasma.github.io/Logging_1862/fåglar/A 47787-2025 prioriterade fågelarter.docx", "A 47787-2025")</f>
        <v/>
      </c>
    </row>
    <row r="38" ht="15" customHeight="1">
      <c r="A38" t="inlineStr">
        <is>
          <t>A 26971-2026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46185</v>
      </c>
      <c r="E38" s="1" t="n">
        <v>46319</v>
      </c>
      <c r="F38" t="inlineStr">
        <is>
          <t>ÖREBRO LÄN</t>
        </is>
      </c>
      <c r="G38" t="inlineStr">
        <is>
          <t>DEGERFORS</t>
        </is>
      </c>
      <c r="I38" t="n">
        <v>2.1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s="2" t="inlineStr">
        <is>
          <t>Stuplav</t>
        </is>
      </c>
      <c r="W38">
        <f>HYPERLINK("https://klasma.github.io/Logging_1862/artfynd/A 26971-2026 artfynd.xlsx", "A 26971-2026")</f>
        <v/>
      </c>
      <c r="X38">
        <f>HYPERLINK("https://klasma.github.io/Logging_1862/kartor/A 26971-2026 karta.png", "A 26971-2026")</f>
        <v/>
      </c>
      <c r="Y38">
        <f>HYPERLINK("https://klasma.github.io/Logging_1862/kartor_geotiff/A 26971-2026 georefererad karta.tif", "A 26971-2026")</f>
        <v/>
      </c>
      <c r="AA38">
        <f>HYPERLINK("https://klasma.github.io/Logging_1862/klagomål/A 26971-2026 FSC-klagomål.docx", "A 26971-2026")</f>
        <v/>
      </c>
      <c r="AB38">
        <f>HYPERLINK("https://klasma.github.io/Logging_1862/klagomålsmail/A 26971-2026 FSC-klagomål mail.docx", "A 26971-2026")</f>
        <v/>
      </c>
      <c r="AC38">
        <f>HYPERLINK("https://klasma.github.io/Logging_1862/tillsyn/A 26971-2026 tillsynsbegäran.docx", "A 26971-2026")</f>
        <v/>
      </c>
      <c r="AD38">
        <f>HYPERLINK("https://klasma.github.io/Logging_1862/tillsynsmail/A 26971-2026 tillsynsbegäran mail.docx", "A 26971-2026")</f>
        <v/>
      </c>
    </row>
    <row r="39" ht="15" customHeight="1">
      <c r="A39" t="inlineStr">
        <is>
          <t>A 38907-2023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45163</v>
      </c>
      <c r="E39" s="1" t="n">
        <v>46319</v>
      </c>
      <c r="F39" t="inlineStr">
        <is>
          <t>ÖREBRO LÄN</t>
        </is>
      </c>
      <c r="G39" t="inlineStr">
        <is>
          <t>DEGERFORS</t>
        </is>
      </c>
      <c r="H39" t="inlineStr">
        <is>
          <t>Sveaskog</t>
        </is>
      </c>
      <c r="I39" t="n">
        <v>2.9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1</v>
      </c>
      <c r="V39" s="2" t="inlineStr">
        <is>
          <t>Tjäder</t>
        </is>
      </c>
      <c r="W39">
        <f>HYPERLINK("https://klasma.github.io/Logging_1862/artfynd/A 38907-2023 artfynd.xlsx", "A 38907-2023")</f>
        <v/>
      </c>
      <c r="X39">
        <f>HYPERLINK("https://klasma.github.io/Logging_1862/kartor/A 38907-2023 karta.png", "A 38907-2023")</f>
        <v/>
      </c>
      <c r="Y39">
        <f>HYPERLINK("https://klasma.github.io/Logging_1862/kartor_geotiff/A 38907-2023 georefererad karta.tif", "A 38907-2023")</f>
        <v/>
      </c>
      <c r="AA39">
        <f>HYPERLINK("https://klasma.github.io/Logging_1862/klagomål/A 38907-2023 FSC-klagomål.docx", "A 38907-2023")</f>
        <v/>
      </c>
      <c r="AB39">
        <f>HYPERLINK("https://klasma.github.io/Logging_1862/klagomålsmail/A 38907-2023 FSC-klagomål mail.docx", "A 38907-2023")</f>
        <v/>
      </c>
      <c r="AC39">
        <f>HYPERLINK("https://klasma.github.io/Logging_1862/tillsyn/A 38907-2023 tillsynsbegäran.docx", "A 38907-2023")</f>
        <v/>
      </c>
      <c r="AD39">
        <f>HYPERLINK("https://klasma.github.io/Logging_1862/tillsynsmail/A 38907-2023 tillsynsbegäran mail.docx", "A 38907-2023")</f>
        <v/>
      </c>
      <c r="AE39">
        <f>HYPERLINK("https://klasma.github.io/Logging_1862/fåglar/A 38907-2023 prioriterade fågelarter.docx", "A 38907-2023")</f>
        <v/>
      </c>
    </row>
    <row r="40" ht="15" customHeight="1">
      <c r="A40" t="inlineStr">
        <is>
          <t>A 2357-2022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44578</v>
      </c>
      <c r="E40" s="1" t="n">
        <v>46319</v>
      </c>
      <c r="F40" t="inlineStr">
        <is>
          <t>ÖREBRO LÄN</t>
        </is>
      </c>
      <c r="G40" t="inlineStr">
        <is>
          <t>DEGERFORS</t>
        </is>
      </c>
      <c r="I40" t="n">
        <v>4.5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s="2" t="inlineStr">
        <is>
          <t>Spillkråka</t>
        </is>
      </c>
      <c r="W40">
        <f>HYPERLINK("https://klasma.github.io/Logging_1862/artfynd/A 2357-2022 artfynd.xlsx", "A 2357-2022")</f>
        <v/>
      </c>
      <c r="X40">
        <f>HYPERLINK("https://klasma.github.io/Logging_1862/kartor/A 2357-2022 karta.png", "A 2357-2022")</f>
        <v/>
      </c>
      <c r="Y40">
        <f>HYPERLINK("https://klasma.github.io/Logging_1862/kartor_geotiff/A 2357-2022 georefererad karta.tif", "A 2357-2022")</f>
        <v/>
      </c>
      <c r="AA40">
        <f>HYPERLINK("https://klasma.github.io/Logging_1862/klagomål/A 2357-2022 FSC-klagomål.docx", "A 2357-2022")</f>
        <v/>
      </c>
      <c r="AB40">
        <f>HYPERLINK("https://klasma.github.io/Logging_1862/klagomålsmail/A 2357-2022 FSC-klagomål mail.docx", "A 2357-2022")</f>
        <v/>
      </c>
      <c r="AC40">
        <f>HYPERLINK("https://klasma.github.io/Logging_1862/tillsyn/A 2357-2022 tillsynsbegäran.docx", "A 2357-2022")</f>
        <v/>
      </c>
      <c r="AD40">
        <f>HYPERLINK("https://klasma.github.io/Logging_1862/tillsynsmail/A 2357-2022 tillsynsbegäran mail.docx", "A 2357-2022")</f>
        <v/>
      </c>
      <c r="AE40">
        <f>HYPERLINK("https://klasma.github.io/Logging_1862/fåglar/A 2357-2022 prioriterade fågelarter.docx", "A 2357-2022")</f>
        <v/>
      </c>
    </row>
    <row r="41" ht="15" customHeight="1">
      <c r="A41" t="inlineStr">
        <is>
          <t>A 53838-2024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45614</v>
      </c>
      <c r="E41" s="1" t="n">
        <v>46319</v>
      </c>
      <c r="F41" t="inlineStr">
        <is>
          <t>ÖREBRO LÄN</t>
        </is>
      </c>
      <c r="G41" t="inlineStr">
        <is>
          <t>DEGERFORS</t>
        </is>
      </c>
      <c r="I41" t="n">
        <v>4.3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s="2" t="inlineStr">
        <is>
          <t>Spillkråka</t>
        </is>
      </c>
      <c r="W41">
        <f>HYPERLINK("https://klasma.github.io/Logging_1862/artfynd/A 53838-2024 artfynd.xlsx", "A 53838-2024")</f>
        <v/>
      </c>
      <c r="X41">
        <f>HYPERLINK("https://klasma.github.io/Logging_1862/kartor/A 53838-2024 karta.png", "A 53838-2024")</f>
        <v/>
      </c>
      <c r="Y41">
        <f>HYPERLINK("https://klasma.github.io/Logging_1862/kartor_geotiff/A 53838-2024 georefererad karta.tif", "A 53838-2024")</f>
        <v/>
      </c>
      <c r="AA41">
        <f>HYPERLINK("https://klasma.github.io/Logging_1862/klagomål/A 53838-2024 FSC-klagomål.docx", "A 53838-2024")</f>
        <v/>
      </c>
      <c r="AB41">
        <f>HYPERLINK("https://klasma.github.io/Logging_1862/klagomålsmail/A 53838-2024 FSC-klagomål mail.docx", "A 53838-2024")</f>
        <v/>
      </c>
      <c r="AC41">
        <f>HYPERLINK("https://klasma.github.io/Logging_1862/tillsyn/A 53838-2024 tillsynsbegäran.docx", "A 53838-2024")</f>
        <v/>
      </c>
      <c r="AD41">
        <f>HYPERLINK("https://klasma.github.io/Logging_1862/tillsynsmail/A 53838-2024 tillsynsbegäran mail.docx", "A 53838-2024")</f>
        <v/>
      </c>
      <c r="AE41">
        <f>HYPERLINK("https://klasma.github.io/Logging_1862/fåglar/A 53838-2024 prioriterade fågelarter.docx", "A 53838-2024")</f>
        <v/>
      </c>
    </row>
    <row r="42" ht="15" customHeight="1">
      <c r="A42" t="inlineStr">
        <is>
          <t>A 14177-2026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46099</v>
      </c>
      <c r="E42" s="1" t="n">
        <v>46319</v>
      </c>
      <c r="F42" t="inlineStr">
        <is>
          <t>ÖREBRO LÄN</t>
        </is>
      </c>
      <c r="G42" t="inlineStr">
        <is>
          <t>DEGERFORS</t>
        </is>
      </c>
      <c r="H42" t="inlineStr">
        <is>
          <t>Sveaskog</t>
        </is>
      </c>
      <c r="I42" t="n">
        <v>2.2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1</v>
      </c>
      <c r="U42" t="n">
        <v>0</v>
      </c>
      <c r="V42" s="2" t="inlineStr">
        <is>
          <t>Motaggsvamp</t>
        </is>
      </c>
      <c r="W42">
        <f>HYPERLINK("https://klasma.github.io/Logging_1862/artfynd/A 14177-2026 artfynd.xlsx", "A 14177-2026")</f>
        <v/>
      </c>
      <c r="X42">
        <f>HYPERLINK("https://klasma.github.io/Logging_1862/kartor/A 14177-2026 karta.png", "A 14177-2026")</f>
        <v/>
      </c>
      <c r="Y42">
        <f>HYPERLINK("https://klasma.github.io/Logging_1862/kartor_geotiff/A 14177-2026 georefererad karta.tif", "A 14177-2026")</f>
        <v/>
      </c>
      <c r="AA42">
        <f>HYPERLINK("https://klasma.github.io/Logging_1862/klagomål/A 14177-2026 FSC-klagomål.docx", "A 14177-2026")</f>
        <v/>
      </c>
      <c r="AB42">
        <f>HYPERLINK("https://klasma.github.io/Logging_1862/klagomålsmail/A 14177-2026 FSC-klagomål mail.docx", "A 14177-2026")</f>
        <v/>
      </c>
      <c r="AC42">
        <f>HYPERLINK("https://klasma.github.io/Logging_1862/tillsyn/A 14177-2026 tillsynsbegäran.docx", "A 14177-2026")</f>
        <v/>
      </c>
      <c r="AD42">
        <f>HYPERLINK("https://klasma.github.io/Logging_1862/tillsynsmail/A 14177-2026 tillsynsbegäran mail.docx", "A 14177-2026")</f>
        <v/>
      </c>
    </row>
    <row r="43" ht="15" customHeight="1">
      <c r="A43" t="inlineStr">
        <is>
          <t>A 42337-2026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46307</v>
      </c>
      <c r="E43" s="1" t="n">
        <v>46319</v>
      </c>
      <c r="F43" t="inlineStr">
        <is>
          <t>ÖREBRO LÄN</t>
        </is>
      </c>
      <c r="G43" t="inlineStr">
        <is>
          <t>DEGERFORS</t>
        </is>
      </c>
      <c r="H43" t="inlineStr">
        <is>
          <t>Sveaskog</t>
        </is>
      </c>
      <c r="I43" t="n">
        <v>4.7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s="2" t="inlineStr">
        <is>
          <t>Mattlummer</t>
        </is>
      </c>
      <c r="W43">
        <f>HYPERLINK("https://klasma.github.io/Logging_1862/artfynd/A 42337-2026 artfynd.xlsx", "A 42337-2026")</f>
        <v/>
      </c>
      <c r="X43">
        <f>HYPERLINK("https://klasma.github.io/Logging_1862/kartor/A 42337-2026 karta.png", "A 42337-2026")</f>
        <v/>
      </c>
      <c r="Y43">
        <f>HYPERLINK("https://klasma.github.io/Logging_1862/kartor_geotiff/A 42337-2026 georefererad karta.tif", "A 42337-2026")</f>
        <v/>
      </c>
      <c r="AA43">
        <f>HYPERLINK("https://klasma.github.io/Logging_1862/klagomål/A 42337-2026 FSC-klagomål.docx", "A 42337-2026")</f>
        <v/>
      </c>
      <c r="AB43">
        <f>HYPERLINK("https://klasma.github.io/Logging_1862/klagomålsmail/A 42337-2026 FSC-klagomål mail.docx", "A 42337-2026")</f>
        <v/>
      </c>
      <c r="AC43">
        <f>HYPERLINK("https://klasma.github.io/Logging_1862/tillsyn/A 42337-2026 tillsynsbegäran.docx", "A 42337-2026")</f>
        <v/>
      </c>
      <c r="AD43">
        <f>HYPERLINK("https://klasma.github.io/Logging_1862/tillsynsmail/A 42337-2026 tillsynsbegäran mail.docx", "A 42337-2026")</f>
        <v/>
      </c>
    </row>
    <row r="44" ht="15" customHeight="1">
      <c r="A44" t="inlineStr">
        <is>
          <t>A 47915-2024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45589</v>
      </c>
      <c r="E44" s="1" t="n">
        <v>46319</v>
      </c>
      <c r="F44" t="inlineStr">
        <is>
          <t>ÖREBRO LÄN</t>
        </is>
      </c>
      <c r="G44" t="inlineStr">
        <is>
          <t>DEGERFORS</t>
        </is>
      </c>
      <c r="H44" t="inlineStr">
        <is>
          <t>Sveaskog</t>
        </is>
      </c>
      <c r="I44" t="n">
        <v>5.8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  <c r="V44" s="2" t="inlineStr">
        <is>
          <t>Mattlummer</t>
        </is>
      </c>
      <c r="W44">
        <f>HYPERLINK("https://klasma.github.io/Logging_1862/artfynd/A 47915-2024 artfynd.xlsx", "A 47915-2024")</f>
        <v/>
      </c>
      <c r="X44">
        <f>HYPERLINK("https://klasma.github.io/Logging_1862/kartor/A 47915-2024 karta.png", "A 47915-2024")</f>
        <v/>
      </c>
      <c r="Y44">
        <f>HYPERLINK("https://klasma.github.io/Logging_1862/kartor_geotiff/A 47915-2024 georefererad karta.tif", "A 47915-2024")</f>
        <v/>
      </c>
      <c r="AA44">
        <f>HYPERLINK("https://klasma.github.io/Logging_1862/klagomål/A 47915-2024 FSC-klagomål.docx", "A 47915-2024")</f>
        <v/>
      </c>
      <c r="AB44">
        <f>HYPERLINK("https://klasma.github.io/Logging_1862/klagomålsmail/A 47915-2024 FSC-klagomål mail.docx", "A 47915-2024")</f>
        <v/>
      </c>
      <c r="AC44">
        <f>HYPERLINK("https://klasma.github.io/Logging_1862/tillsyn/A 47915-2024 tillsynsbegäran.docx", "A 47915-2024")</f>
        <v/>
      </c>
      <c r="AD44">
        <f>HYPERLINK("https://klasma.github.io/Logging_1862/tillsynsmail/A 47915-2024 tillsynsbegäran mail.docx", "A 47915-2024")</f>
        <v/>
      </c>
    </row>
    <row r="45" ht="15" customHeight="1">
      <c r="A45" t="inlineStr">
        <is>
          <t>A 38904-2023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45163</v>
      </c>
      <c r="E45" s="1" t="n">
        <v>46319</v>
      </c>
      <c r="F45" t="inlineStr">
        <is>
          <t>ÖREBRO LÄN</t>
        </is>
      </c>
      <c r="G45" t="inlineStr">
        <is>
          <t>DEGERFORS</t>
        </is>
      </c>
      <c r="H45" t="inlineStr">
        <is>
          <t>Sveaskog</t>
        </is>
      </c>
      <c r="I45" t="n">
        <v>2.9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s="2" t="inlineStr">
        <is>
          <t>Tjäder</t>
        </is>
      </c>
      <c r="W45">
        <f>HYPERLINK("https://klasma.github.io/Logging_1862/artfynd/A 38904-2023 artfynd.xlsx", "A 38904-2023")</f>
        <v/>
      </c>
      <c r="X45">
        <f>HYPERLINK("https://klasma.github.io/Logging_1862/kartor/A 38904-2023 karta.png", "A 38904-2023")</f>
        <v/>
      </c>
      <c r="Y45">
        <f>HYPERLINK("https://klasma.github.io/Logging_1862/kartor_geotiff/A 38904-2023 georefererad karta.tif", "A 38904-2023")</f>
        <v/>
      </c>
      <c r="AA45">
        <f>HYPERLINK("https://klasma.github.io/Logging_1862/klagomål/A 38904-2023 FSC-klagomål.docx", "A 38904-2023")</f>
        <v/>
      </c>
      <c r="AB45">
        <f>HYPERLINK("https://klasma.github.io/Logging_1862/klagomålsmail/A 38904-2023 FSC-klagomål mail.docx", "A 38904-2023")</f>
        <v/>
      </c>
      <c r="AC45">
        <f>HYPERLINK("https://klasma.github.io/Logging_1862/tillsyn/A 38904-2023 tillsynsbegäran.docx", "A 38904-2023")</f>
        <v/>
      </c>
      <c r="AD45">
        <f>HYPERLINK("https://klasma.github.io/Logging_1862/tillsynsmail/A 38904-2023 tillsynsbegäran mail.docx", "A 38904-2023")</f>
        <v/>
      </c>
      <c r="AE45">
        <f>HYPERLINK("https://klasma.github.io/Logging_1862/fåglar/A 38904-2023 prioriterade fågelarter.docx", "A 38904-2023")</f>
        <v/>
      </c>
    </row>
    <row r="46" ht="15" customHeight="1">
      <c r="A46" t="inlineStr">
        <is>
          <t>A 48285-2023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45205</v>
      </c>
      <c r="E46" s="1" t="n">
        <v>46319</v>
      </c>
      <c r="F46" t="inlineStr">
        <is>
          <t>ÖREBRO LÄN</t>
        </is>
      </c>
      <c r="G46" t="inlineStr">
        <is>
          <t>DEGERFORS</t>
        </is>
      </c>
      <c r="H46" t="inlineStr">
        <is>
          <t>Sveaskog</t>
        </is>
      </c>
      <c r="I46" t="n">
        <v>1.1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1</v>
      </c>
      <c r="V46" s="2" t="inlineStr">
        <is>
          <t>Tjäder</t>
        </is>
      </c>
      <c r="W46">
        <f>HYPERLINK("https://klasma.github.io/Logging_1862/artfynd/A 48285-2023 artfynd.xlsx", "A 48285-2023")</f>
        <v/>
      </c>
      <c r="X46">
        <f>HYPERLINK("https://klasma.github.io/Logging_1862/kartor/A 48285-2023 karta.png", "A 48285-2023")</f>
        <v/>
      </c>
      <c r="Y46">
        <f>HYPERLINK("https://klasma.github.io/Logging_1862/kartor_geotiff/A 48285-2023 georefererad karta.tif", "A 48285-2023")</f>
        <v/>
      </c>
      <c r="AA46">
        <f>HYPERLINK("https://klasma.github.io/Logging_1862/klagomål/A 48285-2023 FSC-klagomål.docx", "A 48285-2023")</f>
        <v/>
      </c>
      <c r="AB46">
        <f>HYPERLINK("https://klasma.github.io/Logging_1862/klagomålsmail/A 48285-2023 FSC-klagomål mail.docx", "A 48285-2023")</f>
        <v/>
      </c>
      <c r="AC46">
        <f>HYPERLINK("https://klasma.github.io/Logging_1862/tillsyn/A 48285-2023 tillsynsbegäran.docx", "A 48285-2023")</f>
        <v/>
      </c>
      <c r="AD46">
        <f>HYPERLINK("https://klasma.github.io/Logging_1862/tillsynsmail/A 48285-2023 tillsynsbegäran mail.docx", "A 48285-2023")</f>
        <v/>
      </c>
      <c r="AE46">
        <f>HYPERLINK("https://klasma.github.io/Logging_1862/fåglar/A 48285-2023 prioriterade fågelarter.docx", "A 48285-2023")</f>
        <v/>
      </c>
    </row>
    <row r="47" ht="15" customHeight="1">
      <c r="A47" t="inlineStr">
        <is>
          <t>A 27093-2023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45096</v>
      </c>
      <c r="E47" s="1" t="n">
        <v>46319</v>
      </c>
      <c r="F47" t="inlineStr">
        <is>
          <t>ÖREBRO LÄN</t>
        </is>
      </c>
      <c r="G47" t="inlineStr">
        <is>
          <t>DEGERFORS</t>
        </is>
      </c>
      <c r="H47" t="inlineStr">
        <is>
          <t>Sveaskog</t>
        </is>
      </c>
      <c r="I47" t="n">
        <v>5.9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s="2" t="inlineStr">
        <is>
          <t>Tjäder</t>
        </is>
      </c>
      <c r="W47">
        <f>HYPERLINK("https://klasma.github.io/Logging_1862/artfynd/A 27093-2023 artfynd.xlsx", "A 27093-2023")</f>
        <v/>
      </c>
      <c r="X47">
        <f>HYPERLINK("https://klasma.github.io/Logging_1862/kartor/A 27093-2023 karta.png", "A 27093-2023")</f>
        <v/>
      </c>
      <c r="Y47">
        <f>HYPERLINK("https://klasma.github.io/Logging_1862/kartor_geotiff/A 27093-2023 georefererad karta.tif", "A 27093-2023")</f>
        <v/>
      </c>
      <c r="AA47">
        <f>HYPERLINK("https://klasma.github.io/Logging_1862/klagomål/A 27093-2023 FSC-klagomål.docx", "A 27093-2023")</f>
        <v/>
      </c>
      <c r="AB47">
        <f>HYPERLINK("https://klasma.github.io/Logging_1862/klagomålsmail/A 27093-2023 FSC-klagomål mail.docx", "A 27093-2023")</f>
        <v/>
      </c>
      <c r="AC47">
        <f>HYPERLINK("https://klasma.github.io/Logging_1862/tillsyn/A 27093-2023 tillsynsbegäran.docx", "A 27093-2023")</f>
        <v/>
      </c>
      <c r="AD47">
        <f>HYPERLINK("https://klasma.github.io/Logging_1862/tillsynsmail/A 27093-2023 tillsynsbegäran mail.docx", "A 27093-2023")</f>
        <v/>
      </c>
      <c r="AE47">
        <f>HYPERLINK("https://klasma.github.io/Logging_1862/fåglar/A 27093-2023 prioriterade fågelarter.docx", "A 27093-2023")</f>
        <v/>
      </c>
    </row>
    <row r="48" ht="15" customHeight="1">
      <c r="A48" t="inlineStr">
        <is>
          <t>A 47941-2024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45589</v>
      </c>
      <c r="E48" s="1" t="n">
        <v>46319</v>
      </c>
      <c r="F48" t="inlineStr">
        <is>
          <t>ÖREBRO LÄN</t>
        </is>
      </c>
      <c r="G48" t="inlineStr">
        <is>
          <t>DEGERFORS</t>
        </is>
      </c>
      <c r="H48" t="inlineStr">
        <is>
          <t>Sveaskog</t>
        </is>
      </c>
      <c r="I48" t="n">
        <v>1.4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s="2" t="inlineStr">
        <is>
          <t>Brunfläckig pärlemorfjäril</t>
        </is>
      </c>
      <c r="W48">
        <f>HYPERLINK("https://klasma.github.io/Logging_1862/artfynd/A 47941-2024 artfynd.xlsx", "A 47941-2024")</f>
        <v/>
      </c>
      <c r="X48">
        <f>HYPERLINK("https://klasma.github.io/Logging_1862/kartor/A 47941-2024 karta.png", "A 47941-2024")</f>
        <v/>
      </c>
      <c r="Y48">
        <f>HYPERLINK("https://klasma.github.io/Logging_1862/kartor_geotiff/A 47941-2024 georefererad karta.tif", "A 47941-2024")</f>
        <v/>
      </c>
      <c r="AA48">
        <f>HYPERLINK("https://klasma.github.io/Logging_1862/klagomål/A 47941-2024 FSC-klagomål.docx", "A 47941-2024")</f>
        <v/>
      </c>
      <c r="AB48">
        <f>HYPERLINK("https://klasma.github.io/Logging_1862/klagomålsmail/A 47941-2024 FSC-klagomål mail.docx", "A 47941-2024")</f>
        <v/>
      </c>
      <c r="AC48">
        <f>HYPERLINK("https://klasma.github.io/Logging_1862/tillsyn/A 47941-2024 tillsynsbegäran.docx", "A 47941-2024")</f>
        <v/>
      </c>
      <c r="AD48">
        <f>HYPERLINK("https://klasma.github.io/Logging_1862/tillsynsmail/A 47941-2024 tillsynsbegäran mail.docx", "A 47941-2024")</f>
        <v/>
      </c>
    </row>
    <row r="49" ht="15" customHeight="1">
      <c r="A49" t="inlineStr">
        <is>
          <t>A 33297-2023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45116</v>
      </c>
      <c r="E49" s="1" t="n">
        <v>46319</v>
      </c>
      <c r="F49" t="inlineStr">
        <is>
          <t>ÖREBRO LÄN</t>
        </is>
      </c>
      <c r="G49" t="inlineStr">
        <is>
          <t>DEGERFORS</t>
        </is>
      </c>
      <c r="I49" t="n">
        <v>7.2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s="2" t="inlineStr">
        <is>
          <t>Igelkott</t>
        </is>
      </c>
      <c r="W49">
        <f>HYPERLINK("https://klasma.github.io/Logging_1862/artfynd/A 33297-2023 artfynd.xlsx", "A 33297-2023")</f>
        <v/>
      </c>
      <c r="X49">
        <f>HYPERLINK("https://klasma.github.io/Logging_1862/kartor/A 33297-2023 karta.png", "A 33297-2023")</f>
        <v/>
      </c>
      <c r="Y49">
        <f>HYPERLINK("https://klasma.github.io/Logging_1862/kartor_geotiff/A 33297-2023 georefererad karta.tif", "A 33297-2023")</f>
        <v/>
      </c>
      <c r="AA49">
        <f>HYPERLINK("https://klasma.github.io/Logging_1862/klagomål/A 33297-2023 FSC-klagomål.docx", "A 33297-2023")</f>
        <v/>
      </c>
      <c r="AB49">
        <f>HYPERLINK("https://klasma.github.io/Logging_1862/klagomålsmail/A 33297-2023 FSC-klagomål mail.docx", "A 33297-2023")</f>
        <v/>
      </c>
      <c r="AC49">
        <f>HYPERLINK("https://klasma.github.io/Logging_1862/tillsyn/A 33297-2023 tillsynsbegäran.docx", "A 33297-2023")</f>
        <v/>
      </c>
      <c r="AD49">
        <f>HYPERLINK("https://klasma.github.io/Logging_1862/tillsynsmail/A 33297-2023 tillsynsbegäran mail.docx", "A 33297-2023")</f>
        <v/>
      </c>
    </row>
    <row r="50" ht="15" customHeight="1">
      <c r="A50" t="inlineStr">
        <is>
          <t>A 36798-2022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44805</v>
      </c>
      <c r="E50" s="1" t="n">
        <v>46319</v>
      </c>
      <c r="F50" t="inlineStr">
        <is>
          <t>ÖREBRO LÄN</t>
        </is>
      </c>
      <c r="G50" t="inlineStr">
        <is>
          <t>DEGERFORS</t>
        </is>
      </c>
      <c r="I50" t="n">
        <v>1.1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36784-2022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44805</v>
      </c>
      <c r="E51" s="1" t="n">
        <v>46319</v>
      </c>
      <c r="F51" t="inlineStr">
        <is>
          <t>ÖREBRO LÄN</t>
        </is>
      </c>
      <c r="G51" t="inlineStr">
        <is>
          <t>DEGERFORS</t>
        </is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50599-2022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44861</v>
      </c>
      <c r="E52" s="1" t="n">
        <v>46319</v>
      </c>
      <c r="F52" t="inlineStr">
        <is>
          <t>ÖREBRO LÄN</t>
        </is>
      </c>
      <c r="G52" t="inlineStr">
        <is>
          <t>DEGERFORS</t>
        </is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7510-2022</t>
        </is>
      </c>
      <c r="B53" t="inlineStr">
        <is>
          <t>avverkningsanmälan</t>
        </is>
      </c>
      <c r="C53" t="inlineStr">
        <is>
          <t>Avverkning för att bevara och utveckla /försöksver</t>
        </is>
      </c>
      <c r="D53" s="1" t="n">
        <v>44607</v>
      </c>
      <c r="E53" s="1" t="n">
        <v>46319</v>
      </c>
      <c r="F53" t="inlineStr">
        <is>
          <t>ÖREBRO LÄN</t>
        </is>
      </c>
      <c r="G53" t="inlineStr">
        <is>
          <t>DEGERFORS</t>
        </is>
      </c>
      <c r="H53" t="inlineStr">
        <is>
          <t>Sveaskog</t>
        </is>
      </c>
      <c r="I53" t="n">
        <v>2.4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19371-2022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44692</v>
      </c>
      <c r="E54" s="1" t="n">
        <v>46319</v>
      </c>
      <c r="F54" t="inlineStr">
        <is>
          <t>ÖREBRO LÄN</t>
        </is>
      </c>
      <c r="G54" t="inlineStr">
        <is>
          <t>DEGERFORS</t>
        </is>
      </c>
      <c r="I54" t="n">
        <v>0.8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8186-2022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44609</v>
      </c>
      <c r="E55" s="1" t="n">
        <v>46319</v>
      </c>
      <c r="F55" t="inlineStr">
        <is>
          <t>ÖREBRO LÄN</t>
        </is>
      </c>
      <c r="G55" t="inlineStr">
        <is>
          <t>DEGERFORS</t>
        </is>
      </c>
      <c r="I55" t="n">
        <v>0.5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60889-2021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44497</v>
      </c>
      <c r="E56" s="1" t="n">
        <v>46319</v>
      </c>
      <c r="F56" t="inlineStr">
        <is>
          <t>ÖREBRO LÄN</t>
        </is>
      </c>
      <c r="G56" t="inlineStr">
        <is>
          <t>DEGERFORS</t>
        </is>
      </c>
      <c r="I56" t="n">
        <v>0.5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5319-2022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44594</v>
      </c>
      <c r="E57" s="1" t="n">
        <v>46319</v>
      </c>
      <c r="F57" t="inlineStr">
        <is>
          <t>ÖREBRO LÄN</t>
        </is>
      </c>
      <c r="G57" t="inlineStr">
        <is>
          <t>DEGERFORS</t>
        </is>
      </c>
      <c r="I57" t="n">
        <v>0.5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47569-2022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44853</v>
      </c>
      <c r="E58" s="1" t="n">
        <v>46319</v>
      </c>
      <c r="F58" t="inlineStr">
        <is>
          <t>ÖREBRO LÄN</t>
        </is>
      </c>
      <c r="G58" t="inlineStr">
        <is>
          <t>DEGERFORS</t>
        </is>
      </c>
      <c r="I58" t="n">
        <v>2.5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65456-2021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44515</v>
      </c>
      <c r="E59" s="1" t="n">
        <v>46319</v>
      </c>
      <c r="F59" t="inlineStr">
        <is>
          <t>ÖREBRO LÄN</t>
        </is>
      </c>
      <c r="G59" t="inlineStr">
        <is>
          <t>DEGERFORS</t>
        </is>
      </c>
      <c r="I59" t="n">
        <v>0.8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12977-2022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44643</v>
      </c>
      <c r="E60" s="1" t="n">
        <v>46319</v>
      </c>
      <c r="F60" t="inlineStr">
        <is>
          <t>ÖREBRO LÄN</t>
        </is>
      </c>
      <c r="G60" t="inlineStr">
        <is>
          <t>DEGERFORS</t>
        </is>
      </c>
      <c r="I60" t="n">
        <v>1.3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68578-2021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44529</v>
      </c>
      <c r="E61" s="1" t="n">
        <v>46319</v>
      </c>
      <c r="F61" t="inlineStr">
        <is>
          <t>ÖREBRO LÄN</t>
        </is>
      </c>
      <c r="G61" t="inlineStr">
        <is>
          <t>DEGERFORS</t>
        </is>
      </c>
      <c r="H61" t="inlineStr">
        <is>
          <t>Sveaskog</t>
        </is>
      </c>
      <c r="I61" t="n">
        <v>0.6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67998-2021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44525</v>
      </c>
      <c r="E62" s="1" t="n">
        <v>46319</v>
      </c>
      <c r="F62" t="inlineStr">
        <is>
          <t>ÖREBRO LÄN</t>
        </is>
      </c>
      <c r="G62" t="inlineStr">
        <is>
          <t>DEGERFORS</t>
        </is>
      </c>
      <c r="I62" t="n">
        <v>2.9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63906-2021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44509</v>
      </c>
      <c r="E63" s="1" t="n">
        <v>46319</v>
      </c>
      <c r="F63" t="inlineStr">
        <is>
          <t>ÖREBRO LÄN</t>
        </is>
      </c>
      <c r="G63" t="inlineStr">
        <is>
          <t>DEGERFORS</t>
        </is>
      </c>
      <c r="H63" t="inlineStr">
        <is>
          <t>Sveaskog</t>
        </is>
      </c>
      <c r="I63" t="n">
        <v>1.6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38874-2025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45887</v>
      </c>
      <c r="E64" s="1" t="n">
        <v>46319</v>
      </c>
      <c r="F64" t="inlineStr">
        <is>
          <t>ÖREBRO LÄN</t>
        </is>
      </c>
      <c r="G64" t="inlineStr">
        <is>
          <t>DEGERFORS</t>
        </is>
      </c>
      <c r="H64" t="inlineStr">
        <is>
          <t>Sveaskog</t>
        </is>
      </c>
      <c r="I64" t="n">
        <v>8.300000000000001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63008-2021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44505</v>
      </c>
      <c r="E65" s="1" t="n">
        <v>46319</v>
      </c>
      <c r="F65" t="inlineStr">
        <is>
          <t>ÖREBRO LÄN</t>
        </is>
      </c>
      <c r="G65" t="inlineStr">
        <is>
          <t>DEGERFORS</t>
        </is>
      </c>
      <c r="H65" t="inlineStr">
        <is>
          <t>Sveaskog</t>
        </is>
      </c>
      <c r="I65" t="n">
        <v>1.5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38875-2025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45887</v>
      </c>
      <c r="E66" s="1" t="n">
        <v>46319</v>
      </c>
      <c r="F66" t="inlineStr">
        <is>
          <t>ÖREBRO LÄN</t>
        </is>
      </c>
      <c r="G66" t="inlineStr">
        <is>
          <t>DEGERFORS</t>
        </is>
      </c>
      <c r="H66" t="inlineStr">
        <is>
          <t>Sveaskog</t>
        </is>
      </c>
      <c r="I66" t="n">
        <v>1.9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45365-2023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45192</v>
      </c>
      <c r="E67" s="1" t="n">
        <v>46319</v>
      </c>
      <c r="F67" t="inlineStr">
        <is>
          <t>ÖREBRO LÄN</t>
        </is>
      </c>
      <c r="G67" t="inlineStr">
        <is>
          <t>DEGERFORS</t>
        </is>
      </c>
      <c r="I67" t="n">
        <v>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37672-2024</t>
        </is>
      </c>
      <c r="B68" t="inlineStr">
        <is>
          <t>avverkningsanmälan</t>
        </is>
      </c>
      <c r="C68" t="inlineStr">
        <is>
          <t>Avverkning för att bevara och utveckla /försöksver</t>
        </is>
      </c>
      <c r="D68" s="1" t="n">
        <v>45541</v>
      </c>
      <c r="E68" s="1" t="n">
        <v>46319</v>
      </c>
      <c r="F68" t="inlineStr">
        <is>
          <t>ÖREBRO LÄN</t>
        </is>
      </c>
      <c r="G68" t="inlineStr">
        <is>
          <t>DEGERFORS</t>
        </is>
      </c>
      <c r="H68" t="inlineStr">
        <is>
          <t>Sveaskog</t>
        </is>
      </c>
      <c r="I68" t="n">
        <v>0.6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45861-2023</t>
        </is>
      </c>
      <c r="B69" t="inlineStr">
        <is>
          <t>avverkningsanmälan</t>
        </is>
      </c>
      <c r="C69" t="inlineStr">
        <is>
          <t>Avverkning för annat ändamål</t>
        </is>
      </c>
      <c r="D69" s="1" t="n">
        <v>45195</v>
      </c>
      <c r="E69" s="1" t="n">
        <v>46319</v>
      </c>
      <c r="F69" t="inlineStr">
        <is>
          <t>ÖREBRO LÄN</t>
        </is>
      </c>
      <c r="G69" t="inlineStr">
        <is>
          <t>DEGERFORS</t>
        </is>
      </c>
      <c r="H69" t="inlineStr">
        <is>
          <t>Sveaskog</t>
        </is>
      </c>
      <c r="I69" t="n">
        <v>0.7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6394-2024</t>
        </is>
      </c>
      <c r="B70" t="inlineStr">
        <is>
          <t>avverkningsanmälan</t>
        </is>
      </c>
      <c r="C70" t="inlineStr">
        <is>
          <t>Avverkning för att bevara och utveckla /försöksver</t>
        </is>
      </c>
      <c r="D70" s="1" t="n">
        <v>45338</v>
      </c>
      <c r="E70" s="1" t="n">
        <v>46319</v>
      </c>
      <c r="F70" t="inlineStr">
        <is>
          <t>ÖREBRO LÄN</t>
        </is>
      </c>
      <c r="G70" t="inlineStr">
        <is>
          <t>DEGERFORS</t>
        </is>
      </c>
      <c r="H70" t="inlineStr">
        <is>
          <t>Sveaskog</t>
        </is>
      </c>
      <c r="I70" t="n">
        <v>0.9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41766-2025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45902</v>
      </c>
      <c r="E71" s="1" t="n">
        <v>46319</v>
      </c>
      <c r="F71" t="inlineStr">
        <is>
          <t>ÖREBRO LÄN</t>
        </is>
      </c>
      <c r="G71" t="inlineStr">
        <is>
          <t>DEGERFORS</t>
        </is>
      </c>
      <c r="H71" t="inlineStr">
        <is>
          <t>Sveaskog</t>
        </is>
      </c>
      <c r="I71" t="n">
        <v>3.2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41767-2025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45902</v>
      </c>
      <c r="E72" s="1" t="n">
        <v>46319</v>
      </c>
      <c r="F72" t="inlineStr">
        <is>
          <t>ÖREBRO LÄN</t>
        </is>
      </c>
      <c r="G72" t="inlineStr">
        <is>
          <t>DEGERFORS</t>
        </is>
      </c>
      <c r="H72" t="inlineStr">
        <is>
          <t>Sveaskog</t>
        </is>
      </c>
      <c r="I72" t="n">
        <v>1.1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14678-2025</t>
        </is>
      </c>
      <c r="B73" t="inlineStr">
        <is>
          <t>avverkningsanmälan</t>
        </is>
      </c>
      <c r="C73" t="inlineStr">
        <is>
          <t>Avverkning för att bevara och utveckla /försöksver</t>
        </is>
      </c>
      <c r="D73" s="1" t="n">
        <v>45742</v>
      </c>
      <c r="E73" s="1" t="n">
        <v>46319</v>
      </c>
      <c r="F73" t="inlineStr">
        <is>
          <t>ÖREBRO LÄN</t>
        </is>
      </c>
      <c r="G73" t="inlineStr">
        <is>
          <t>DEGERFORS</t>
        </is>
      </c>
      <c r="H73" t="inlineStr">
        <is>
          <t>Sveaskog</t>
        </is>
      </c>
      <c r="I73" t="n">
        <v>1.9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43691-2025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45912</v>
      </c>
      <c r="E74" s="1" t="n">
        <v>46319</v>
      </c>
      <c r="F74" t="inlineStr">
        <is>
          <t>ÖREBRO LÄN</t>
        </is>
      </c>
      <c r="G74" t="inlineStr">
        <is>
          <t>DEGERFORS</t>
        </is>
      </c>
      <c r="H74" t="inlineStr">
        <is>
          <t>Sveaskog</t>
        </is>
      </c>
      <c r="I74" t="n">
        <v>2.7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23230-2026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46162</v>
      </c>
      <c r="E75" s="1" t="n">
        <v>46319</v>
      </c>
      <c r="F75" t="inlineStr">
        <is>
          <t>ÖREBRO LÄN</t>
        </is>
      </c>
      <c r="G75" t="inlineStr">
        <is>
          <t>DEGERFORS</t>
        </is>
      </c>
      <c r="H75" t="inlineStr">
        <is>
          <t>Sveaskog</t>
        </is>
      </c>
      <c r="I75" t="n">
        <v>0.9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43689-2025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45912</v>
      </c>
      <c r="E76" s="1" t="n">
        <v>46319</v>
      </c>
      <c r="F76" t="inlineStr">
        <is>
          <t>ÖREBRO LÄN</t>
        </is>
      </c>
      <c r="G76" t="inlineStr">
        <is>
          <t>DEGERFORS</t>
        </is>
      </c>
      <c r="H76" t="inlineStr">
        <is>
          <t>Sveaskog</t>
        </is>
      </c>
      <c r="I76" t="n">
        <v>1.4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23229-2026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46162</v>
      </c>
      <c r="E77" s="1" t="n">
        <v>46319</v>
      </c>
      <c r="F77" t="inlineStr">
        <is>
          <t>ÖREBRO LÄN</t>
        </is>
      </c>
      <c r="G77" t="inlineStr">
        <is>
          <t>DEGERFORS</t>
        </is>
      </c>
      <c r="H77" t="inlineStr">
        <is>
          <t>Sveaskog</t>
        </is>
      </c>
      <c r="I77" t="n">
        <v>2.9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43694-2025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45912</v>
      </c>
      <c r="E78" s="1" t="n">
        <v>46319</v>
      </c>
      <c r="F78" t="inlineStr">
        <is>
          <t>ÖREBRO LÄN</t>
        </is>
      </c>
      <c r="G78" t="inlineStr">
        <is>
          <t>DEGERFORS</t>
        </is>
      </c>
      <c r="H78" t="inlineStr">
        <is>
          <t>Sveaskog</t>
        </is>
      </c>
      <c r="I78" t="n">
        <v>6.6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2565-2022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44579</v>
      </c>
      <c r="E79" s="1" t="n">
        <v>46319</v>
      </c>
      <c r="F79" t="inlineStr">
        <is>
          <t>ÖREBRO LÄN</t>
        </is>
      </c>
      <c r="G79" t="inlineStr">
        <is>
          <t>DEGERFORS</t>
        </is>
      </c>
      <c r="I79" t="n">
        <v>1.4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23854-2026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46167</v>
      </c>
      <c r="E80" s="1" t="n">
        <v>46319</v>
      </c>
      <c r="F80" t="inlineStr">
        <is>
          <t>ÖREBRO LÄN</t>
        </is>
      </c>
      <c r="G80" t="inlineStr">
        <is>
          <t>DEGERFORS</t>
        </is>
      </c>
      <c r="H80" t="inlineStr">
        <is>
          <t>Sveaskog</t>
        </is>
      </c>
      <c r="I80" t="n">
        <v>20.9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24462-2026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46170</v>
      </c>
      <c r="E81" s="1" t="n">
        <v>46319</v>
      </c>
      <c r="F81" t="inlineStr">
        <is>
          <t>ÖREBRO LÄN</t>
        </is>
      </c>
      <c r="G81" t="inlineStr">
        <is>
          <t>DEGERFORS</t>
        </is>
      </c>
      <c r="I81" t="n">
        <v>0.8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18675-2025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45763</v>
      </c>
      <c r="E82" s="1" t="n">
        <v>46319</v>
      </c>
      <c r="F82" t="inlineStr">
        <is>
          <t>ÖREBRO LÄN</t>
        </is>
      </c>
      <c r="G82" t="inlineStr">
        <is>
          <t>DEGERFORS</t>
        </is>
      </c>
      <c r="I82" t="n">
        <v>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24689-2026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46171</v>
      </c>
      <c r="E83" s="1" t="n">
        <v>46319</v>
      </c>
      <c r="F83" t="inlineStr">
        <is>
          <t>ÖREBRO LÄN</t>
        </is>
      </c>
      <c r="G83" t="inlineStr">
        <is>
          <t>DEGERFORS</t>
        </is>
      </c>
      <c r="H83" t="inlineStr">
        <is>
          <t>Sveaskog</t>
        </is>
      </c>
      <c r="I83" t="n">
        <v>15.5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24460-2026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46170</v>
      </c>
      <c r="E84" s="1" t="n">
        <v>46319</v>
      </c>
      <c r="F84" t="inlineStr">
        <is>
          <t>ÖREBRO LÄN</t>
        </is>
      </c>
      <c r="G84" t="inlineStr">
        <is>
          <t>DEGERFORS</t>
        </is>
      </c>
      <c r="I84" t="n">
        <v>1.1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10674-2024</t>
        </is>
      </c>
      <c r="B85" t="inlineStr">
        <is>
          <t>avverkningsanmälan</t>
        </is>
      </c>
      <c r="C85" t="inlineStr">
        <is>
          <t>Avverkning för att bevara och utveckla /försöksver</t>
        </is>
      </c>
      <c r="D85" s="1" t="n">
        <v>45369</v>
      </c>
      <c r="E85" s="1" t="n">
        <v>46319</v>
      </c>
      <c r="F85" t="inlineStr">
        <is>
          <t>ÖREBRO LÄN</t>
        </is>
      </c>
      <c r="G85" t="inlineStr">
        <is>
          <t>DEGERFORS</t>
        </is>
      </c>
      <c r="H85" t="inlineStr">
        <is>
          <t>Sveaskog</t>
        </is>
      </c>
      <c r="I85" t="n">
        <v>0.3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48625-2025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45936</v>
      </c>
      <c r="E86" s="1" t="n">
        <v>46319</v>
      </c>
      <c r="F86" t="inlineStr">
        <is>
          <t>ÖREBRO LÄN</t>
        </is>
      </c>
      <c r="G86" t="inlineStr">
        <is>
          <t>DEGERFORS</t>
        </is>
      </c>
      <c r="I86" t="n">
        <v>1.6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18773-2025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45763</v>
      </c>
      <c r="E87" s="1" t="n">
        <v>46319</v>
      </c>
      <c r="F87" t="inlineStr">
        <is>
          <t>ÖREBRO LÄN</t>
        </is>
      </c>
      <c r="G87" t="inlineStr">
        <is>
          <t>DEGERFORS</t>
        </is>
      </c>
      <c r="I87" t="n">
        <v>13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51653-2023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45222</v>
      </c>
      <c r="E88" s="1" t="n">
        <v>46319</v>
      </c>
      <c r="F88" t="inlineStr">
        <is>
          <t>ÖREBRO LÄN</t>
        </is>
      </c>
      <c r="G88" t="inlineStr">
        <is>
          <t>DEGERFORS</t>
        </is>
      </c>
      <c r="H88" t="inlineStr">
        <is>
          <t>Sveaskog</t>
        </is>
      </c>
      <c r="I88" t="n">
        <v>3.9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12108-2024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45376</v>
      </c>
      <c r="E89" s="1" t="n">
        <v>46319</v>
      </c>
      <c r="F89" t="inlineStr">
        <is>
          <t>ÖREBRO LÄN</t>
        </is>
      </c>
      <c r="G89" t="inlineStr">
        <is>
          <t>DEGERFORS</t>
        </is>
      </c>
      <c r="I89" t="n">
        <v>7.7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54994-2024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45621</v>
      </c>
      <c r="E90" s="1" t="n">
        <v>46319</v>
      </c>
      <c r="F90" t="inlineStr">
        <is>
          <t>ÖREBRO LÄN</t>
        </is>
      </c>
      <c r="G90" t="inlineStr">
        <is>
          <t>DEGERFORS</t>
        </is>
      </c>
      <c r="H90" t="inlineStr">
        <is>
          <t>Sveaskog</t>
        </is>
      </c>
      <c r="I90" t="n">
        <v>0.5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38743-2022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44816</v>
      </c>
      <c r="E91" s="1" t="n">
        <v>46319</v>
      </c>
      <c r="F91" t="inlineStr">
        <is>
          <t>ÖREBRO LÄN</t>
        </is>
      </c>
      <c r="G91" t="inlineStr">
        <is>
          <t>DEGERFORS</t>
        </is>
      </c>
      <c r="H91" t="inlineStr">
        <is>
          <t>Sveaskog</t>
        </is>
      </c>
      <c r="I91" t="n">
        <v>1.6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13405-2024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45387</v>
      </c>
      <c r="E92" s="1" t="n">
        <v>46319</v>
      </c>
      <c r="F92" t="inlineStr">
        <is>
          <t>ÖREBRO LÄN</t>
        </is>
      </c>
      <c r="G92" t="inlineStr">
        <is>
          <t>DEGERFORS</t>
        </is>
      </c>
      <c r="I92" t="n">
        <v>0.9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51040-2025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45947</v>
      </c>
      <c r="E93" s="1" t="n">
        <v>46319</v>
      </c>
      <c r="F93" t="inlineStr">
        <is>
          <t>ÖREBRO LÄN</t>
        </is>
      </c>
      <c r="G93" t="inlineStr">
        <is>
          <t>DEGERFORS</t>
        </is>
      </c>
      <c r="H93" t="inlineStr">
        <is>
          <t>Sveaskog</t>
        </is>
      </c>
      <c r="I93" t="n">
        <v>1.1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52099-2025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45952</v>
      </c>
      <c r="E94" s="1" t="n">
        <v>46319</v>
      </c>
      <c r="F94" t="inlineStr">
        <is>
          <t>ÖREBRO LÄN</t>
        </is>
      </c>
      <c r="G94" t="inlineStr">
        <is>
          <t>DEGERFORS</t>
        </is>
      </c>
      <c r="I94" t="n">
        <v>2.6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26857-2026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46185</v>
      </c>
      <c r="E95" s="1" t="n">
        <v>46319</v>
      </c>
      <c r="F95" t="inlineStr">
        <is>
          <t>ÖREBRO LÄN</t>
        </is>
      </c>
      <c r="G95" t="inlineStr">
        <is>
          <t>DEGERFORS</t>
        </is>
      </c>
      <c r="H95" t="inlineStr">
        <is>
          <t>Sveaskog</t>
        </is>
      </c>
      <c r="I95" t="n">
        <v>15.1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26947-2026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46185</v>
      </c>
      <c r="E96" s="1" t="n">
        <v>46319</v>
      </c>
      <c r="F96" t="inlineStr">
        <is>
          <t>ÖREBRO LÄN</t>
        </is>
      </c>
      <c r="G96" t="inlineStr">
        <is>
          <t>DEGERFORS</t>
        </is>
      </c>
      <c r="H96" t="inlineStr">
        <is>
          <t>Sveaskog</t>
        </is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26946-2026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46185</v>
      </c>
      <c r="E97" s="1" t="n">
        <v>46319</v>
      </c>
      <c r="F97" t="inlineStr">
        <is>
          <t>ÖREBRO LÄN</t>
        </is>
      </c>
      <c r="G97" t="inlineStr">
        <is>
          <t>DEGERFORS</t>
        </is>
      </c>
      <c r="H97" t="inlineStr">
        <is>
          <t>Sveaskog</t>
        </is>
      </c>
      <c r="I97" t="n">
        <v>1.8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26176-2024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45468</v>
      </c>
      <c r="E98" s="1" t="n">
        <v>46319</v>
      </c>
      <c r="F98" t="inlineStr">
        <is>
          <t>ÖREBRO LÄN</t>
        </is>
      </c>
      <c r="G98" t="inlineStr">
        <is>
          <t>DEGERFORS</t>
        </is>
      </c>
      <c r="H98" t="inlineStr">
        <is>
          <t>Sveaskog</t>
        </is>
      </c>
      <c r="I98" t="n">
        <v>0.7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27411-2026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46189</v>
      </c>
      <c r="E99" s="1" t="n">
        <v>46319</v>
      </c>
      <c r="F99" t="inlineStr">
        <is>
          <t>ÖREBRO LÄN</t>
        </is>
      </c>
      <c r="G99" t="inlineStr">
        <is>
          <t>DEGERFORS</t>
        </is>
      </c>
      <c r="H99" t="inlineStr">
        <is>
          <t>Sveaskog</t>
        </is>
      </c>
      <c r="I99" t="n">
        <v>1.4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8059-2024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45351</v>
      </c>
      <c r="E100" s="1" t="n">
        <v>46319</v>
      </c>
      <c r="F100" t="inlineStr">
        <is>
          <t>ÖREBRO LÄN</t>
        </is>
      </c>
      <c r="G100" t="inlineStr">
        <is>
          <t>DEGERFORS</t>
        </is>
      </c>
      <c r="H100" t="inlineStr">
        <is>
          <t>Sveaskog</t>
        </is>
      </c>
      <c r="I100" t="n">
        <v>1.6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27745-2026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46191</v>
      </c>
      <c r="E101" s="1" t="n">
        <v>46319</v>
      </c>
      <c r="F101" t="inlineStr">
        <is>
          <t>ÖREBRO LÄN</t>
        </is>
      </c>
      <c r="G101" t="inlineStr">
        <is>
          <t>DEGERFORS</t>
        </is>
      </c>
      <c r="H101" t="inlineStr">
        <is>
          <t>Sveaskog</t>
        </is>
      </c>
      <c r="I101" t="n">
        <v>1.7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27746-2026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46191</v>
      </c>
      <c r="E102" s="1" t="n">
        <v>46319</v>
      </c>
      <c r="F102" t="inlineStr">
        <is>
          <t>ÖREBRO LÄN</t>
        </is>
      </c>
      <c r="G102" t="inlineStr">
        <is>
          <t>DEGERFORS</t>
        </is>
      </c>
      <c r="H102" t="inlineStr">
        <is>
          <t>Sveaskog</t>
        </is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55341-2025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45971</v>
      </c>
      <c r="E103" s="1" t="n">
        <v>46319</v>
      </c>
      <c r="F103" t="inlineStr">
        <is>
          <t>ÖREBRO LÄN</t>
        </is>
      </c>
      <c r="G103" t="inlineStr">
        <is>
          <t>DEGERFORS</t>
        </is>
      </c>
      <c r="H103" t="inlineStr">
        <is>
          <t>Sveaskog</t>
        </is>
      </c>
      <c r="I103" t="n">
        <v>3.4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54515-2023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45233</v>
      </c>
      <c r="E104" s="1" t="n">
        <v>46319</v>
      </c>
      <c r="F104" t="inlineStr">
        <is>
          <t>ÖREBRO LÄN</t>
        </is>
      </c>
      <c r="G104" t="inlineStr">
        <is>
          <t>DEGERFORS</t>
        </is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28696-2026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46198</v>
      </c>
      <c r="E105" s="1" t="n">
        <v>46319</v>
      </c>
      <c r="F105" t="inlineStr">
        <is>
          <t>ÖREBRO LÄN</t>
        </is>
      </c>
      <c r="G105" t="inlineStr">
        <is>
          <t>DEGERFORS</t>
        </is>
      </c>
      <c r="H105" t="inlineStr">
        <is>
          <t>Sveaskog</t>
        </is>
      </c>
      <c r="I105" t="n">
        <v>2.5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28708-2026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46198</v>
      </c>
      <c r="E106" s="1" t="n">
        <v>46319</v>
      </c>
      <c r="F106" t="inlineStr">
        <is>
          <t>ÖREBRO LÄN</t>
        </is>
      </c>
      <c r="G106" t="inlineStr">
        <is>
          <t>DEGERFORS</t>
        </is>
      </c>
      <c r="H106" t="inlineStr">
        <is>
          <t>Sveaskog</t>
        </is>
      </c>
      <c r="I106" t="n">
        <v>2.8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38738-2022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44816</v>
      </c>
      <c r="E107" s="1" t="n">
        <v>46319</v>
      </c>
      <c r="F107" t="inlineStr">
        <is>
          <t>ÖREBRO LÄN</t>
        </is>
      </c>
      <c r="G107" t="inlineStr">
        <is>
          <t>DEGERFORS</t>
        </is>
      </c>
      <c r="H107" t="inlineStr">
        <is>
          <t>Sveaskog</t>
        </is>
      </c>
      <c r="I107" t="n">
        <v>0.9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28930-2026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46199</v>
      </c>
      <c r="E108" s="1" t="n">
        <v>46319</v>
      </c>
      <c r="F108" t="inlineStr">
        <is>
          <t>ÖREBRO LÄN</t>
        </is>
      </c>
      <c r="G108" t="inlineStr">
        <is>
          <t>DEGERFORS</t>
        </is>
      </c>
      <c r="I108" t="n">
        <v>2.7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28695-2026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46198</v>
      </c>
      <c r="E109" s="1" t="n">
        <v>46319</v>
      </c>
      <c r="F109" t="inlineStr">
        <is>
          <t>ÖREBRO LÄN</t>
        </is>
      </c>
      <c r="G109" t="inlineStr">
        <is>
          <t>DEGERFORS</t>
        </is>
      </c>
      <c r="H109" t="inlineStr">
        <is>
          <t>Sveaskog</t>
        </is>
      </c>
      <c r="I109" t="n">
        <v>2.7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29130-2026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46202</v>
      </c>
      <c r="E110" s="1" t="n">
        <v>46319</v>
      </c>
      <c r="F110" t="inlineStr">
        <is>
          <t>ÖREBRO LÄN</t>
        </is>
      </c>
      <c r="G110" t="inlineStr">
        <is>
          <t>DEGERFORS</t>
        </is>
      </c>
      <c r="H110" t="inlineStr">
        <is>
          <t>Sveaskog</t>
        </is>
      </c>
      <c r="I110" t="n">
        <v>10.3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57086-2025</t>
        </is>
      </c>
      <c r="B111" t="inlineStr">
        <is>
          <t>avverkningsanmälan</t>
        </is>
      </c>
      <c r="C111" t="inlineStr">
        <is>
          <t>Avverkning för att bevara och utveckla /försöksver</t>
        </is>
      </c>
      <c r="D111" s="1" t="n">
        <v>45979</v>
      </c>
      <c r="E111" s="1" t="n">
        <v>46319</v>
      </c>
      <c r="F111" t="inlineStr">
        <is>
          <t>ÖREBRO LÄN</t>
        </is>
      </c>
      <c r="G111" t="inlineStr">
        <is>
          <t>DEGERFORS</t>
        </is>
      </c>
      <c r="I111" t="n">
        <v>6.1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12729-2024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45384</v>
      </c>
      <c r="E112" s="1" t="n">
        <v>46319</v>
      </c>
      <c r="F112" t="inlineStr">
        <is>
          <t>ÖREBRO LÄN</t>
        </is>
      </c>
      <c r="G112" t="inlineStr">
        <is>
          <t>DEGERFORS</t>
        </is>
      </c>
      <c r="H112" t="inlineStr">
        <is>
          <t>Sveaskog</t>
        </is>
      </c>
      <c r="I112" t="n">
        <v>2.5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10320-2023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44986</v>
      </c>
      <c r="E113" s="1" t="n">
        <v>46319</v>
      </c>
      <c r="F113" t="inlineStr">
        <is>
          <t>ÖREBRO LÄN</t>
        </is>
      </c>
      <c r="G113" t="inlineStr">
        <is>
          <t>DEGERFORS</t>
        </is>
      </c>
      <c r="I113" t="n">
        <v>2.6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7472-2025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45705</v>
      </c>
      <c r="E114" s="1" t="n">
        <v>46319</v>
      </c>
      <c r="F114" t="inlineStr">
        <is>
          <t>ÖREBRO LÄN</t>
        </is>
      </c>
      <c r="G114" t="inlineStr">
        <is>
          <t>DEGERFORS</t>
        </is>
      </c>
      <c r="H114" t="inlineStr">
        <is>
          <t>Sveaskog</t>
        </is>
      </c>
      <c r="I114" t="n">
        <v>2.6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7975-2025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45707</v>
      </c>
      <c r="E115" s="1" t="n">
        <v>46319</v>
      </c>
      <c r="F115" t="inlineStr">
        <is>
          <t>ÖREBRO LÄN</t>
        </is>
      </c>
      <c r="G115" t="inlineStr">
        <is>
          <t>DEGERFORS</t>
        </is>
      </c>
      <c r="H115" t="inlineStr">
        <is>
          <t>Sveaskog</t>
        </is>
      </c>
      <c r="I115" t="n">
        <v>5.3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18831-2025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45764</v>
      </c>
      <c r="E116" s="1" t="n">
        <v>46319</v>
      </c>
      <c r="F116" t="inlineStr">
        <is>
          <t>ÖREBRO LÄN</t>
        </is>
      </c>
      <c r="G116" t="inlineStr">
        <is>
          <t>DEGERFORS</t>
        </is>
      </c>
      <c r="H116" t="inlineStr">
        <is>
          <t>Sveaskog</t>
        </is>
      </c>
      <c r="I116" t="n">
        <v>4.2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60708-2025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45996</v>
      </c>
      <c r="E117" s="1" t="n">
        <v>46319</v>
      </c>
      <c r="F117" t="inlineStr">
        <is>
          <t>ÖREBRO LÄN</t>
        </is>
      </c>
      <c r="G117" t="inlineStr">
        <is>
          <t>DEGERFORS</t>
        </is>
      </c>
      <c r="I117" t="n">
        <v>1.9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60736-2025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45996</v>
      </c>
      <c r="E118" s="1" t="n">
        <v>46319</v>
      </c>
      <c r="F118" t="inlineStr">
        <is>
          <t>ÖREBRO LÄN</t>
        </is>
      </c>
      <c r="G118" t="inlineStr">
        <is>
          <t>DEGERFORS</t>
        </is>
      </c>
      <c r="I118" t="n">
        <v>5.8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48118-2023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45205</v>
      </c>
      <c r="E119" s="1" t="n">
        <v>46319</v>
      </c>
      <c r="F119" t="inlineStr">
        <is>
          <t>ÖREBRO LÄN</t>
        </is>
      </c>
      <c r="G119" t="inlineStr">
        <is>
          <t>DEGERFORS</t>
        </is>
      </c>
      <c r="H119" t="inlineStr">
        <is>
          <t>Sveaskog</t>
        </is>
      </c>
      <c r="I119" t="n">
        <v>1.6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38917-2023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45163</v>
      </c>
      <c r="E120" s="1" t="n">
        <v>46319</v>
      </c>
      <c r="F120" t="inlineStr">
        <is>
          <t>ÖREBRO LÄN</t>
        </is>
      </c>
      <c r="G120" t="inlineStr">
        <is>
          <t>DEGERFORS</t>
        </is>
      </c>
      <c r="H120" t="inlineStr">
        <is>
          <t>Sveaskog</t>
        </is>
      </c>
      <c r="I120" t="n">
        <v>2.2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31813-2026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46230</v>
      </c>
      <c r="E121" s="1" t="n">
        <v>46319</v>
      </c>
      <c r="F121" t="inlineStr">
        <is>
          <t>ÖREBRO LÄN</t>
        </is>
      </c>
      <c r="G121" t="inlineStr">
        <is>
          <t>DEGERFORS</t>
        </is>
      </c>
      <c r="I121" t="n">
        <v>1.8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31870-2026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46231</v>
      </c>
      <c r="E122" s="1" t="n">
        <v>46319</v>
      </c>
      <c r="F122" t="inlineStr">
        <is>
          <t>ÖREBRO LÄN</t>
        </is>
      </c>
      <c r="G122" t="inlineStr">
        <is>
          <t>DEGERFORS</t>
        </is>
      </c>
      <c r="H122" t="inlineStr">
        <is>
          <t>Sveaskog</t>
        </is>
      </c>
      <c r="I122" t="n">
        <v>1.5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31871-2026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46231</v>
      </c>
      <c r="E123" s="1" t="n">
        <v>46319</v>
      </c>
      <c r="F123" t="inlineStr">
        <is>
          <t>ÖREBRO LÄN</t>
        </is>
      </c>
      <c r="G123" t="inlineStr">
        <is>
          <t>DEGERFORS</t>
        </is>
      </c>
      <c r="H123" t="inlineStr">
        <is>
          <t>Sveaskog</t>
        </is>
      </c>
      <c r="I123" t="n">
        <v>1.9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58629-2024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45635</v>
      </c>
      <c r="E124" s="1" t="n">
        <v>46319</v>
      </c>
      <c r="F124" t="inlineStr">
        <is>
          <t>ÖREBRO LÄN</t>
        </is>
      </c>
      <c r="G124" t="inlineStr">
        <is>
          <t>DEGERFORS</t>
        </is>
      </c>
      <c r="H124" t="inlineStr">
        <is>
          <t>Sveaskog</t>
        </is>
      </c>
      <c r="I124" t="n">
        <v>1.4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27438-2024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45474</v>
      </c>
      <c r="E125" s="1" t="n">
        <v>46319</v>
      </c>
      <c r="F125" t="inlineStr">
        <is>
          <t>ÖREBRO LÄN</t>
        </is>
      </c>
      <c r="G125" t="inlineStr">
        <is>
          <t>DEGERFORS</t>
        </is>
      </c>
      <c r="I125" t="n">
        <v>2.6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50102-2023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45215</v>
      </c>
      <c r="E126" s="1" t="n">
        <v>46319</v>
      </c>
      <c r="F126" t="inlineStr">
        <is>
          <t>ÖREBRO LÄN</t>
        </is>
      </c>
      <c r="G126" t="inlineStr">
        <is>
          <t>DEGERFORS</t>
        </is>
      </c>
      <c r="H126" t="inlineStr">
        <is>
          <t>Sveaskog</t>
        </is>
      </c>
      <c r="I126" t="n">
        <v>3.9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51996-2023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45223</v>
      </c>
      <c r="E127" s="1" t="n">
        <v>46319</v>
      </c>
      <c r="F127" t="inlineStr">
        <is>
          <t>ÖREBRO LÄN</t>
        </is>
      </c>
      <c r="G127" t="inlineStr">
        <is>
          <t>DEGERFORS</t>
        </is>
      </c>
      <c r="H127" t="inlineStr">
        <is>
          <t>Sveaskog</t>
        </is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62982-2023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45272</v>
      </c>
      <c r="E128" s="1" t="n">
        <v>46319</v>
      </c>
      <c r="F128" t="inlineStr">
        <is>
          <t>ÖREBRO LÄN</t>
        </is>
      </c>
      <c r="G128" t="inlineStr">
        <is>
          <t>DEGERFORS</t>
        </is>
      </c>
      <c r="I128" t="n">
        <v>3.5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46288-2024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45581</v>
      </c>
      <c r="E129" s="1" t="n">
        <v>46319</v>
      </c>
      <c r="F129" t="inlineStr">
        <is>
          <t>ÖREBRO LÄN</t>
        </is>
      </c>
      <c r="G129" t="inlineStr">
        <is>
          <t>DEGERFORS</t>
        </is>
      </c>
      <c r="H129" t="inlineStr">
        <is>
          <t>Sveaskog</t>
        </is>
      </c>
      <c r="I129" t="n">
        <v>3.7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37809-2026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46279</v>
      </c>
      <c r="E130" s="1" t="n">
        <v>46319</v>
      </c>
      <c r="F130" t="inlineStr">
        <is>
          <t>ÖREBRO LÄN</t>
        </is>
      </c>
      <c r="G130" t="inlineStr">
        <is>
          <t>DEGERFORS</t>
        </is>
      </c>
      <c r="I130" t="n">
        <v>2.9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38126-2026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46281</v>
      </c>
      <c r="E131" s="1" t="n">
        <v>46319</v>
      </c>
      <c r="F131" t="inlineStr">
        <is>
          <t>ÖREBRO LÄN</t>
        </is>
      </c>
      <c r="G131" t="inlineStr">
        <is>
          <t>DEGERFORS</t>
        </is>
      </c>
      <c r="H131" t="inlineStr">
        <is>
          <t>Sveaskog</t>
        </is>
      </c>
      <c r="I131" t="n">
        <v>5.5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38463-2026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46282</v>
      </c>
      <c r="E132" s="1" t="n">
        <v>46319</v>
      </c>
      <c r="F132" t="inlineStr">
        <is>
          <t>ÖREBRO LÄN</t>
        </is>
      </c>
      <c r="G132" t="inlineStr">
        <is>
          <t>DEGERFORS</t>
        </is>
      </c>
      <c r="I132" t="n">
        <v>3.4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770-2026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46027</v>
      </c>
      <c r="E133" s="1" t="n">
        <v>46319</v>
      </c>
      <c r="F133" t="inlineStr">
        <is>
          <t>ÖREBRO LÄN</t>
        </is>
      </c>
      <c r="G133" t="inlineStr">
        <is>
          <t>DEGERFORS</t>
        </is>
      </c>
      <c r="I133" t="n">
        <v>2.2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32508-2026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46239</v>
      </c>
      <c r="E134" s="1" t="n">
        <v>46319</v>
      </c>
      <c r="F134" t="inlineStr">
        <is>
          <t>ÖREBRO LÄN</t>
        </is>
      </c>
      <c r="G134" t="inlineStr">
        <is>
          <t>DEGERFORS</t>
        </is>
      </c>
      <c r="H134" t="inlineStr">
        <is>
          <t>Sveaskog</t>
        </is>
      </c>
      <c r="I134" t="n">
        <v>1.1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32506-2026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46239</v>
      </c>
      <c r="E135" s="1" t="n">
        <v>46319</v>
      </c>
      <c r="F135" t="inlineStr">
        <is>
          <t>ÖREBRO LÄN</t>
        </is>
      </c>
      <c r="G135" t="inlineStr">
        <is>
          <t>DEGERFORS</t>
        </is>
      </c>
      <c r="H135" t="inlineStr">
        <is>
          <t>Sveaskog</t>
        </is>
      </c>
      <c r="I135" t="n">
        <v>1.1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38659-2026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46283</v>
      </c>
      <c r="E136" s="1" t="n">
        <v>46319</v>
      </c>
      <c r="F136" t="inlineStr">
        <is>
          <t>ÖREBRO LÄN</t>
        </is>
      </c>
      <c r="G136" t="inlineStr">
        <is>
          <t>DEGERFORS</t>
        </is>
      </c>
      <c r="H136" t="inlineStr">
        <is>
          <t>Sveaskog</t>
        </is>
      </c>
      <c r="I136" t="n">
        <v>4.6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21935-2024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45443</v>
      </c>
      <c r="E137" s="1" t="n">
        <v>46319</v>
      </c>
      <c r="F137" t="inlineStr">
        <is>
          <t>ÖREBRO LÄN</t>
        </is>
      </c>
      <c r="G137" t="inlineStr">
        <is>
          <t>DEGERFORS</t>
        </is>
      </c>
      <c r="H137" t="inlineStr">
        <is>
          <t>Sveaskog</t>
        </is>
      </c>
      <c r="I137" t="n">
        <v>1.8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32810-2026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46241</v>
      </c>
      <c r="E138" s="1" t="n">
        <v>46319</v>
      </c>
      <c r="F138" t="inlineStr">
        <is>
          <t>ÖREBRO LÄN</t>
        </is>
      </c>
      <c r="G138" t="inlineStr">
        <is>
          <t>DEGERFORS</t>
        </is>
      </c>
      <c r="I138" t="n">
        <v>6.1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23460-2024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45453</v>
      </c>
      <c r="E139" s="1" t="n">
        <v>46319</v>
      </c>
      <c r="F139" t="inlineStr">
        <is>
          <t>ÖREBRO LÄN</t>
        </is>
      </c>
      <c r="G139" t="inlineStr">
        <is>
          <t>DEGERFORS</t>
        </is>
      </c>
      <c r="I139" t="n">
        <v>0.7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38651-2026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46283</v>
      </c>
      <c r="E140" s="1" t="n">
        <v>46319</v>
      </c>
      <c r="F140" t="inlineStr">
        <is>
          <t>ÖREBRO LÄN</t>
        </is>
      </c>
      <c r="G140" t="inlineStr">
        <is>
          <t>DEGERFORS</t>
        </is>
      </c>
      <c r="H140" t="inlineStr">
        <is>
          <t>Sveaskog</t>
        </is>
      </c>
      <c r="I140" t="n">
        <v>11.3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3177-2022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44582</v>
      </c>
      <c r="E141" s="1" t="n">
        <v>46319</v>
      </c>
      <c r="F141" t="inlineStr">
        <is>
          <t>ÖREBRO LÄN</t>
        </is>
      </c>
      <c r="G141" t="inlineStr">
        <is>
          <t>DEGERFORS</t>
        </is>
      </c>
      <c r="I141" t="n">
        <v>3.7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5218-2024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45330</v>
      </c>
      <c r="E142" s="1" t="n">
        <v>46319</v>
      </c>
      <c r="F142" t="inlineStr">
        <is>
          <t>ÖREBRO LÄN</t>
        </is>
      </c>
      <c r="G142" t="inlineStr">
        <is>
          <t>DEGERFORS</t>
        </is>
      </c>
      <c r="H142" t="inlineStr">
        <is>
          <t>Sveaskog</t>
        </is>
      </c>
      <c r="I142" t="n">
        <v>3.3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50378-2024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45601</v>
      </c>
      <c r="E143" s="1" t="n">
        <v>46319</v>
      </c>
      <c r="F143" t="inlineStr">
        <is>
          <t>ÖREBRO LÄN</t>
        </is>
      </c>
      <c r="G143" t="inlineStr">
        <is>
          <t>DEGERFORS</t>
        </is>
      </c>
      <c r="H143" t="inlineStr">
        <is>
          <t>Sveaskog</t>
        </is>
      </c>
      <c r="I143" t="n">
        <v>4.9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24707-2025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45798</v>
      </c>
      <c r="E144" s="1" t="n">
        <v>46319</v>
      </c>
      <c r="F144" t="inlineStr">
        <is>
          <t>ÖREBRO LÄN</t>
        </is>
      </c>
      <c r="G144" t="inlineStr">
        <is>
          <t>DEGERFORS</t>
        </is>
      </c>
      <c r="I144" t="n">
        <v>0.5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26783-2025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45810</v>
      </c>
      <c r="E145" s="1" t="n">
        <v>46319</v>
      </c>
      <c r="F145" t="inlineStr">
        <is>
          <t>ÖREBRO LÄN</t>
        </is>
      </c>
      <c r="G145" t="inlineStr">
        <is>
          <t>DEGERFORS</t>
        </is>
      </c>
      <c r="I145" t="n">
        <v>2.5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26820-2025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45810</v>
      </c>
      <c r="E146" s="1" t="n">
        <v>46319</v>
      </c>
      <c r="F146" t="inlineStr">
        <is>
          <t>ÖREBRO LÄN</t>
        </is>
      </c>
      <c r="G146" t="inlineStr">
        <is>
          <t>DEGERFORS</t>
        </is>
      </c>
      <c r="I146" t="n">
        <v>0.7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28367-2025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45819</v>
      </c>
      <c r="E147" s="1" t="n">
        <v>46319</v>
      </c>
      <c r="F147" t="inlineStr">
        <is>
          <t>ÖREBRO LÄN</t>
        </is>
      </c>
      <c r="G147" t="inlineStr">
        <is>
          <t>DEGERFORS</t>
        </is>
      </c>
      <c r="H147" t="inlineStr">
        <is>
          <t>Sveaskog</t>
        </is>
      </c>
      <c r="I147" t="n">
        <v>6.1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28368-2025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45819</v>
      </c>
      <c r="E148" s="1" t="n">
        <v>46319</v>
      </c>
      <c r="F148" t="inlineStr">
        <is>
          <t>ÖREBRO LÄN</t>
        </is>
      </c>
      <c r="G148" t="inlineStr">
        <is>
          <t>DEGERFORS</t>
        </is>
      </c>
      <c r="H148" t="inlineStr">
        <is>
          <t>Sveaskog</t>
        </is>
      </c>
      <c r="I148" t="n">
        <v>8.1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23066-2022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44719</v>
      </c>
      <c r="E149" s="1" t="n">
        <v>46319</v>
      </c>
      <c r="F149" t="inlineStr">
        <is>
          <t>ÖREBRO LÄN</t>
        </is>
      </c>
      <c r="G149" t="inlineStr">
        <is>
          <t>DEGERFORS</t>
        </is>
      </c>
      <c r="I149" t="n">
        <v>2.4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9273-2026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46070</v>
      </c>
      <c r="E150" s="1" t="n">
        <v>46319</v>
      </c>
      <c r="F150" t="inlineStr">
        <is>
          <t>ÖREBRO LÄN</t>
        </is>
      </c>
      <c r="G150" t="inlineStr">
        <is>
          <t>DEGERFORS</t>
        </is>
      </c>
      <c r="I150" t="n">
        <v>2.3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12159-2026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46086</v>
      </c>
      <c r="E151" s="1" t="n">
        <v>46319</v>
      </c>
      <c r="F151" t="inlineStr">
        <is>
          <t>ÖREBRO LÄN</t>
        </is>
      </c>
      <c r="G151" t="inlineStr">
        <is>
          <t>DEGERFORS</t>
        </is>
      </c>
      <c r="H151" t="inlineStr">
        <is>
          <t>Sveaskog</t>
        </is>
      </c>
      <c r="I151" t="n">
        <v>0.9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12160-2026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46086</v>
      </c>
      <c r="E152" s="1" t="n">
        <v>46319</v>
      </c>
      <c r="F152" t="inlineStr">
        <is>
          <t>ÖREBRO LÄN</t>
        </is>
      </c>
      <c r="G152" t="inlineStr">
        <is>
          <t>DEGERFORS</t>
        </is>
      </c>
      <c r="H152" t="inlineStr">
        <is>
          <t>Sveaskog</t>
        </is>
      </c>
      <c r="I152" t="n">
        <v>0.9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13039-2026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46093</v>
      </c>
      <c r="E153" s="1" t="n">
        <v>46319</v>
      </c>
      <c r="F153" t="inlineStr">
        <is>
          <t>ÖREBRO LÄN</t>
        </is>
      </c>
      <c r="G153" t="inlineStr">
        <is>
          <t>DEGERFORS</t>
        </is>
      </c>
      <c r="H153" t="inlineStr">
        <is>
          <t>Sveaskog</t>
        </is>
      </c>
      <c r="I153" t="n">
        <v>5.1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13040-2026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46093</v>
      </c>
      <c r="E154" s="1" t="n">
        <v>46319</v>
      </c>
      <c r="F154" t="inlineStr">
        <is>
          <t>ÖREBRO LÄN</t>
        </is>
      </c>
      <c r="G154" t="inlineStr">
        <is>
          <t>DEGERFORS</t>
        </is>
      </c>
      <c r="H154" t="inlineStr">
        <is>
          <t>Sveaskog</t>
        </is>
      </c>
      <c r="I154" t="n">
        <v>7.1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12936-2026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46092</v>
      </c>
      <c r="E155" s="1" t="n">
        <v>46319</v>
      </c>
      <c r="F155" t="inlineStr">
        <is>
          <t>ÖREBRO LÄN</t>
        </is>
      </c>
      <c r="G155" t="inlineStr">
        <is>
          <t>DEGERFORS</t>
        </is>
      </c>
      <c r="H155" t="inlineStr">
        <is>
          <t>Sveaskog</t>
        </is>
      </c>
      <c r="I155" t="n">
        <v>8.800000000000001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13293-2026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46094</v>
      </c>
      <c r="E156" s="1" t="n">
        <v>46319</v>
      </c>
      <c r="F156" t="inlineStr">
        <is>
          <t>ÖREBRO LÄN</t>
        </is>
      </c>
      <c r="G156" t="inlineStr">
        <is>
          <t>DEGERFORS</t>
        </is>
      </c>
      <c r="H156" t="inlineStr">
        <is>
          <t>Sveaskog</t>
        </is>
      </c>
      <c r="I156" t="n">
        <v>1.1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33404-2025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45841</v>
      </c>
      <c r="E157" s="1" t="n">
        <v>46319</v>
      </c>
      <c r="F157" t="inlineStr">
        <is>
          <t>ÖREBRO LÄN</t>
        </is>
      </c>
      <c r="G157" t="inlineStr">
        <is>
          <t>DEGERFORS</t>
        </is>
      </c>
      <c r="I157" t="n">
        <v>1.5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31872-2026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46231</v>
      </c>
      <c r="E158" s="1" t="n">
        <v>46319</v>
      </c>
      <c r="F158" t="inlineStr">
        <is>
          <t>ÖREBRO LÄN</t>
        </is>
      </c>
      <c r="G158" t="inlineStr">
        <is>
          <t>DEGERFORS</t>
        </is>
      </c>
      <c r="H158" t="inlineStr">
        <is>
          <t>Sveaskog</t>
        </is>
      </c>
      <c r="I158" t="n">
        <v>5.2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59863-2024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45639</v>
      </c>
      <c r="E159" s="1" t="n">
        <v>46319</v>
      </c>
      <c r="F159" t="inlineStr">
        <is>
          <t>ÖREBRO LÄN</t>
        </is>
      </c>
      <c r="G159" t="inlineStr">
        <is>
          <t>DEGERFORS</t>
        </is>
      </c>
      <c r="I159" t="n">
        <v>1.6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10321-2023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44986</v>
      </c>
      <c r="E160" s="1" t="n">
        <v>46319</v>
      </c>
      <c r="F160" t="inlineStr">
        <is>
          <t>ÖREBRO LÄN</t>
        </is>
      </c>
      <c r="G160" t="inlineStr">
        <is>
          <t>DEGERFORS</t>
        </is>
      </c>
      <c r="I160" t="n">
        <v>1.3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57234-2024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45629</v>
      </c>
      <c r="E161" s="1" t="n">
        <v>46319</v>
      </c>
      <c r="F161" t="inlineStr">
        <is>
          <t>ÖREBRO LÄN</t>
        </is>
      </c>
      <c r="G161" t="inlineStr">
        <is>
          <t>DEGERFORS</t>
        </is>
      </c>
      <c r="H161" t="inlineStr">
        <is>
          <t>Sveaskog</t>
        </is>
      </c>
      <c r="I161" t="n">
        <v>0.9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41890-2026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46303</v>
      </c>
      <c r="E162" s="1" t="n">
        <v>46319</v>
      </c>
      <c r="F162" t="inlineStr">
        <is>
          <t>ÖREBRO LÄN</t>
        </is>
      </c>
      <c r="G162" t="inlineStr">
        <is>
          <t>DEGERFORS</t>
        </is>
      </c>
      <c r="H162" t="inlineStr">
        <is>
          <t>Sveaskog</t>
        </is>
      </c>
      <c r="I162" t="n">
        <v>6.3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18506-2026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46127</v>
      </c>
      <c r="E163" s="1" t="n">
        <v>46319</v>
      </c>
      <c r="F163" t="inlineStr">
        <is>
          <t>ÖREBRO LÄN</t>
        </is>
      </c>
      <c r="G163" t="inlineStr">
        <is>
          <t>DEGERFORS</t>
        </is>
      </c>
      <c r="I163" t="n">
        <v>1.6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37333-2025</t>
        </is>
      </c>
      <c r="B164" t="inlineStr">
        <is>
          <t>avverkningsanmälan</t>
        </is>
      </c>
      <c r="C164" t="inlineStr">
        <is>
          <t>Avverkning för annat ändamål</t>
        </is>
      </c>
      <c r="D164" s="1" t="n">
        <v>45876</v>
      </c>
      <c r="E164" s="1" t="n">
        <v>46319</v>
      </c>
      <c r="F164" t="inlineStr">
        <is>
          <t>ÖREBRO LÄN</t>
        </is>
      </c>
      <c r="G164" t="inlineStr">
        <is>
          <t>DEGERFORS</t>
        </is>
      </c>
      <c r="I164" t="n">
        <v>0.7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37265-2025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45876</v>
      </c>
      <c r="E165" s="1" t="n">
        <v>46319</v>
      </c>
      <c r="F165" t="inlineStr">
        <is>
          <t>ÖREBRO LÄN</t>
        </is>
      </c>
      <c r="G165" t="inlineStr">
        <is>
          <t>DEGERFORS</t>
        </is>
      </c>
      <c r="I165" t="n">
        <v>1.3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35213-2026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46260</v>
      </c>
      <c r="E166" s="1" t="n">
        <v>46319</v>
      </c>
      <c r="F166" t="inlineStr">
        <is>
          <t>ÖREBRO LÄN</t>
        </is>
      </c>
      <c r="G166" t="inlineStr">
        <is>
          <t>DEGERFORS</t>
        </is>
      </c>
      <c r="H166" t="inlineStr">
        <is>
          <t>Sveaskog</t>
        </is>
      </c>
      <c r="I166" t="n">
        <v>9.5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19227-2026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46132</v>
      </c>
      <c r="E167" s="1" t="n">
        <v>46319</v>
      </c>
      <c r="F167" t="inlineStr">
        <is>
          <t>ÖREBRO LÄN</t>
        </is>
      </c>
      <c r="G167" t="inlineStr">
        <is>
          <t>DEGERFORS</t>
        </is>
      </c>
      <c r="I167" t="n">
        <v>2.4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18913-2026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46129</v>
      </c>
      <c r="E168" s="1" t="n">
        <v>46319</v>
      </c>
      <c r="F168" t="inlineStr">
        <is>
          <t>ÖREBRO LÄN</t>
        </is>
      </c>
      <c r="G168" t="inlineStr">
        <is>
          <t>DEGERFORS</t>
        </is>
      </c>
      <c r="H168" t="inlineStr">
        <is>
          <t>Sveaskog</t>
        </is>
      </c>
      <c r="I168" t="n">
        <v>8.300000000000001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15594-2025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45747</v>
      </c>
      <c r="E169" s="1" t="n">
        <v>46319</v>
      </c>
      <c r="F169" t="inlineStr">
        <is>
          <t>ÖREBRO LÄN</t>
        </is>
      </c>
      <c r="G169" t="inlineStr">
        <is>
          <t>DEGERFORS</t>
        </is>
      </c>
      <c r="I169" t="n">
        <v>1.5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6387-2024</t>
        </is>
      </c>
      <c r="B170" t="inlineStr">
        <is>
          <t>avverkningsanmälan</t>
        </is>
      </c>
      <c r="C170" t="inlineStr">
        <is>
          <t>Avverkning för att bevara och utveckla /försöksver</t>
        </is>
      </c>
      <c r="D170" s="1" t="n">
        <v>45338</v>
      </c>
      <c r="E170" s="1" t="n">
        <v>46319</v>
      </c>
      <c r="F170" t="inlineStr">
        <is>
          <t>ÖREBRO LÄN</t>
        </is>
      </c>
      <c r="G170" t="inlineStr">
        <is>
          <t>DEGERFORS</t>
        </is>
      </c>
      <c r="H170" t="inlineStr">
        <is>
          <t>Sveaskog</t>
        </is>
      </c>
      <c r="I170" t="n">
        <v>1.8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28789-2026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46195</v>
      </c>
      <c r="E171" s="1" t="n">
        <v>46319</v>
      </c>
      <c r="F171" t="inlineStr">
        <is>
          <t>ÖREBRO LÄN</t>
        </is>
      </c>
      <c r="G171" t="inlineStr">
        <is>
          <t>DEGERFORS</t>
        </is>
      </c>
      <c r="I171" t="n">
        <v>2.7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42336-2026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46307</v>
      </c>
      <c r="E172" s="1" t="n">
        <v>46319</v>
      </c>
      <c r="F172" t="inlineStr">
        <is>
          <t>ÖREBRO LÄN</t>
        </is>
      </c>
      <c r="G172" t="inlineStr">
        <is>
          <t>DEGERFORS</t>
        </is>
      </c>
      <c r="H172" t="inlineStr">
        <is>
          <t>Sveaskog</t>
        </is>
      </c>
      <c r="I172" t="n">
        <v>7.1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59158-2022</t>
        </is>
      </c>
      <c r="B173" t="inlineStr">
        <is>
          <t>avverkningsanmälan</t>
        </is>
      </c>
      <c r="C173" t="inlineStr">
        <is>
          <t>Avverkning för att bevara och utveckla /försöksver</t>
        </is>
      </c>
      <c r="D173" s="1" t="n">
        <v>44904</v>
      </c>
      <c r="E173" s="1" t="n">
        <v>46319</v>
      </c>
      <c r="F173" t="inlineStr">
        <is>
          <t>ÖREBRO LÄN</t>
        </is>
      </c>
      <c r="G173" t="inlineStr">
        <is>
          <t>DEGERFORS</t>
        </is>
      </c>
      <c r="H173" t="inlineStr">
        <is>
          <t>Sveaskog</t>
        </is>
      </c>
      <c r="I173" t="n">
        <v>3.7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41889-2026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46303</v>
      </c>
      <c r="E174" s="1" t="n">
        <v>46319</v>
      </c>
      <c r="F174" t="inlineStr">
        <is>
          <t>ÖREBRO LÄN</t>
        </is>
      </c>
      <c r="G174" t="inlineStr">
        <is>
          <t>DEGERFORS</t>
        </is>
      </c>
      <c r="H174" t="inlineStr">
        <is>
          <t>Sveaskog</t>
        </is>
      </c>
      <c r="I174" t="n">
        <v>5.6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43752-2025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45912</v>
      </c>
      <c r="E175" s="1" t="n">
        <v>46319</v>
      </c>
      <c r="F175" t="inlineStr">
        <is>
          <t>ÖREBRO LÄN</t>
        </is>
      </c>
      <c r="G175" t="inlineStr">
        <is>
          <t>DEGERFORS</t>
        </is>
      </c>
      <c r="I175" t="n">
        <v>3.1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36336-2026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46268</v>
      </c>
      <c r="E176" s="1" t="n">
        <v>46319</v>
      </c>
      <c r="F176" t="inlineStr">
        <is>
          <t>ÖREBRO LÄN</t>
        </is>
      </c>
      <c r="G176" t="inlineStr">
        <is>
          <t>DEGERFORS</t>
        </is>
      </c>
      <c r="I176" t="n">
        <v>1.1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36339-2026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46268</v>
      </c>
      <c r="E177" s="1" t="n">
        <v>46319</v>
      </c>
      <c r="F177" t="inlineStr">
        <is>
          <t>ÖREBRO LÄN</t>
        </is>
      </c>
      <c r="G177" t="inlineStr">
        <is>
          <t>DEGERFORS</t>
        </is>
      </c>
      <c r="I177" t="n">
        <v>0.4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36345-2026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46268</v>
      </c>
      <c r="E178" s="1" t="n">
        <v>46319</v>
      </c>
      <c r="F178" t="inlineStr">
        <is>
          <t>ÖREBRO LÄN</t>
        </is>
      </c>
      <c r="G178" t="inlineStr">
        <is>
          <t>DEGERFORS</t>
        </is>
      </c>
      <c r="I178" t="n">
        <v>0.3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5277-2024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45330</v>
      </c>
      <c r="E179" s="1" t="n">
        <v>46319</v>
      </c>
      <c r="F179" t="inlineStr">
        <is>
          <t>ÖREBRO LÄN</t>
        </is>
      </c>
      <c r="G179" t="inlineStr">
        <is>
          <t>DEGERFORS</t>
        </is>
      </c>
      <c r="I179" t="n">
        <v>0.5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54082-2024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45616</v>
      </c>
      <c r="E180" s="1" t="n">
        <v>46319</v>
      </c>
      <c r="F180" t="inlineStr">
        <is>
          <t>ÖREBRO LÄN</t>
        </is>
      </c>
      <c r="G180" t="inlineStr">
        <is>
          <t>DEGERFORS</t>
        </is>
      </c>
      <c r="I180" t="n">
        <v>6.3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43768-2024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45569</v>
      </c>
      <c r="E181" s="1" t="n">
        <v>46319</v>
      </c>
      <c r="F181" t="inlineStr">
        <is>
          <t>ÖREBRO LÄN</t>
        </is>
      </c>
      <c r="G181" t="inlineStr">
        <is>
          <t>DEGERFORS</t>
        </is>
      </c>
      <c r="I181" t="n">
        <v>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20478-2026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46140</v>
      </c>
      <c r="E182" s="1" t="n">
        <v>46319</v>
      </c>
      <c r="F182" t="inlineStr">
        <is>
          <t>ÖREBRO LÄN</t>
        </is>
      </c>
      <c r="G182" t="inlineStr">
        <is>
          <t>DEGERFORS</t>
        </is>
      </c>
      <c r="H182" t="inlineStr">
        <is>
          <t>Sveaskog</t>
        </is>
      </c>
      <c r="I182" t="n">
        <v>1.1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20567-2026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46140</v>
      </c>
      <c r="E183" s="1" t="n">
        <v>46319</v>
      </c>
      <c r="F183" t="inlineStr">
        <is>
          <t>ÖREBRO LÄN</t>
        </is>
      </c>
      <c r="G183" t="inlineStr">
        <is>
          <t>DEGERFORS</t>
        </is>
      </c>
      <c r="H183" t="inlineStr">
        <is>
          <t>Sveaskog</t>
        </is>
      </c>
      <c r="I183" t="n">
        <v>7.8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20568-2026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46140</v>
      </c>
      <c r="E184" s="1" t="n">
        <v>46319</v>
      </c>
      <c r="F184" t="inlineStr">
        <is>
          <t>ÖREBRO LÄN</t>
        </is>
      </c>
      <c r="G184" t="inlineStr">
        <is>
          <t>DEGERFORS</t>
        </is>
      </c>
      <c r="H184" t="inlineStr">
        <is>
          <t>Sveaskog</t>
        </is>
      </c>
      <c r="I184" t="n">
        <v>6.3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47935-2024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45589</v>
      </c>
      <c r="E185" s="1" t="n">
        <v>46319</v>
      </c>
      <c r="F185" t="inlineStr">
        <is>
          <t>ÖREBRO LÄN</t>
        </is>
      </c>
      <c r="G185" t="inlineStr">
        <is>
          <t>DEGERFORS</t>
        </is>
      </c>
      <c r="H185" t="inlineStr">
        <is>
          <t>Sveaskog</t>
        </is>
      </c>
      <c r="I185" t="n">
        <v>2.2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21440-2026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46148</v>
      </c>
      <c r="E186" s="1" t="n">
        <v>46319</v>
      </c>
      <c r="F186" t="inlineStr">
        <is>
          <t>ÖREBRO LÄN</t>
        </is>
      </c>
      <c r="G186" t="inlineStr">
        <is>
          <t>DEGERFORS</t>
        </is>
      </c>
      <c r="H186" t="inlineStr">
        <is>
          <t>Sveaskog</t>
        </is>
      </c>
      <c r="I186" t="n">
        <v>6.5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21952-2024</t>
        </is>
      </c>
      <c r="B187" t="inlineStr">
        <is>
          <t>avverkningsanmälan</t>
        </is>
      </c>
      <c r="C187" t="inlineStr">
        <is>
          <t>Avverkning för att bevara och utveckla /försöksver</t>
        </is>
      </c>
      <c r="D187" s="1" t="n">
        <v>45443</v>
      </c>
      <c r="E187" s="1" t="n">
        <v>46319</v>
      </c>
      <c r="F187" t="inlineStr">
        <is>
          <t>ÖREBRO LÄN</t>
        </is>
      </c>
      <c r="G187" t="inlineStr">
        <is>
          <t>DEGERFORS</t>
        </is>
      </c>
      <c r="H187" t="inlineStr">
        <is>
          <t>Sveaskog</t>
        </is>
      </c>
      <c r="I187" t="n">
        <v>0.7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21442-2026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46148</v>
      </c>
      <c r="E188" s="1" t="n">
        <v>46319</v>
      </c>
      <c r="F188" t="inlineStr">
        <is>
          <t>ÖREBRO LÄN</t>
        </is>
      </c>
      <c r="G188" t="inlineStr">
        <is>
          <t>DEGERFORS</t>
        </is>
      </c>
      <c r="H188" t="inlineStr">
        <is>
          <t>Sveaskog</t>
        </is>
      </c>
      <c r="I188" t="n">
        <v>4.1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21401-2026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46148</v>
      </c>
      <c r="E189" s="1" t="n">
        <v>46319</v>
      </c>
      <c r="F189" t="inlineStr">
        <is>
          <t>ÖREBRO LÄN</t>
        </is>
      </c>
      <c r="G189" t="inlineStr">
        <is>
          <t>DEGERFORS</t>
        </is>
      </c>
      <c r="I189" t="n">
        <v>3.5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52566-2023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45219</v>
      </c>
      <c r="E190" s="1" t="n">
        <v>46319</v>
      </c>
      <c r="F190" t="inlineStr">
        <is>
          <t>ÖREBRO LÄN</t>
        </is>
      </c>
      <c r="G190" t="inlineStr">
        <is>
          <t>DEGERFORS</t>
        </is>
      </c>
      <c r="I190" t="n">
        <v>1.5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62972-2023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45272</v>
      </c>
      <c r="E191" s="1" t="n">
        <v>46319</v>
      </c>
      <c r="F191" t="inlineStr">
        <is>
          <t>ÖREBRO LÄN</t>
        </is>
      </c>
      <c r="G191" t="inlineStr">
        <is>
          <t>DEGERFORS</t>
        </is>
      </c>
      <c r="I191" t="n">
        <v>0.3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50377-2024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45601</v>
      </c>
      <c r="E192" s="1" t="n">
        <v>46319</v>
      </c>
      <c r="F192" t="inlineStr">
        <is>
          <t>ÖREBRO LÄN</t>
        </is>
      </c>
      <c r="G192" t="inlineStr">
        <is>
          <t>DEGERFORS</t>
        </is>
      </c>
      <c r="H192" t="inlineStr">
        <is>
          <t>Sveaskog</t>
        </is>
      </c>
      <c r="I192" t="n">
        <v>0.7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44841-2023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45190</v>
      </c>
      <c r="E193" s="1" t="n">
        <v>46319</v>
      </c>
      <c r="F193" t="inlineStr">
        <is>
          <t>ÖREBRO LÄN</t>
        </is>
      </c>
      <c r="G193" t="inlineStr">
        <is>
          <t>DEGERFORS</t>
        </is>
      </c>
      <c r="H193" t="inlineStr">
        <is>
          <t>Sveaskog</t>
        </is>
      </c>
      <c r="I193" t="n">
        <v>1.5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46222-2024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45581</v>
      </c>
      <c r="E194" s="1" t="n">
        <v>46319</v>
      </c>
      <c r="F194" t="inlineStr">
        <is>
          <t>ÖREBRO LÄN</t>
        </is>
      </c>
      <c r="G194" t="inlineStr">
        <is>
          <t>DEGERFORS</t>
        </is>
      </c>
      <c r="H194" t="inlineStr">
        <is>
          <t>Sveaskog</t>
        </is>
      </c>
      <c r="I194" t="n">
        <v>0.9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46219-2024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45581</v>
      </c>
      <c r="E195" s="1" t="n">
        <v>46319</v>
      </c>
      <c r="F195" t="inlineStr">
        <is>
          <t>ÖREBRO LÄN</t>
        </is>
      </c>
      <c r="G195" t="inlineStr">
        <is>
          <t>DEGERFORS</t>
        </is>
      </c>
      <c r="H195" t="inlineStr">
        <is>
          <t>Sveaskog</t>
        </is>
      </c>
      <c r="I195" t="n">
        <v>2.4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11085-2023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44986</v>
      </c>
      <c r="E196" s="1" t="n">
        <v>46319</v>
      </c>
      <c r="F196" t="inlineStr">
        <is>
          <t>ÖREBRO LÄN</t>
        </is>
      </c>
      <c r="G196" t="inlineStr">
        <is>
          <t>DEGERFORS</t>
        </is>
      </c>
      <c r="I196" t="n">
        <v>0.8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50764-2024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45602</v>
      </c>
      <c r="E197" s="1" t="n">
        <v>46319</v>
      </c>
      <c r="F197" t="inlineStr">
        <is>
          <t>ÖREBRO LÄN</t>
        </is>
      </c>
      <c r="G197" t="inlineStr">
        <is>
          <t>DEGERFORS</t>
        </is>
      </c>
      <c r="H197" t="inlineStr">
        <is>
          <t>Sveaskog</t>
        </is>
      </c>
      <c r="I197" t="n">
        <v>2.4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38921-2023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45163</v>
      </c>
      <c r="E198" s="1" t="n">
        <v>46319</v>
      </c>
      <c r="F198" t="inlineStr">
        <is>
          <t>ÖREBRO LÄN</t>
        </is>
      </c>
      <c r="G198" t="inlineStr">
        <is>
          <t>DEGERFORS</t>
        </is>
      </c>
      <c r="H198" t="inlineStr">
        <is>
          <t>Sveaskog</t>
        </is>
      </c>
      <c r="I198" t="n">
        <v>2.2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63905-2021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44509</v>
      </c>
      <c r="E199" s="1" t="n">
        <v>46319</v>
      </c>
      <c r="F199" t="inlineStr">
        <is>
          <t>ÖREBRO LÄN</t>
        </is>
      </c>
      <c r="G199" t="inlineStr">
        <is>
          <t>DEGERFORS</t>
        </is>
      </c>
      <c r="H199" t="inlineStr">
        <is>
          <t>Sveaskog</t>
        </is>
      </c>
      <c r="I199" t="n">
        <v>3.7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20577-2023</t>
        </is>
      </c>
      <c r="B200" t="inlineStr">
        <is>
          <t>avverkningsanmälan</t>
        </is>
      </c>
      <c r="C200" t="inlineStr">
        <is>
          <t>Avverkning för att bevara och utveckla /försöksver</t>
        </is>
      </c>
      <c r="D200" s="1" t="n">
        <v>45057</v>
      </c>
      <c r="E200" s="1" t="n">
        <v>46319</v>
      </c>
      <c r="F200" t="inlineStr">
        <is>
          <t>ÖREBRO LÄN</t>
        </is>
      </c>
      <c r="G200" t="inlineStr">
        <is>
          <t>DEGERFORS</t>
        </is>
      </c>
      <c r="H200" t="inlineStr">
        <is>
          <t>Sveaskog</t>
        </is>
      </c>
      <c r="I200" t="n">
        <v>1.8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10797-2023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44989</v>
      </c>
      <c r="E201" s="1" t="n">
        <v>46319</v>
      </c>
      <c r="F201" t="inlineStr">
        <is>
          <t>ÖREBRO LÄN</t>
        </is>
      </c>
      <c r="G201" t="inlineStr">
        <is>
          <t>DEGERFORS</t>
        </is>
      </c>
      <c r="I201" t="n">
        <v>9.5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44457-2022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44839</v>
      </c>
      <c r="E202" s="1" t="n">
        <v>46319</v>
      </c>
      <c r="F202" t="inlineStr">
        <is>
          <t>ÖREBRO LÄN</t>
        </is>
      </c>
      <c r="G202" t="inlineStr">
        <is>
          <t>DEGERFORS</t>
        </is>
      </c>
      <c r="I202" t="n">
        <v>6.8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29482-2023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45106</v>
      </c>
      <c r="E203" s="1" t="n">
        <v>46319</v>
      </c>
      <c r="F203" t="inlineStr">
        <is>
          <t>ÖREBRO LÄN</t>
        </is>
      </c>
      <c r="G203" t="inlineStr">
        <is>
          <t>DEGERFORS</t>
        </is>
      </c>
      <c r="I203" t="n">
        <v>0.7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13236-2025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45735</v>
      </c>
      <c r="E204" s="1" t="n">
        <v>46319</v>
      </c>
      <c r="F204" t="inlineStr">
        <is>
          <t>ÖREBRO LÄN</t>
        </is>
      </c>
      <c r="G204" t="inlineStr">
        <is>
          <t>DEGERFORS</t>
        </is>
      </c>
      <c r="H204" t="inlineStr">
        <is>
          <t>Sveaskog</t>
        </is>
      </c>
      <c r="I204" t="n">
        <v>18.5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11084-2023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44986</v>
      </c>
      <c r="E205" s="1" t="n">
        <v>46319</v>
      </c>
      <c r="F205" t="inlineStr">
        <is>
          <t>ÖREBRO LÄN</t>
        </is>
      </c>
      <c r="G205" t="inlineStr">
        <is>
          <t>DEGERFORS</t>
        </is>
      </c>
      <c r="I205" t="n">
        <v>2.7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56478-2024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45624</v>
      </c>
      <c r="E206" s="1" t="n">
        <v>46319</v>
      </c>
      <c r="F206" t="inlineStr">
        <is>
          <t>ÖREBRO LÄN</t>
        </is>
      </c>
      <c r="G206" t="inlineStr">
        <is>
          <t>DEGERFORS</t>
        </is>
      </c>
      <c r="I206" t="n">
        <v>1.4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60933-2024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45645</v>
      </c>
      <c r="E207" s="1" t="n">
        <v>46319</v>
      </c>
      <c r="F207" t="inlineStr">
        <is>
          <t>ÖREBRO LÄN</t>
        </is>
      </c>
      <c r="G207" t="inlineStr">
        <is>
          <t>DEGERFORS</t>
        </is>
      </c>
      <c r="H207" t="inlineStr">
        <is>
          <t>Sveaskog</t>
        </is>
      </c>
      <c r="I207" t="n">
        <v>1.9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61750-2021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44501</v>
      </c>
      <c r="E208" s="1" t="n">
        <v>46319</v>
      </c>
      <c r="F208" t="inlineStr">
        <is>
          <t>ÖREBRO LÄN</t>
        </is>
      </c>
      <c r="G208" t="inlineStr">
        <is>
          <t>DEGERFORS</t>
        </is>
      </c>
      <c r="H208" t="inlineStr">
        <is>
          <t>Sveaskog</t>
        </is>
      </c>
      <c r="I208" t="n">
        <v>1.8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29607-2022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44754</v>
      </c>
      <c r="E209" s="1" t="n">
        <v>46319</v>
      </c>
      <c r="F209" t="inlineStr">
        <is>
          <t>ÖREBRO LÄN</t>
        </is>
      </c>
      <c r="G209" t="inlineStr">
        <is>
          <t>DEGERFORS</t>
        </is>
      </c>
      <c r="H209" t="inlineStr">
        <is>
          <t>Sveaskog</t>
        </is>
      </c>
      <c r="I209" t="n">
        <v>2.1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6240-2024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45337</v>
      </c>
      <c r="E210" s="1" t="n">
        <v>46319</v>
      </c>
      <c r="F210" t="inlineStr">
        <is>
          <t>ÖREBRO LÄN</t>
        </is>
      </c>
      <c r="G210" t="inlineStr">
        <is>
          <t>DEGERFORS</t>
        </is>
      </c>
      <c r="I210" t="n">
        <v>1.9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33658-2024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45520</v>
      </c>
      <c r="E211" s="1" t="n">
        <v>46319</v>
      </c>
      <c r="F211" t="inlineStr">
        <is>
          <t>ÖREBRO LÄN</t>
        </is>
      </c>
      <c r="G211" t="inlineStr">
        <is>
          <t>DEGERFORS</t>
        </is>
      </c>
      <c r="I211" t="n">
        <v>2.2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38233-2023</t>
        </is>
      </c>
      <c r="B212" t="inlineStr">
        <is>
          <t>avverkningsanmälan</t>
        </is>
      </c>
      <c r="C212" t="inlineStr">
        <is>
          <t>Avverkning för att bevara och utveckla /försöksver</t>
        </is>
      </c>
      <c r="D212" s="1" t="n">
        <v>45160</v>
      </c>
      <c r="E212" s="1" t="n">
        <v>46319</v>
      </c>
      <c r="F212" t="inlineStr">
        <is>
          <t>ÖREBRO LÄN</t>
        </is>
      </c>
      <c r="G212" t="inlineStr">
        <is>
          <t>DEGERFORS</t>
        </is>
      </c>
      <c r="I212" t="n">
        <v>0.6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50766-2024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45602</v>
      </c>
      <c r="E213" s="1" t="n">
        <v>46319</v>
      </c>
      <c r="F213" t="inlineStr">
        <is>
          <t>ÖREBRO LÄN</t>
        </is>
      </c>
      <c r="G213" t="inlineStr">
        <is>
          <t>DEGERFORS</t>
        </is>
      </c>
      <c r="H213" t="inlineStr">
        <is>
          <t>Sveaskog</t>
        </is>
      </c>
      <c r="I213" t="n">
        <v>2.1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50207-2024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45600</v>
      </c>
      <c r="E214" s="1" t="n">
        <v>46319</v>
      </c>
      <c r="F214" t="inlineStr">
        <is>
          <t>ÖREBRO LÄN</t>
        </is>
      </c>
      <c r="G214" t="inlineStr">
        <is>
          <t>DEGERFORS</t>
        </is>
      </c>
      <c r="I214" t="n">
        <v>1.2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50208-2024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45600</v>
      </c>
      <c r="E215" s="1" t="n">
        <v>46319</v>
      </c>
      <c r="F215" t="inlineStr">
        <is>
          <t>ÖREBRO LÄN</t>
        </is>
      </c>
      <c r="G215" t="inlineStr">
        <is>
          <t>DEGERFORS</t>
        </is>
      </c>
      <c r="I215" t="n">
        <v>0.4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12143-2025</t>
        </is>
      </c>
      <c r="B216" t="inlineStr">
        <is>
          <t>avverkningsanmälan</t>
        </is>
      </c>
      <c r="C216" t="inlineStr">
        <is>
          <t>Avverkning för att bevara och utveckla /försöksver</t>
        </is>
      </c>
      <c r="D216" s="1" t="n">
        <v>45729</v>
      </c>
      <c r="E216" s="1" t="n">
        <v>46319</v>
      </c>
      <c r="F216" t="inlineStr">
        <is>
          <t>ÖREBRO LÄN</t>
        </is>
      </c>
      <c r="G216" t="inlineStr">
        <is>
          <t>DEGERFORS</t>
        </is>
      </c>
      <c r="H216" t="inlineStr">
        <is>
          <t>Sveaskog</t>
        </is>
      </c>
      <c r="I216" t="n">
        <v>1.3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52523-2024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45609</v>
      </c>
      <c r="E217" s="1" t="n">
        <v>46319</v>
      </c>
      <c r="F217" t="inlineStr">
        <is>
          <t>ÖREBRO LÄN</t>
        </is>
      </c>
      <c r="G217" t="inlineStr">
        <is>
          <t>DEGERFORS</t>
        </is>
      </c>
      <c r="H217" t="inlineStr">
        <is>
          <t>Sveaskog</t>
        </is>
      </c>
      <c r="I217" t="n">
        <v>4.4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8184-2022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44609</v>
      </c>
      <c r="E218" s="1" t="n">
        <v>46319</v>
      </c>
      <c r="F218" t="inlineStr">
        <is>
          <t>ÖREBRO LÄN</t>
        </is>
      </c>
      <c r="G218" t="inlineStr">
        <is>
          <t>DEGERFORS</t>
        </is>
      </c>
      <c r="I218" t="n">
        <v>1.7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60937-2024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45645</v>
      </c>
      <c r="E219" s="1" t="n">
        <v>46319</v>
      </c>
      <c r="F219" t="inlineStr">
        <is>
          <t>ÖREBRO LÄN</t>
        </is>
      </c>
      <c r="G219" t="inlineStr">
        <is>
          <t>DEGERFORS</t>
        </is>
      </c>
      <c r="H219" t="inlineStr">
        <is>
          <t>Sveaskog</t>
        </is>
      </c>
      <c r="I219" t="n">
        <v>0.6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60940-2024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45645</v>
      </c>
      <c r="E220" s="1" t="n">
        <v>46319</v>
      </c>
      <c r="F220" t="inlineStr">
        <is>
          <t>ÖREBRO LÄN</t>
        </is>
      </c>
      <c r="G220" t="inlineStr">
        <is>
          <t>DEGERFORS</t>
        </is>
      </c>
      <c r="H220" t="inlineStr">
        <is>
          <t>Sveaskog</t>
        </is>
      </c>
      <c r="I220" t="n">
        <v>1.2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44807-2023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45190</v>
      </c>
      <c r="E221" s="1" t="n">
        <v>46319</v>
      </c>
      <c r="F221" t="inlineStr">
        <is>
          <t>ÖREBRO LÄN</t>
        </is>
      </c>
      <c r="G221" t="inlineStr">
        <is>
          <t>DEGERFORS</t>
        </is>
      </c>
      <c r="H221" t="inlineStr">
        <is>
          <t>Sveaskog</t>
        </is>
      </c>
      <c r="I221" t="n">
        <v>5.4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51652-2023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45222</v>
      </c>
      <c r="E222" s="1" t="n">
        <v>46319</v>
      </c>
      <c r="F222" t="inlineStr">
        <is>
          <t>ÖREBRO LÄN</t>
        </is>
      </c>
      <c r="G222" t="inlineStr">
        <is>
          <t>DEGERFORS</t>
        </is>
      </c>
      <c r="H222" t="inlineStr">
        <is>
          <t>Sveaskog</t>
        </is>
      </c>
      <c r="I222" t="n">
        <v>1.7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33293-2023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45116</v>
      </c>
      <c r="E223" s="1" t="n">
        <v>46319</v>
      </c>
      <c r="F223" t="inlineStr">
        <is>
          <t>ÖREBRO LÄN</t>
        </is>
      </c>
      <c r="G223" t="inlineStr">
        <is>
          <t>DEGERFORS</t>
        </is>
      </c>
      <c r="I223" t="n">
        <v>17.2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32154-2023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45119</v>
      </c>
      <c r="E224" s="1" t="n">
        <v>46319</v>
      </c>
      <c r="F224" t="inlineStr">
        <is>
          <t>ÖREBRO LÄN</t>
        </is>
      </c>
      <c r="G224" t="inlineStr">
        <is>
          <t>DEGERFORS</t>
        </is>
      </c>
      <c r="I224" t="n">
        <v>2.3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8062-2024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45351</v>
      </c>
      <c r="E225" s="1" t="n">
        <v>46319</v>
      </c>
      <c r="F225" t="inlineStr">
        <is>
          <t>ÖREBRO LÄN</t>
        </is>
      </c>
      <c r="G225" t="inlineStr">
        <is>
          <t>DEGERFORS</t>
        </is>
      </c>
      <c r="H225" t="inlineStr">
        <is>
          <t>Sveaskog</t>
        </is>
      </c>
      <c r="I225" t="n">
        <v>0.8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8074-2024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45351</v>
      </c>
      <c r="E226" s="1" t="n">
        <v>46319</v>
      </c>
      <c r="F226" t="inlineStr">
        <is>
          <t>ÖREBRO LÄN</t>
        </is>
      </c>
      <c r="G226" t="inlineStr">
        <is>
          <t>DEGERFORS</t>
        </is>
      </c>
      <c r="H226" t="inlineStr">
        <is>
          <t>Sveaskog</t>
        </is>
      </c>
      <c r="I226" t="n">
        <v>0.7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60907-2023</t>
        </is>
      </c>
      <c r="B227" t="inlineStr">
        <is>
          <t>avverkningsanmälan</t>
        </is>
      </c>
      <c r="C227" t="inlineStr">
        <is>
          <t>Avverkning för annat ändamål</t>
        </is>
      </c>
      <c r="D227" s="1" t="n">
        <v>45261</v>
      </c>
      <c r="E227" s="1" t="n">
        <v>46319</v>
      </c>
      <c r="F227" t="inlineStr">
        <is>
          <t>ÖREBRO LÄN</t>
        </is>
      </c>
      <c r="G227" t="inlineStr">
        <is>
          <t>DEGERFORS</t>
        </is>
      </c>
      <c r="H227" t="inlineStr">
        <is>
          <t>Sveaskog</t>
        </is>
      </c>
      <c r="I227" t="n">
        <v>0.6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32211-2022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44781</v>
      </c>
      <c r="E228" s="1" t="n">
        <v>46319</v>
      </c>
      <c r="F228" t="inlineStr">
        <is>
          <t>ÖREBRO LÄN</t>
        </is>
      </c>
      <c r="G228" t="inlineStr">
        <is>
          <t>DEGERFORS</t>
        </is>
      </c>
      <c r="I228" t="n">
        <v>2.3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73693-2021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44552</v>
      </c>
      <c r="E229" s="1" t="n">
        <v>46319</v>
      </c>
      <c r="F229" t="inlineStr">
        <is>
          <t>ÖREBRO LÄN</t>
        </is>
      </c>
      <c r="G229" t="inlineStr">
        <is>
          <t>DEGERFORS</t>
        </is>
      </c>
      <c r="I229" t="n">
        <v>3.6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36437-2024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45535</v>
      </c>
      <c r="E230" s="1" t="n">
        <v>46319</v>
      </c>
      <c r="F230" t="inlineStr">
        <is>
          <t>ÖREBRO LÄN</t>
        </is>
      </c>
      <c r="G230" t="inlineStr">
        <is>
          <t>DEGERFORS</t>
        </is>
      </c>
      <c r="I230" t="n">
        <v>2.3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S 479-2022</t>
        </is>
      </c>
      <c r="B231" t="inlineStr">
        <is>
          <t>samrådsanmälan</t>
        </is>
      </c>
      <c r="C231" t="inlineStr">
        <is>
          <t>Skogsbilväg</t>
        </is>
      </c>
      <c r="D231" s="1" t="n">
        <v>44587</v>
      </c>
      <c r="E231" s="1" t="n">
        <v>46319</v>
      </c>
      <c r="F231" t="inlineStr">
        <is>
          <t>ÖREBRO LÄN</t>
        </is>
      </c>
      <c r="G231" t="inlineStr">
        <is>
          <t>DEGERFORS</t>
        </is>
      </c>
      <c r="I231" t="n">
        <v>1.9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S 1697-2025</t>
        </is>
      </c>
      <c r="B232" t="inlineStr">
        <is>
          <t>samrådsanmälan</t>
        </is>
      </c>
      <c r="C232" t="inlineStr">
        <is>
          <t>Annan skogsbruksåtgärd</t>
        </is>
      </c>
      <c r="D232" s="1" t="n">
        <v>45805</v>
      </c>
      <c r="E232" s="1" t="n">
        <v>46319</v>
      </c>
      <c r="F232" t="inlineStr">
        <is>
          <t>ÖREBRO LÄN</t>
        </is>
      </c>
      <c r="G232" t="inlineStr">
        <is>
          <t>DEGERFORS</t>
        </is>
      </c>
      <c r="H232" t="inlineStr">
        <is>
          <t>Sveaskog</t>
        </is>
      </c>
      <c r="I232" t="n">
        <v>2.5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S 1694-2025</t>
        </is>
      </c>
      <c r="B233" t="inlineStr">
        <is>
          <t>samrådsanmälan</t>
        </is>
      </c>
      <c r="C233" t="inlineStr">
        <is>
          <t>Annan skogsbruksåtgärd</t>
        </is>
      </c>
      <c r="D233" s="1" t="n">
        <v>45805</v>
      </c>
      <c r="E233" s="1" t="n">
        <v>46319</v>
      </c>
      <c r="F233" t="inlineStr">
        <is>
          <t>ÖREBRO LÄN</t>
        </is>
      </c>
      <c r="G233" t="inlineStr">
        <is>
          <t>DEGERFORS</t>
        </is>
      </c>
      <c r="H233" t="inlineStr">
        <is>
          <t>Sveaskog</t>
        </is>
      </c>
      <c r="I233" t="n">
        <v>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S 794-2025</t>
        </is>
      </c>
      <c r="B234" t="inlineStr">
        <is>
          <t>samrådsanmälan</t>
        </is>
      </c>
      <c r="C234" t="inlineStr">
        <is>
          <t>Annan skogsbruksåtgärd</t>
        </is>
      </c>
      <c r="D234" s="1" t="n">
        <v>45729</v>
      </c>
      <c r="E234" s="1" t="n">
        <v>46319</v>
      </c>
      <c r="F234" t="inlineStr">
        <is>
          <t>ÖREBRO LÄN</t>
        </is>
      </c>
      <c r="G234" t="inlineStr">
        <is>
          <t>DEGERFORS</t>
        </is>
      </c>
      <c r="H234" t="inlineStr">
        <is>
          <t>Sveaskog</t>
        </is>
      </c>
      <c r="I234" t="n">
        <v>2.1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S 793-2025</t>
        </is>
      </c>
      <c r="B235" t="inlineStr">
        <is>
          <t>samrådsanmälan</t>
        </is>
      </c>
      <c r="C235" t="inlineStr">
        <is>
          <t>Annan skogsbruksåtgärd</t>
        </is>
      </c>
      <c r="D235" s="1" t="n">
        <v>45729</v>
      </c>
      <c r="E235" s="1" t="n">
        <v>46319</v>
      </c>
      <c r="F235" t="inlineStr">
        <is>
          <t>ÖREBRO LÄN</t>
        </is>
      </c>
      <c r="G235" t="inlineStr">
        <is>
          <t>DEGERFORS</t>
        </is>
      </c>
      <c r="H235" t="inlineStr">
        <is>
          <t>Sveaskog</t>
        </is>
      </c>
      <c r="I235" t="n">
        <v>1.3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S 963-2025</t>
        </is>
      </c>
      <c r="B236" t="inlineStr">
        <is>
          <t>samrådsanmälan</t>
        </is>
      </c>
      <c r="C236" t="inlineStr">
        <is>
          <t>Annan skogsbruksåtgärd</t>
        </is>
      </c>
      <c r="D236" s="1" t="n">
        <v>45742</v>
      </c>
      <c r="E236" s="1" t="n">
        <v>46319</v>
      </c>
      <c r="F236" t="inlineStr">
        <is>
          <t>ÖREBRO LÄN</t>
        </is>
      </c>
      <c r="G236" t="inlineStr">
        <is>
          <t>DEGERFORS</t>
        </is>
      </c>
      <c r="H236" t="inlineStr">
        <is>
          <t>Sveaskog</t>
        </is>
      </c>
      <c r="I236" t="n">
        <v>1.9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S 964-2025</t>
        </is>
      </c>
      <c r="B237" t="inlineStr">
        <is>
          <t>samrådsanmälan</t>
        </is>
      </c>
      <c r="C237" t="inlineStr">
        <is>
          <t>Annan skogsbruksåtgärd</t>
        </is>
      </c>
      <c r="D237" s="1" t="n">
        <v>45742</v>
      </c>
      <c r="E237" s="1" t="n">
        <v>46319</v>
      </c>
      <c r="F237" t="inlineStr">
        <is>
          <t>ÖREBRO LÄN</t>
        </is>
      </c>
      <c r="G237" t="inlineStr">
        <is>
          <t>DEGERFORS</t>
        </is>
      </c>
      <c r="H237" t="inlineStr">
        <is>
          <t>Sveaskog</t>
        </is>
      </c>
      <c r="I237" t="n">
        <v>2.4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>
      <c r="A238" t="inlineStr">
        <is>
          <t>S 2595-2025</t>
        </is>
      </c>
      <c r="B238" t="inlineStr">
        <is>
          <t>samrådsanmälan</t>
        </is>
      </c>
      <c r="C238" t="inlineStr">
        <is>
          <t>Annan skogsbruksåtgärd</t>
        </is>
      </c>
      <c r="D238" s="1" t="n">
        <v>45916</v>
      </c>
      <c r="E238" s="1" t="n">
        <v>46319</v>
      </c>
      <c r="F238" t="inlineStr">
        <is>
          <t>ÖREBRO LÄN</t>
        </is>
      </c>
      <c r="G238" t="inlineStr">
        <is>
          <t>DEGERFORS</t>
        </is>
      </c>
      <c r="H238" t="inlineStr">
        <is>
          <t>Sveaskog</t>
        </is>
      </c>
      <c r="I238" t="n">
        <v>2.9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2026-10-24T02:02:24Z</dcterms:created>
  <dcterms:modified xmlns:dcterms="http://purl.org/dc/terms/" xmlns:xsi="http://www.w3.org/2001/XMLSchema-instance" xsi:type="dcterms:W3CDTF">2026-10-24T02:02:24Z</dcterms:modified>
</cp:coreProperties>
</file>