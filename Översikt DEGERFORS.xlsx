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46308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46308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46308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46308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46308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46308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46308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41519-2023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45175</v>
      </c>
      <c r="E9" s="1" t="n">
        <v>46308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19</v>
      </c>
      <c r="U9" t="n">
        <v>19</v>
      </c>
      <c r="V9" s="2" t="inlineStr">
        <is>
          <t>Tretåig hackspett
Grönpyrola
Thomsons trägnagare
Spillkråka
Tjäder
Gröngöling
Kungsfågel
Fläcknycklar</t>
        </is>
      </c>
      <c r="W9">
        <f>HYPERLINK("https://klasma.github.io/Logging_1862/artfynd/A 41519-2023 artfynd.xlsx", "A 41519-2023")</f>
        <v/>
      </c>
      <c r="X9">
        <f>HYPERLINK("https://klasma.github.io/Logging_1862/kartor/A 41519-2023 karta.png", "A 41519-2023")</f>
        <v/>
      </c>
      <c r="Y9">
        <f>HYPERLINK("https://klasma.github.io/Logging_1862/kartor_geotiff/A 41519-2023 georefererad karta.tif", "A 41519-2023")</f>
        <v/>
      </c>
      <c r="AA9">
        <f>HYPERLINK("https://klasma.github.io/Logging_1862/klagomål/A 41519-2023 FSC-klagomål.docx", "A 41519-2023")</f>
        <v/>
      </c>
      <c r="AB9">
        <f>HYPERLINK("https://klasma.github.io/Logging_1862/klagomålsmail/A 41519-2023 FSC-klagomål mail.docx", "A 41519-2023")</f>
        <v/>
      </c>
      <c r="AC9">
        <f>HYPERLINK("https://klasma.github.io/Logging_1862/tillsyn/A 41519-2023 tillsynsbegäran.docx", "A 41519-2023")</f>
        <v/>
      </c>
      <c r="AD9">
        <f>HYPERLINK("https://klasma.github.io/Logging_1862/tillsynsmail/A 41519-2023 tillsynsbegäran mail.docx", "A 41519-2023")</f>
        <v/>
      </c>
      <c r="AE9">
        <f>HYPERLINK("https://klasma.github.io/Logging_1862/fåglar/A 41519-2023 prioriterade fågelarter.docx", "A 41519-2023")</f>
        <v/>
      </c>
    </row>
    <row r="10" ht="15" customHeight="1">
      <c r="A10" t="inlineStr">
        <is>
          <t>A 25541-2023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45089</v>
      </c>
      <c r="E10" s="1" t="n">
        <v>46308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1.8</v>
      </c>
      <c r="J10" t="n">
        <v>2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8</v>
      </c>
      <c r="T10" t="n">
        <v>9</v>
      </c>
      <c r="U10" t="n">
        <v>9</v>
      </c>
      <c r="V10" s="2" t="inlineStr">
        <is>
          <t>Gräddticka
Gransotdyna
Tretåig hackspett
Ullticka
Vedflikmossa
Brandticka
Vedticka
Spillkråka</t>
        </is>
      </c>
      <c r="W10">
        <f>HYPERLINK("https://klasma.github.io/Logging_1862/artfynd/A 25541-2023 artfynd.xlsx", "A 25541-2023")</f>
        <v/>
      </c>
      <c r="X10">
        <f>HYPERLINK("https://klasma.github.io/Logging_1862/kartor/A 25541-2023 karta.png", "A 25541-2023")</f>
        <v/>
      </c>
      <c r="Y10">
        <f>HYPERLINK("https://klasma.github.io/Logging_1862/kartor_geotiff/A 25541-2023 georefererad karta.tif", "A 25541-2023")</f>
        <v/>
      </c>
      <c r="AA10">
        <f>HYPERLINK("https://klasma.github.io/Logging_1862/klagomål/A 25541-2023 FSC-klagomål.docx", "A 25541-2023")</f>
        <v/>
      </c>
      <c r="AB10">
        <f>HYPERLINK("https://klasma.github.io/Logging_1862/klagomålsmail/A 25541-2023 FSC-klagomål mail.docx", "A 25541-2023")</f>
        <v/>
      </c>
      <c r="AC10">
        <f>HYPERLINK("https://klasma.github.io/Logging_1862/tillsyn/A 25541-2023 tillsynsbegäran.docx", "A 25541-2023")</f>
        <v/>
      </c>
      <c r="AD10">
        <f>HYPERLINK("https://klasma.github.io/Logging_1862/tillsynsmail/A 25541-2023 tillsynsbegäran mail.docx", "A 25541-2023")</f>
        <v/>
      </c>
      <c r="AE10">
        <f>HYPERLINK("https://klasma.github.io/Logging_1862/fåglar/A 25541-2023 prioriterade fågelarter.docx", "A 25541-2023")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46308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46308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46308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46308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29553-2026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46204</v>
      </c>
      <c r="E15" s="1" t="n">
        <v>46308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6.5</v>
      </c>
      <c r="J15" t="n">
        <v>2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6</v>
      </c>
      <c r="U15" t="n">
        <v>2</v>
      </c>
      <c r="V15" s="2" t="inlineStr">
        <is>
          <t>Garnlav
Skuggblåslav
Talltita
Ullticka
Vedskivlav
Tofsmes</t>
        </is>
      </c>
      <c r="W15">
        <f>HYPERLINK("https://klasma.github.io/Logging_1862/artfynd/A 29553-2026 artfynd.xlsx", "A 29553-2026")</f>
        <v/>
      </c>
      <c r="X15">
        <f>HYPERLINK("https://klasma.github.io/Logging_1862/kartor/A 29553-2026 karta.png", "A 29553-2026")</f>
        <v/>
      </c>
      <c r="Y15">
        <f>HYPERLINK("https://klasma.github.io/Logging_1862/kartor_geotiff/A 29553-2026 georefererad karta.tif", "A 29553-2026")</f>
        <v/>
      </c>
      <c r="AA15">
        <f>HYPERLINK("https://klasma.github.io/Logging_1862/klagomål/A 29553-2026 FSC-klagomål.docx", "A 29553-2026")</f>
        <v/>
      </c>
      <c r="AB15">
        <f>HYPERLINK("https://klasma.github.io/Logging_1862/klagomålsmail/A 29553-2026 FSC-klagomål mail.docx", "A 29553-2026")</f>
        <v/>
      </c>
      <c r="AC15">
        <f>HYPERLINK("https://klasma.github.io/Logging_1862/tillsyn/A 29553-2026 tillsynsbegäran.docx", "A 29553-2026")</f>
        <v/>
      </c>
      <c r="AD15">
        <f>HYPERLINK("https://klasma.github.io/Logging_1862/tillsynsmail/A 29553-2026 tillsynsbegäran mail.docx", "A 29553-2026")</f>
        <v/>
      </c>
      <c r="AE15">
        <f>HYPERLINK("https://klasma.github.io/Logging_1862/fåglar/A 29553-2026 prioriterade fågelarter.docx", "A 29553-2026")</f>
        <v/>
      </c>
    </row>
    <row r="16" ht="15" customHeight="1">
      <c r="A16" t="inlineStr">
        <is>
          <t>A 73321-2021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44550</v>
      </c>
      <c r="E16" s="1" t="n">
        <v>46308</v>
      </c>
      <c r="F16" t="inlineStr">
        <is>
          <t>ÖREBRO LÄN</t>
        </is>
      </c>
      <c r="G16" t="inlineStr">
        <is>
          <t>DEGERFORS</t>
        </is>
      </c>
      <c r="I16" t="n">
        <v>17</v>
      </c>
      <c r="J16" t="n">
        <v>3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8</v>
      </c>
      <c r="U16" t="n">
        <v>8</v>
      </c>
      <c r="V16" s="2" t="inlineStr">
        <is>
          <t>Knärot
Grynig filtlav
Gulsparv
Rynkskinn
Vedticka
Spillkråka</t>
        </is>
      </c>
      <c r="W16">
        <f>HYPERLINK("https://klasma.github.io/Logging_1862/artfynd/A 73321-2021 artfynd.xlsx", "A 73321-2021")</f>
        <v/>
      </c>
      <c r="X16">
        <f>HYPERLINK("https://klasma.github.io/Logging_1862/kartor/A 73321-2021 karta.png", "A 73321-2021")</f>
        <v/>
      </c>
      <c r="Y16">
        <f>HYPERLINK("https://klasma.github.io/Logging_1862/kartor_geotiff/A 73321-2021 georefererad karta.tif", "A 73321-2021")</f>
        <v/>
      </c>
      <c r="Z16">
        <f>HYPERLINK("https://klasma.github.io/Logging_1862/knärot/A 73321-2021 karta knärot.png", "A 73321-2021")</f>
        <v/>
      </c>
      <c r="AA16">
        <f>HYPERLINK("https://klasma.github.io/Logging_1862/klagomål/A 73321-2021 FSC-klagomål.docx", "A 73321-2021")</f>
        <v/>
      </c>
      <c r="AB16">
        <f>HYPERLINK("https://klasma.github.io/Logging_1862/klagomålsmail/A 73321-2021 FSC-klagomål mail.docx", "A 73321-2021")</f>
        <v/>
      </c>
      <c r="AC16">
        <f>HYPERLINK("https://klasma.github.io/Logging_1862/tillsyn/A 73321-2021 tillsynsbegäran.docx", "A 73321-2021")</f>
        <v/>
      </c>
      <c r="AD16">
        <f>HYPERLINK("https://klasma.github.io/Logging_1862/tillsynsmail/A 73321-2021 tillsynsbegäran mail.docx", "A 73321-2021")</f>
        <v/>
      </c>
      <c r="AE16">
        <f>HYPERLINK("https://klasma.github.io/Logging_1862/fåglar/A 73321-2021 prioriterade fågelarter.docx", "A 73321-2021")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46308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46308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46308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46308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46308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46308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46308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27671-2026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46190</v>
      </c>
      <c r="E24" s="1" t="n">
        <v>46308</v>
      </c>
      <c r="F24" t="inlineStr">
        <is>
          <t>ÖREBRO LÄN</t>
        </is>
      </c>
      <c r="G24" t="inlineStr">
        <is>
          <t>DEGERFORS</t>
        </is>
      </c>
      <c r="H24" t="inlineStr">
        <is>
          <t>Sveaskog</t>
        </is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Spillkråka
Tjäder
Fläcknycklar</t>
        </is>
      </c>
      <c r="W24">
        <f>HYPERLINK("https://klasma.github.io/Logging_1862/artfynd/A 27671-2026 artfynd.xlsx", "A 27671-2026")</f>
        <v/>
      </c>
      <c r="X24">
        <f>HYPERLINK("https://klasma.github.io/Logging_1862/kartor/A 27671-2026 karta.png", "A 27671-2026")</f>
        <v/>
      </c>
      <c r="Y24">
        <f>HYPERLINK("https://klasma.github.io/Logging_1862/kartor_geotiff/A 27671-2026 georefererad karta.tif", "A 27671-2026")</f>
        <v/>
      </c>
      <c r="AA24">
        <f>HYPERLINK("https://klasma.github.io/Logging_1862/klagomål/A 27671-2026 FSC-klagomål.docx", "A 27671-2026")</f>
        <v/>
      </c>
      <c r="AB24">
        <f>HYPERLINK("https://klasma.github.io/Logging_1862/klagomålsmail/A 27671-2026 FSC-klagomål mail.docx", "A 27671-2026")</f>
        <v/>
      </c>
      <c r="AC24">
        <f>HYPERLINK("https://klasma.github.io/Logging_1862/tillsyn/A 27671-2026 tillsynsbegäran.docx", "A 27671-2026")</f>
        <v/>
      </c>
      <c r="AD24">
        <f>HYPERLINK("https://klasma.github.io/Logging_1862/tillsynsmail/A 27671-2026 tillsynsbegäran mail.docx", "A 27671-2026")</f>
        <v/>
      </c>
      <c r="AE24">
        <f>HYPERLINK("https://klasma.github.io/Logging_1862/fåglar/A 27671-2026 prioriterade fågelarter.docx", "A 27671-2026")</f>
        <v/>
      </c>
    </row>
    <row r="25" ht="15" customHeight="1">
      <c r="A25" t="inlineStr">
        <is>
          <t>A 47782-2025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46308</v>
      </c>
      <c r="F25" t="inlineStr">
        <is>
          <t>ÖREBRO LÄN</t>
        </is>
      </c>
      <c r="G25" t="inlineStr">
        <is>
          <t>DEGERFORS</t>
        </is>
      </c>
      <c r="I25" t="n">
        <v>13.4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11</v>
      </c>
      <c r="U25" t="n">
        <v>11</v>
      </c>
      <c r="V25" s="2" t="inlineStr">
        <is>
          <t>Talltita
Tretåig hackspett
Spillkråka</t>
        </is>
      </c>
      <c r="W25">
        <f>HYPERLINK("https://klasma.github.io/Logging_1862/artfynd/A 47782-2025 artfynd.xlsx", "A 47782-2025")</f>
        <v/>
      </c>
      <c r="X25">
        <f>HYPERLINK("https://klasma.github.io/Logging_1862/kartor/A 47782-2025 karta.png", "A 47782-2025")</f>
        <v/>
      </c>
      <c r="Y25">
        <f>HYPERLINK("https://klasma.github.io/Logging_1862/kartor_geotiff/A 47782-2025 georefererad karta.tif", "A 47782-2025")</f>
        <v/>
      </c>
      <c r="AA25">
        <f>HYPERLINK("https://klasma.github.io/Logging_1862/klagomål/A 47782-2025 FSC-klagomål.docx", "A 47782-2025")</f>
        <v/>
      </c>
      <c r="AB25">
        <f>HYPERLINK("https://klasma.github.io/Logging_1862/klagomålsmail/A 47782-2025 FSC-klagomål mail.docx", "A 47782-2025")</f>
        <v/>
      </c>
      <c r="AC25">
        <f>HYPERLINK("https://klasma.github.io/Logging_1862/tillsyn/A 47782-2025 tillsynsbegäran.docx", "A 47782-2025")</f>
        <v/>
      </c>
      <c r="AD25">
        <f>HYPERLINK("https://klasma.github.io/Logging_1862/tillsynsmail/A 47782-2025 tillsynsbegäran mail.docx", "A 47782-2025")</f>
        <v/>
      </c>
      <c r="AE25">
        <f>HYPERLINK("https://klasma.github.io/Logging_1862/fåglar/A 47782-2025 prioriterade fågelarter.docx", "A 47782-2025")</f>
        <v/>
      </c>
    </row>
    <row r="26" ht="15" customHeight="1">
      <c r="A26" t="inlineStr">
        <is>
          <t>A 12720-2024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45384</v>
      </c>
      <c r="E26" s="1" t="n">
        <v>46308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5.1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Svinrot
Tretåig hackspett
Fläcknycklar</t>
        </is>
      </c>
      <c r="W26">
        <f>HYPERLINK("https://klasma.github.io/Logging_1862/artfynd/A 12720-2024 artfynd.xlsx", "A 12720-2024")</f>
        <v/>
      </c>
      <c r="X26">
        <f>HYPERLINK("https://klasma.github.io/Logging_1862/kartor/A 12720-2024 karta.png", "A 12720-2024")</f>
        <v/>
      </c>
      <c r="Y26">
        <f>HYPERLINK("https://klasma.github.io/Logging_1862/kartor_geotiff/A 12720-2024 georefererad karta.tif", "A 12720-2024")</f>
        <v/>
      </c>
      <c r="AA26">
        <f>HYPERLINK("https://klasma.github.io/Logging_1862/klagomål/A 12720-2024 FSC-klagomål.docx", "A 12720-2024")</f>
        <v/>
      </c>
      <c r="AB26">
        <f>HYPERLINK("https://klasma.github.io/Logging_1862/klagomålsmail/A 12720-2024 FSC-klagomål mail.docx", "A 12720-2024")</f>
        <v/>
      </c>
      <c r="AC26">
        <f>HYPERLINK("https://klasma.github.io/Logging_1862/tillsyn/A 12720-2024 tillsynsbegäran.docx", "A 12720-2024")</f>
        <v/>
      </c>
      <c r="AD26">
        <f>HYPERLINK("https://klasma.github.io/Logging_1862/tillsynsmail/A 12720-2024 tillsynsbegäran mail.docx", "A 12720-2024")</f>
        <v/>
      </c>
      <c r="AE26">
        <f>HYPERLINK("https://klasma.github.io/Logging_1862/fåglar/A 12720-2024 prioriterade fågelarter.docx", "A 12720-2024")</f>
        <v/>
      </c>
    </row>
    <row r="27" ht="15" customHeight="1">
      <c r="A27" t="inlineStr">
        <is>
          <t>A 28976-2026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46308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2.3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Orange taggsvamp
Talltita</t>
        </is>
      </c>
      <c r="W27">
        <f>HYPERLINK("https://klasma.github.io/Logging_1862/artfynd/A 28976-2026 artfynd.xlsx", "A 28976-2026")</f>
        <v/>
      </c>
      <c r="X27">
        <f>HYPERLINK("https://klasma.github.io/Logging_1862/kartor/A 28976-2026 karta.png", "A 28976-2026")</f>
        <v/>
      </c>
      <c r="Y27">
        <f>HYPERLINK("https://klasma.github.io/Logging_1862/kartor_geotiff/A 28976-2026 georefererad karta.tif", "A 28976-2026")</f>
        <v/>
      </c>
      <c r="AA27">
        <f>HYPERLINK("https://klasma.github.io/Logging_1862/klagomål/A 28976-2026 FSC-klagomål.docx", "A 28976-2026")</f>
        <v/>
      </c>
      <c r="AB27">
        <f>HYPERLINK("https://klasma.github.io/Logging_1862/klagomålsmail/A 28976-2026 FSC-klagomål mail.docx", "A 28976-2026")</f>
        <v/>
      </c>
      <c r="AC27">
        <f>HYPERLINK("https://klasma.github.io/Logging_1862/tillsyn/A 28976-2026 tillsynsbegäran.docx", "A 28976-2026")</f>
        <v/>
      </c>
      <c r="AD27">
        <f>HYPERLINK("https://klasma.github.io/Logging_1862/tillsynsmail/A 28976-2026 tillsynsbegäran mail.docx", "A 28976-2026")</f>
        <v/>
      </c>
      <c r="AE27">
        <f>HYPERLINK("https://klasma.github.io/Logging_1862/fåglar/A 28976-2026 prioriterade fågelarter.docx", "A 28976-2026")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46308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40870-2024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45558</v>
      </c>
      <c r="E29" s="1" t="n">
        <v>46308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1.9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Spillkråka</t>
        </is>
      </c>
      <c r="W29">
        <f>HYPERLINK("https://klasma.github.io/Logging_1862/artfynd/A 40870-2024 artfynd.xlsx", "A 40870-2024")</f>
        <v/>
      </c>
      <c r="X29">
        <f>HYPERLINK("https://klasma.github.io/Logging_1862/kartor/A 40870-2024 karta.png", "A 40870-2024")</f>
        <v/>
      </c>
      <c r="Y29">
        <f>HYPERLINK("https://klasma.github.io/Logging_1862/kartor_geotiff/A 40870-2024 georefererad karta.tif", "A 40870-2024")</f>
        <v/>
      </c>
      <c r="AA29">
        <f>HYPERLINK("https://klasma.github.io/Logging_1862/klagomål/A 40870-2024 FSC-klagomål.docx", "A 40870-2024")</f>
        <v/>
      </c>
      <c r="AB29">
        <f>HYPERLINK("https://klasma.github.io/Logging_1862/klagomålsmail/A 40870-2024 FSC-klagomål mail.docx", "A 40870-2024")</f>
        <v/>
      </c>
      <c r="AC29">
        <f>HYPERLINK("https://klasma.github.io/Logging_1862/tillsyn/A 40870-2024 tillsynsbegäran.docx", "A 40870-2024")</f>
        <v/>
      </c>
      <c r="AD29">
        <f>HYPERLINK("https://klasma.github.io/Logging_1862/tillsynsmail/A 40870-2024 tillsynsbegäran mail.docx", "A 40870-2024")</f>
        <v/>
      </c>
      <c r="AE29">
        <f>HYPERLINK("https://klasma.github.io/Logging_1862/fåglar/A 40870-2024 prioriterade fågelarter.docx", "A 40870-2024")</f>
        <v/>
      </c>
    </row>
    <row r="30" ht="15" customHeight="1">
      <c r="A30" t="inlineStr">
        <is>
          <t>A 38910-2023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45163</v>
      </c>
      <c r="E30" s="1" t="n">
        <v>46308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Tjäder
Fläcknycklar</t>
        </is>
      </c>
      <c r="W30">
        <f>HYPERLINK("https://klasma.github.io/Logging_1862/artfynd/A 38910-2023 artfynd.xlsx", "A 38910-2023")</f>
        <v/>
      </c>
      <c r="X30">
        <f>HYPERLINK("https://klasma.github.io/Logging_1862/kartor/A 38910-2023 karta.png", "A 38910-2023")</f>
        <v/>
      </c>
      <c r="Y30">
        <f>HYPERLINK("https://klasma.github.io/Logging_1862/kartor_geotiff/A 38910-2023 georefererad karta.tif", "A 38910-2023")</f>
        <v/>
      </c>
      <c r="AA30">
        <f>HYPERLINK("https://klasma.github.io/Logging_1862/klagomål/A 38910-2023 FSC-klagomål.docx", "A 38910-2023")</f>
        <v/>
      </c>
      <c r="AB30">
        <f>HYPERLINK("https://klasma.github.io/Logging_1862/klagomålsmail/A 38910-2023 FSC-klagomål mail.docx", "A 38910-2023")</f>
        <v/>
      </c>
      <c r="AC30">
        <f>HYPERLINK("https://klasma.github.io/Logging_1862/tillsyn/A 38910-2023 tillsynsbegäran.docx", "A 38910-2023")</f>
        <v/>
      </c>
      <c r="AD30">
        <f>HYPERLINK("https://klasma.github.io/Logging_1862/tillsynsmail/A 38910-2023 tillsynsbegäran mail.docx", "A 38910-2023")</f>
        <v/>
      </c>
      <c r="AE30">
        <f>HYPERLINK("https://klasma.github.io/Logging_1862/fåglar/A 38910-2023 prioriterade fågelarter.docx", "A 38910-2023")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46308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46308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46308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46308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27071-2026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46186</v>
      </c>
      <c r="E35" s="1" t="n">
        <v>46308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9.9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Vedticka</t>
        </is>
      </c>
      <c r="W35">
        <f>HYPERLINK("https://klasma.github.io/Logging_1862/artfynd/A 27071-2026 artfynd.xlsx", "A 27071-2026")</f>
        <v/>
      </c>
      <c r="X35">
        <f>HYPERLINK("https://klasma.github.io/Logging_1862/kartor/A 27071-2026 karta.png", "A 27071-2026")</f>
        <v/>
      </c>
      <c r="Y35">
        <f>HYPERLINK("https://klasma.github.io/Logging_1862/kartor_geotiff/A 27071-2026 georefererad karta.tif", "A 27071-2026")</f>
        <v/>
      </c>
      <c r="AA35">
        <f>HYPERLINK("https://klasma.github.io/Logging_1862/klagomål/A 27071-2026 FSC-klagomål.docx", "A 27071-2026")</f>
        <v/>
      </c>
      <c r="AB35">
        <f>HYPERLINK("https://klasma.github.io/Logging_1862/klagomålsmail/A 27071-2026 FSC-klagomål mail.docx", "A 27071-2026")</f>
        <v/>
      </c>
      <c r="AC35">
        <f>HYPERLINK("https://klasma.github.io/Logging_1862/tillsyn/A 27071-2026 tillsynsbegäran.docx", "A 27071-2026")</f>
        <v/>
      </c>
      <c r="AD35">
        <f>HYPERLINK("https://klasma.github.io/Logging_1862/tillsynsmail/A 27071-2026 tillsynsbegäran mail.docx", "A 27071-2026")</f>
        <v/>
      </c>
    </row>
    <row r="36" ht="15" customHeight="1">
      <c r="A36" t="inlineStr">
        <is>
          <t>A 49306-2025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45938</v>
      </c>
      <c r="E36" s="1" t="n">
        <v>46308</v>
      </c>
      <c r="F36" t="inlineStr">
        <is>
          <t>ÖREBRO LÄN</t>
        </is>
      </c>
      <c r="G36" t="inlineStr">
        <is>
          <t>DEGERFORS</t>
        </is>
      </c>
      <c r="I36" t="n">
        <v>5.8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Svart trolldruva</t>
        </is>
      </c>
      <c r="W36">
        <f>HYPERLINK("https://klasma.github.io/Logging_1862/artfynd/A 49306-2025 artfynd.xlsx", "A 49306-2025")</f>
        <v/>
      </c>
      <c r="X36">
        <f>HYPERLINK("https://klasma.github.io/Logging_1862/kartor/A 49306-2025 karta.png", "A 49306-2025")</f>
        <v/>
      </c>
      <c r="Y36">
        <f>HYPERLINK("https://klasma.github.io/Logging_1862/kartor_geotiff/A 49306-2025 georefererad karta.tif", "A 49306-2025")</f>
        <v/>
      </c>
      <c r="AA36">
        <f>HYPERLINK("https://klasma.github.io/Logging_1862/klagomål/A 49306-2025 FSC-klagomål.docx", "A 49306-2025")</f>
        <v/>
      </c>
      <c r="AB36">
        <f>HYPERLINK("https://klasma.github.io/Logging_1862/klagomålsmail/A 49306-2025 FSC-klagomål mail.docx", "A 49306-2025")</f>
        <v/>
      </c>
      <c r="AC36">
        <f>HYPERLINK("https://klasma.github.io/Logging_1862/tillsyn/A 49306-2025 tillsynsbegäran.docx", "A 49306-2025")</f>
        <v/>
      </c>
      <c r="AD36">
        <f>HYPERLINK("https://klasma.github.io/Logging_1862/tillsynsmail/A 49306-2025 tillsynsbegäran mail.docx", "A 49306-2025")</f>
        <v/>
      </c>
    </row>
    <row r="37" ht="15" customHeight="1">
      <c r="A37" t="inlineStr">
        <is>
          <t>A 27072-2026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46186</v>
      </c>
      <c r="E37" s="1" t="n">
        <v>46308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7.6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HYPERLINK("https://klasma.github.io/Logging_1862/artfynd/A 27072-2026 artfynd.xlsx", "A 27072-2026")</f>
        <v/>
      </c>
      <c r="X37">
        <f>HYPERLINK("https://klasma.github.io/Logging_1862/kartor/A 27072-2026 karta.png", "A 27072-2026")</f>
        <v/>
      </c>
      <c r="Y37">
        <f>HYPERLINK("https://klasma.github.io/Logging_1862/kartor_geotiff/A 27072-2026 georefererad karta.tif", "A 27072-2026")</f>
        <v/>
      </c>
      <c r="AA37">
        <f>HYPERLINK("https://klasma.github.io/Logging_1862/klagomål/A 27072-2026 FSC-klagomål.docx", "A 27072-2026")</f>
        <v/>
      </c>
      <c r="AB37">
        <f>HYPERLINK("https://klasma.github.io/Logging_1862/klagomålsmail/A 27072-2026 FSC-klagomål mail.docx", "A 27072-2026")</f>
        <v/>
      </c>
      <c r="AC37">
        <f>HYPERLINK("https://klasma.github.io/Logging_1862/tillsyn/A 27072-2026 tillsynsbegäran.docx", "A 27072-2026")</f>
        <v/>
      </c>
      <c r="AD37">
        <f>HYPERLINK("https://klasma.github.io/Logging_1862/tillsynsmail/A 27072-2026 tillsynsbegäran mail.docx", "A 27072-2026")</f>
        <v/>
      </c>
      <c r="AE37">
        <f>HYPERLINK("https://klasma.github.io/Logging_1862/fåglar/A 27072-2026 prioriterade fågelarter.docx", "A 27072-2026")</f>
        <v/>
      </c>
    </row>
    <row r="38" ht="15" customHeight="1">
      <c r="A38" t="inlineStr">
        <is>
          <t>A 47787-2025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45931</v>
      </c>
      <c r="E38" s="1" t="n">
        <v>46308</v>
      </c>
      <c r="F38" t="inlineStr">
        <is>
          <t>ÖREBRO LÄN</t>
        </is>
      </c>
      <c r="G38" t="inlineStr">
        <is>
          <t>DEGERFORS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Tretåig hackspett</t>
        </is>
      </c>
      <c r="W38">
        <f>HYPERLINK("https://klasma.github.io/Logging_1862/artfynd/A 47787-2025 artfynd.xlsx", "A 47787-2025")</f>
        <v/>
      </c>
      <c r="X38">
        <f>HYPERLINK("https://klasma.github.io/Logging_1862/kartor/A 47787-2025 karta.png", "A 47787-2025")</f>
        <v/>
      </c>
      <c r="Y38">
        <f>HYPERLINK("https://klasma.github.io/Logging_1862/kartor_geotiff/A 47787-2025 georefererad karta.tif", "A 47787-2025")</f>
        <v/>
      </c>
      <c r="AA38">
        <f>HYPERLINK("https://klasma.github.io/Logging_1862/klagomål/A 47787-2025 FSC-klagomål.docx", "A 47787-2025")</f>
        <v/>
      </c>
      <c r="AB38">
        <f>HYPERLINK("https://klasma.github.io/Logging_1862/klagomålsmail/A 47787-2025 FSC-klagomål mail.docx", "A 47787-2025")</f>
        <v/>
      </c>
      <c r="AC38">
        <f>HYPERLINK("https://klasma.github.io/Logging_1862/tillsyn/A 47787-2025 tillsynsbegäran.docx", "A 47787-2025")</f>
        <v/>
      </c>
      <c r="AD38">
        <f>HYPERLINK("https://klasma.github.io/Logging_1862/tillsynsmail/A 47787-2025 tillsynsbegäran mail.docx", "A 47787-2025")</f>
        <v/>
      </c>
      <c r="AE38">
        <f>HYPERLINK("https://klasma.github.io/Logging_1862/fåglar/A 47787-2025 prioriterade fågelarter.docx", "A 47787-2025")</f>
        <v/>
      </c>
    </row>
    <row r="39" ht="15" customHeight="1">
      <c r="A39" t="inlineStr">
        <is>
          <t>A 53838-2024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46308</v>
      </c>
      <c r="F39" t="inlineStr">
        <is>
          <t>ÖREBRO LÄN</t>
        </is>
      </c>
      <c r="G39" t="inlineStr">
        <is>
          <t>DEGERFORS</t>
        </is>
      </c>
      <c r="I39" t="n">
        <v>4.3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53838-2024 artfynd.xlsx", "A 53838-2024")</f>
        <v/>
      </c>
      <c r="X39">
        <f>HYPERLINK("https://klasma.github.io/Logging_1862/kartor/A 53838-2024 karta.png", "A 53838-2024")</f>
        <v/>
      </c>
      <c r="Y39">
        <f>HYPERLINK("https://klasma.github.io/Logging_1862/kartor_geotiff/A 53838-2024 georefererad karta.tif", "A 53838-2024")</f>
        <v/>
      </c>
      <c r="AA39">
        <f>HYPERLINK("https://klasma.github.io/Logging_1862/klagomål/A 53838-2024 FSC-klagomål.docx", "A 53838-2024")</f>
        <v/>
      </c>
      <c r="AB39">
        <f>HYPERLINK("https://klasma.github.io/Logging_1862/klagomålsmail/A 53838-2024 FSC-klagomål mail.docx", "A 53838-2024")</f>
        <v/>
      </c>
      <c r="AC39">
        <f>HYPERLINK("https://klasma.github.io/Logging_1862/tillsyn/A 53838-2024 tillsynsbegäran.docx", "A 53838-2024")</f>
        <v/>
      </c>
      <c r="AD39">
        <f>HYPERLINK("https://klasma.github.io/Logging_1862/tillsynsmail/A 53838-2024 tillsynsbegäran mail.docx", "A 53838-2024")</f>
        <v/>
      </c>
      <c r="AE39">
        <f>HYPERLINK("https://klasma.github.io/Logging_1862/fåglar/A 53838-2024 prioriterade fågelarter.docx", "A 53838-2024")</f>
        <v/>
      </c>
    </row>
    <row r="40" ht="15" customHeight="1">
      <c r="A40" t="inlineStr">
        <is>
          <t>A 2357-2022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44578</v>
      </c>
      <c r="E40" s="1" t="n">
        <v>46308</v>
      </c>
      <c r="F40" t="inlineStr">
        <is>
          <t>ÖREBRO LÄN</t>
        </is>
      </c>
      <c r="G40" t="inlineStr">
        <is>
          <t>DEGERFORS</t>
        </is>
      </c>
      <c r="I40" t="n">
        <v>4.5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Spillkråka</t>
        </is>
      </c>
      <c r="W40">
        <f>HYPERLINK("https://klasma.github.io/Logging_1862/artfynd/A 2357-2022 artfynd.xlsx", "A 2357-2022")</f>
        <v/>
      </c>
      <c r="X40">
        <f>HYPERLINK("https://klasma.github.io/Logging_1862/kartor/A 2357-2022 karta.png", "A 2357-2022")</f>
        <v/>
      </c>
      <c r="Y40">
        <f>HYPERLINK("https://klasma.github.io/Logging_1862/kartor_geotiff/A 2357-2022 georefererad karta.tif", "A 2357-2022")</f>
        <v/>
      </c>
      <c r="AA40">
        <f>HYPERLINK("https://klasma.github.io/Logging_1862/klagomål/A 2357-2022 FSC-klagomål.docx", "A 2357-2022")</f>
        <v/>
      </c>
      <c r="AB40">
        <f>HYPERLINK("https://klasma.github.io/Logging_1862/klagomålsmail/A 2357-2022 FSC-klagomål mail.docx", "A 2357-2022")</f>
        <v/>
      </c>
      <c r="AC40">
        <f>HYPERLINK("https://klasma.github.io/Logging_1862/tillsyn/A 2357-2022 tillsynsbegäran.docx", "A 2357-2022")</f>
        <v/>
      </c>
      <c r="AD40">
        <f>HYPERLINK("https://klasma.github.io/Logging_1862/tillsynsmail/A 2357-2022 tillsynsbegäran mail.docx", "A 2357-2022")</f>
        <v/>
      </c>
      <c r="AE40">
        <f>HYPERLINK("https://klasma.github.io/Logging_1862/fåglar/A 2357-2022 prioriterade fågelarter.docx", "A 2357-2022")</f>
        <v/>
      </c>
    </row>
    <row r="41" ht="15" customHeight="1">
      <c r="A41" t="inlineStr">
        <is>
          <t>A 26971-2026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46308</v>
      </c>
      <c r="F41" t="inlineStr">
        <is>
          <t>ÖREBRO LÄN</t>
        </is>
      </c>
      <c r="G41" t="inlineStr">
        <is>
          <t>DEGERFORS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Stuplav</t>
        </is>
      </c>
      <c r="W41">
        <f>HYPERLINK("https://klasma.github.io/Logging_1862/artfynd/A 26971-2026 artfynd.xlsx", "A 26971-2026")</f>
        <v/>
      </c>
      <c r="X41">
        <f>HYPERLINK("https://klasma.github.io/Logging_1862/kartor/A 26971-2026 karta.png", "A 26971-2026")</f>
        <v/>
      </c>
      <c r="Y41">
        <f>HYPERLINK("https://klasma.github.io/Logging_1862/kartor_geotiff/A 26971-2026 georefererad karta.tif", "A 26971-2026")</f>
        <v/>
      </c>
      <c r="AA41">
        <f>HYPERLINK("https://klasma.github.io/Logging_1862/klagomål/A 26971-2026 FSC-klagomål.docx", "A 26971-2026")</f>
        <v/>
      </c>
      <c r="AB41">
        <f>HYPERLINK("https://klasma.github.io/Logging_1862/klagomålsmail/A 26971-2026 FSC-klagomål mail.docx", "A 26971-2026")</f>
        <v/>
      </c>
      <c r="AC41">
        <f>HYPERLINK("https://klasma.github.io/Logging_1862/tillsyn/A 26971-2026 tillsynsbegäran.docx", "A 26971-2026")</f>
        <v/>
      </c>
      <c r="AD41">
        <f>HYPERLINK("https://klasma.github.io/Logging_1862/tillsynsmail/A 26971-2026 tillsynsbegäran mail.docx", "A 26971-2026")</f>
        <v/>
      </c>
    </row>
    <row r="42" ht="15" customHeight="1">
      <c r="A42" t="inlineStr">
        <is>
          <t>A 38907-2023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45163</v>
      </c>
      <c r="E42" s="1" t="n">
        <v>46308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38907-2023 artfynd.xlsx", "A 38907-2023")</f>
        <v/>
      </c>
      <c r="X42">
        <f>HYPERLINK("https://klasma.github.io/Logging_1862/kartor/A 38907-2023 karta.png", "A 38907-2023")</f>
        <v/>
      </c>
      <c r="Y42">
        <f>HYPERLINK("https://klasma.github.io/Logging_1862/kartor_geotiff/A 38907-2023 georefererad karta.tif", "A 38907-2023")</f>
        <v/>
      </c>
      <c r="AA42">
        <f>HYPERLINK("https://klasma.github.io/Logging_1862/klagomål/A 38907-2023 FSC-klagomål.docx", "A 38907-2023")</f>
        <v/>
      </c>
      <c r="AB42">
        <f>HYPERLINK("https://klasma.github.io/Logging_1862/klagomålsmail/A 38907-2023 FSC-klagomål mail.docx", "A 38907-2023")</f>
        <v/>
      </c>
      <c r="AC42">
        <f>HYPERLINK("https://klasma.github.io/Logging_1862/tillsyn/A 38907-2023 tillsynsbegäran.docx", "A 38907-2023")</f>
        <v/>
      </c>
      <c r="AD42">
        <f>HYPERLINK("https://klasma.github.io/Logging_1862/tillsynsmail/A 38907-2023 tillsynsbegäran mail.docx", "A 38907-2023")</f>
        <v/>
      </c>
      <c r="AE42">
        <f>HYPERLINK("https://klasma.github.io/Logging_1862/fåglar/A 38907-2023 prioriterade fågelarter.docx", "A 38907-2023")</f>
        <v/>
      </c>
    </row>
    <row r="43" ht="15" customHeight="1">
      <c r="A43" t="inlineStr">
        <is>
          <t>A 33297-2023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45116</v>
      </c>
      <c r="E43" s="1" t="n">
        <v>46308</v>
      </c>
      <c r="F43" t="inlineStr">
        <is>
          <t>ÖREBRO LÄN</t>
        </is>
      </c>
      <c r="G43" t="inlineStr">
        <is>
          <t>DEGERFORS</t>
        </is>
      </c>
      <c r="I43" t="n">
        <v>7.2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HYPERLINK("https://klasma.github.io/Logging_1862/artfynd/A 33297-2023 artfynd.xlsx", "A 33297-2023")</f>
        <v/>
      </c>
      <c r="X43">
        <f>HYPERLINK("https://klasma.github.io/Logging_1862/kartor/A 33297-2023 karta.png", "A 33297-2023")</f>
        <v/>
      </c>
      <c r="Y43">
        <f>HYPERLINK("https://klasma.github.io/Logging_1862/kartor_geotiff/A 33297-2023 georefererad karta.tif", "A 33297-2023")</f>
        <v/>
      </c>
      <c r="AA43">
        <f>HYPERLINK("https://klasma.github.io/Logging_1862/klagomål/A 33297-2023 FSC-klagomål.docx", "A 33297-2023")</f>
        <v/>
      </c>
      <c r="AB43">
        <f>HYPERLINK("https://klasma.github.io/Logging_1862/klagomålsmail/A 33297-2023 FSC-klagomål mail.docx", "A 33297-2023")</f>
        <v/>
      </c>
      <c r="AC43">
        <f>HYPERLINK("https://klasma.github.io/Logging_1862/tillsyn/A 33297-2023 tillsynsbegäran.docx", "A 33297-2023")</f>
        <v/>
      </c>
      <c r="AD43">
        <f>HYPERLINK("https://klasma.github.io/Logging_1862/tillsynsmail/A 33297-2023 tillsynsbegäran mail.docx", "A 33297-2023")</f>
        <v/>
      </c>
    </row>
    <row r="44" ht="15" customHeight="1">
      <c r="A44" t="inlineStr">
        <is>
          <t>A 14177-2026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46308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Motaggsvamp</t>
        </is>
      </c>
      <c r="W44">
        <f>HYPERLINK("https://klasma.github.io/Logging_1862/artfynd/A 14177-2026 artfynd.xlsx", "A 14177-2026")</f>
        <v/>
      </c>
      <c r="X44">
        <f>HYPERLINK("https://klasma.github.io/Logging_1862/kartor/A 14177-2026 karta.png", "A 14177-2026")</f>
        <v/>
      </c>
      <c r="Y44">
        <f>HYPERLINK("https://klasma.github.io/Logging_1862/kartor_geotiff/A 14177-2026 georefererad karta.tif", "A 14177-2026")</f>
        <v/>
      </c>
      <c r="AA44">
        <f>HYPERLINK("https://klasma.github.io/Logging_1862/klagomål/A 14177-2026 FSC-klagomål.docx", "A 14177-2026")</f>
        <v/>
      </c>
      <c r="AB44">
        <f>HYPERLINK("https://klasma.github.io/Logging_1862/klagomålsmail/A 14177-2026 FSC-klagomål mail.docx", "A 14177-2026")</f>
        <v/>
      </c>
      <c r="AC44">
        <f>HYPERLINK("https://klasma.github.io/Logging_1862/tillsyn/A 14177-2026 tillsynsbegäran.docx", "A 14177-2026")</f>
        <v/>
      </c>
      <c r="AD44">
        <f>HYPERLINK("https://klasma.github.io/Logging_1862/tillsynsmail/A 14177-2026 tillsynsbegäran mail.docx", "A 14177-2026")</f>
        <v/>
      </c>
    </row>
    <row r="45" ht="15" customHeight="1">
      <c r="A45" t="inlineStr">
        <is>
          <t>A 38904-2023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45163</v>
      </c>
      <c r="E45" s="1" t="n">
        <v>46308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38904-2023 artfynd.xlsx", "A 38904-2023")</f>
        <v/>
      </c>
      <c r="X45">
        <f>HYPERLINK("https://klasma.github.io/Logging_1862/kartor/A 38904-2023 karta.png", "A 38904-2023")</f>
        <v/>
      </c>
      <c r="Y45">
        <f>HYPERLINK("https://klasma.github.io/Logging_1862/kartor_geotiff/A 38904-2023 georefererad karta.tif", "A 38904-2023")</f>
        <v/>
      </c>
      <c r="AA45">
        <f>HYPERLINK("https://klasma.github.io/Logging_1862/klagomål/A 38904-2023 FSC-klagomål.docx", "A 38904-2023")</f>
        <v/>
      </c>
      <c r="AB45">
        <f>HYPERLINK("https://klasma.github.io/Logging_1862/klagomålsmail/A 38904-2023 FSC-klagomål mail.docx", "A 38904-2023")</f>
        <v/>
      </c>
      <c r="AC45">
        <f>HYPERLINK("https://klasma.github.io/Logging_1862/tillsyn/A 38904-2023 tillsynsbegäran.docx", "A 38904-2023")</f>
        <v/>
      </c>
      <c r="AD45">
        <f>HYPERLINK("https://klasma.github.io/Logging_1862/tillsynsmail/A 38904-2023 tillsynsbegäran mail.docx", "A 38904-2023")</f>
        <v/>
      </c>
      <c r="AE45">
        <f>HYPERLINK("https://klasma.github.io/Logging_1862/fåglar/A 38904-2023 prioriterade fågelarter.docx", "A 38904-2023")</f>
        <v/>
      </c>
    </row>
    <row r="46" ht="15" customHeight="1">
      <c r="A46" t="inlineStr">
        <is>
          <t>A 42337-2026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46307</v>
      </c>
      <c r="E46" s="1" t="n">
        <v>46308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4.7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HYPERLINK("https://klasma.github.io/Logging_1862/artfynd/A 42337-2026 artfynd.xlsx", "A 42337-2026")</f>
        <v/>
      </c>
      <c r="X46">
        <f>HYPERLINK("https://klasma.github.io/Logging_1862/kartor/A 42337-2026 karta.png", "A 42337-2026")</f>
        <v/>
      </c>
      <c r="Y46">
        <f>HYPERLINK("https://klasma.github.io/Logging_1862/kartor_geotiff/A 42337-2026 georefererad karta.tif", "A 42337-2026")</f>
        <v/>
      </c>
      <c r="AA46">
        <f>HYPERLINK("https://klasma.github.io/Logging_1862/klagomål/A 42337-2026 FSC-klagomål.docx", "A 42337-2026")</f>
        <v/>
      </c>
      <c r="AB46">
        <f>HYPERLINK("https://klasma.github.io/Logging_1862/klagomålsmail/A 42337-2026 FSC-klagomål mail.docx", "A 42337-2026")</f>
        <v/>
      </c>
      <c r="AC46">
        <f>HYPERLINK("https://klasma.github.io/Logging_1862/tillsyn/A 42337-2026 tillsynsbegäran.docx", "A 42337-2026")</f>
        <v/>
      </c>
      <c r="AD46">
        <f>HYPERLINK("https://klasma.github.io/Logging_1862/tillsynsmail/A 42337-2026 tillsynsbegäran mail.docx", "A 42337-2026")</f>
        <v/>
      </c>
    </row>
    <row r="47" ht="15" customHeight="1">
      <c r="A47" t="inlineStr">
        <is>
          <t>A 27093-2023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45096</v>
      </c>
      <c r="E47" s="1" t="n">
        <v>46308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5.9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HYPERLINK("https://klasma.github.io/Logging_1862/artfynd/A 27093-2023 artfynd.xlsx", "A 27093-2023")</f>
        <v/>
      </c>
      <c r="X47">
        <f>HYPERLINK("https://klasma.github.io/Logging_1862/kartor/A 27093-2023 karta.png", "A 27093-2023")</f>
        <v/>
      </c>
      <c r="Y47">
        <f>HYPERLINK("https://klasma.github.io/Logging_1862/kartor_geotiff/A 27093-2023 georefererad karta.tif", "A 27093-2023")</f>
        <v/>
      </c>
      <c r="AA47">
        <f>HYPERLINK("https://klasma.github.io/Logging_1862/klagomål/A 27093-2023 FSC-klagomål.docx", "A 27093-2023")</f>
        <v/>
      </c>
      <c r="AB47">
        <f>HYPERLINK("https://klasma.github.io/Logging_1862/klagomålsmail/A 27093-2023 FSC-klagomål mail.docx", "A 27093-2023")</f>
        <v/>
      </c>
      <c r="AC47">
        <f>HYPERLINK("https://klasma.github.io/Logging_1862/tillsyn/A 27093-2023 tillsynsbegäran.docx", "A 27093-2023")</f>
        <v/>
      </c>
      <c r="AD47">
        <f>HYPERLINK("https://klasma.github.io/Logging_1862/tillsynsmail/A 27093-2023 tillsynsbegäran mail.docx", "A 27093-2023")</f>
        <v/>
      </c>
      <c r="AE47">
        <f>HYPERLINK("https://klasma.github.io/Logging_1862/fåglar/A 27093-2023 prioriterade fågelarter.docx", "A 27093-2023")</f>
        <v/>
      </c>
    </row>
    <row r="48" ht="15" customHeight="1">
      <c r="A48" t="inlineStr">
        <is>
          <t>A 14121-2022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44651</v>
      </c>
      <c r="E48" s="1" t="n">
        <v>46308</v>
      </c>
      <c r="F48" t="inlineStr">
        <is>
          <t>ÖREBRO LÄN</t>
        </is>
      </c>
      <c r="G48" t="inlineStr">
        <is>
          <t>DEGERFORS</t>
        </is>
      </c>
      <c r="I48" t="n">
        <v>4.4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Hårklomossa</t>
        </is>
      </c>
      <c r="W48">
        <f>HYPERLINK("https://klasma.github.io/Logging_1862/artfynd/A 14121-2022 artfynd.xlsx", "A 14121-2022")</f>
        <v/>
      </c>
      <c r="X48">
        <f>HYPERLINK("https://klasma.github.io/Logging_1862/kartor/A 14121-2022 karta.png", "A 14121-2022")</f>
        <v/>
      </c>
      <c r="Y48">
        <f>HYPERLINK("https://klasma.github.io/Logging_1862/kartor_geotiff/A 14121-2022 georefererad karta.tif", "A 14121-2022")</f>
        <v/>
      </c>
      <c r="AA48">
        <f>HYPERLINK("https://klasma.github.io/Logging_1862/klagomål/A 14121-2022 FSC-klagomål.docx", "A 14121-2022")</f>
        <v/>
      </c>
      <c r="AB48">
        <f>HYPERLINK("https://klasma.github.io/Logging_1862/klagomålsmail/A 14121-2022 FSC-klagomål mail.docx", "A 14121-2022")</f>
        <v/>
      </c>
      <c r="AC48">
        <f>HYPERLINK("https://klasma.github.io/Logging_1862/tillsyn/A 14121-2022 tillsynsbegäran.docx", "A 14121-2022")</f>
        <v/>
      </c>
      <c r="AD48">
        <f>HYPERLINK("https://klasma.github.io/Logging_1862/tillsynsmail/A 14121-2022 tillsynsbegäran mail.docx", "A 14121-2022")</f>
        <v/>
      </c>
    </row>
    <row r="49" ht="15" customHeight="1">
      <c r="A49" t="inlineStr">
        <is>
          <t>A 48285-2023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45205</v>
      </c>
      <c r="E49" s="1" t="n">
        <v>46308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HYPERLINK("https://klasma.github.io/Logging_1862/artfynd/A 48285-2023 artfynd.xlsx", "A 48285-2023")</f>
        <v/>
      </c>
      <c r="X49">
        <f>HYPERLINK("https://klasma.github.io/Logging_1862/kartor/A 48285-2023 karta.png", "A 48285-2023")</f>
        <v/>
      </c>
      <c r="Y49">
        <f>HYPERLINK("https://klasma.github.io/Logging_1862/kartor_geotiff/A 48285-2023 georefererad karta.tif", "A 48285-2023")</f>
        <v/>
      </c>
      <c r="AA49">
        <f>HYPERLINK("https://klasma.github.io/Logging_1862/klagomål/A 48285-2023 FSC-klagomål.docx", "A 48285-2023")</f>
        <v/>
      </c>
      <c r="AB49">
        <f>HYPERLINK("https://klasma.github.io/Logging_1862/klagomålsmail/A 48285-2023 FSC-klagomål mail.docx", "A 48285-2023")</f>
        <v/>
      </c>
      <c r="AC49">
        <f>HYPERLINK("https://klasma.github.io/Logging_1862/tillsyn/A 48285-2023 tillsynsbegäran.docx", "A 48285-2023")</f>
        <v/>
      </c>
      <c r="AD49">
        <f>HYPERLINK("https://klasma.github.io/Logging_1862/tillsynsmail/A 48285-2023 tillsynsbegäran mail.docx", "A 48285-2023")</f>
        <v/>
      </c>
      <c r="AE49">
        <f>HYPERLINK("https://klasma.github.io/Logging_1862/fåglar/A 48285-2023 prioriterade fågelarter.docx", "A 48285-2023")</f>
        <v/>
      </c>
    </row>
    <row r="50" ht="15" customHeight="1">
      <c r="A50" t="inlineStr">
        <is>
          <t>A 47941-2024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45589</v>
      </c>
      <c r="E50" s="1" t="n">
        <v>46308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Brunfläckig pärlemorfjäril</t>
        </is>
      </c>
      <c r="W50">
        <f>HYPERLINK("https://klasma.github.io/Logging_1862/artfynd/A 47941-2024 artfynd.xlsx", "A 47941-2024")</f>
        <v/>
      </c>
      <c r="X50">
        <f>HYPERLINK("https://klasma.github.io/Logging_1862/kartor/A 47941-2024 karta.png", "A 47941-2024")</f>
        <v/>
      </c>
      <c r="Y50">
        <f>HYPERLINK("https://klasma.github.io/Logging_1862/kartor_geotiff/A 47941-2024 georefererad karta.tif", "A 47941-2024")</f>
        <v/>
      </c>
      <c r="AA50">
        <f>HYPERLINK("https://klasma.github.io/Logging_1862/klagomål/A 47941-2024 FSC-klagomål.docx", "A 47941-2024")</f>
        <v/>
      </c>
      <c r="AB50">
        <f>HYPERLINK("https://klasma.github.io/Logging_1862/klagomålsmail/A 47941-2024 FSC-klagomål mail.docx", "A 47941-2024")</f>
        <v/>
      </c>
      <c r="AC50">
        <f>HYPERLINK("https://klasma.github.io/Logging_1862/tillsyn/A 47941-2024 tillsynsbegäran.docx", "A 47941-2024")</f>
        <v/>
      </c>
      <c r="AD50">
        <f>HYPERLINK("https://klasma.github.io/Logging_1862/tillsynsmail/A 47941-2024 tillsynsbegäran mail.docx", "A 47941-2024")</f>
        <v/>
      </c>
    </row>
    <row r="51" ht="15" customHeight="1">
      <c r="A51" t="inlineStr">
        <is>
          <t>A 47915-2024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45589</v>
      </c>
      <c r="E51" s="1" t="n">
        <v>46308</v>
      </c>
      <c r="F51" t="inlineStr">
        <is>
          <t>ÖREBRO LÄN</t>
        </is>
      </c>
      <c r="G51" t="inlineStr">
        <is>
          <t>DEGERFORS</t>
        </is>
      </c>
      <c r="H51" t="inlineStr">
        <is>
          <t>Sveaskog</t>
        </is>
      </c>
      <c r="I51" t="n">
        <v>5.8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HYPERLINK("https://klasma.github.io/Logging_1862/artfynd/A 47915-2024 artfynd.xlsx", "A 47915-2024")</f>
        <v/>
      </c>
      <c r="X51">
        <f>HYPERLINK("https://klasma.github.io/Logging_1862/kartor/A 47915-2024 karta.png", "A 47915-2024")</f>
        <v/>
      </c>
      <c r="Y51">
        <f>HYPERLINK("https://klasma.github.io/Logging_1862/kartor_geotiff/A 47915-2024 georefererad karta.tif", "A 47915-2024")</f>
        <v/>
      </c>
      <c r="AA51">
        <f>HYPERLINK("https://klasma.github.io/Logging_1862/klagomål/A 47915-2024 FSC-klagomål.docx", "A 47915-2024")</f>
        <v/>
      </c>
      <c r="AB51">
        <f>HYPERLINK("https://klasma.github.io/Logging_1862/klagomålsmail/A 47915-2024 FSC-klagomål mail.docx", "A 47915-2024")</f>
        <v/>
      </c>
      <c r="AC51">
        <f>HYPERLINK("https://klasma.github.io/Logging_1862/tillsyn/A 47915-2024 tillsynsbegäran.docx", "A 47915-2024")</f>
        <v/>
      </c>
      <c r="AD51">
        <f>HYPERLINK("https://klasma.github.io/Logging_1862/tillsynsmail/A 47915-2024 tillsynsbegäran mail.docx", "A 47915-2024")</f>
        <v/>
      </c>
    </row>
    <row r="52" ht="15" customHeight="1">
      <c r="A52" t="inlineStr">
        <is>
          <t>A 36798-2022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46308</v>
      </c>
      <c r="F52" t="inlineStr">
        <is>
          <t>ÖREBRO LÄN</t>
        </is>
      </c>
      <c r="G52" t="inlineStr">
        <is>
          <t>DEGERFORS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46308</v>
      </c>
      <c r="F53" t="inlineStr">
        <is>
          <t>ÖREBRO LÄN</t>
        </is>
      </c>
      <c r="G53" t="inlineStr">
        <is>
          <t>DEGERFORS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50599-2022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44861</v>
      </c>
      <c r="E54" s="1" t="n">
        <v>46308</v>
      </c>
      <c r="F54" t="inlineStr">
        <is>
          <t>ÖREBRO LÄN</t>
        </is>
      </c>
      <c r="G54" t="inlineStr">
        <is>
          <t>DEGERFORS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7510-2022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44607</v>
      </c>
      <c r="E55" s="1" t="n">
        <v>46308</v>
      </c>
      <c r="F55" t="inlineStr">
        <is>
          <t>ÖREBRO LÄN</t>
        </is>
      </c>
      <c r="G55" t="inlineStr">
        <is>
          <t>DEGERFORS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19371-2022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44692</v>
      </c>
      <c r="E56" s="1" t="n">
        <v>46308</v>
      </c>
      <c r="F56" t="inlineStr">
        <is>
          <t>ÖREBRO LÄN</t>
        </is>
      </c>
      <c r="G56" t="inlineStr">
        <is>
          <t>DEGERFORS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8186-2022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44609</v>
      </c>
      <c r="E57" s="1" t="n">
        <v>46308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60889-2021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44497</v>
      </c>
      <c r="E58" s="1" t="n">
        <v>46308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44594</v>
      </c>
      <c r="E59" s="1" t="n">
        <v>46308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46308</v>
      </c>
      <c r="F60" t="inlineStr">
        <is>
          <t>ÖREBRO LÄN</t>
        </is>
      </c>
      <c r="G60" t="inlineStr">
        <is>
          <t>DEGERFORS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65456-2021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46308</v>
      </c>
      <c r="F61" t="inlineStr">
        <is>
          <t>ÖREBRO LÄN</t>
        </is>
      </c>
      <c r="G61" t="inlineStr">
        <is>
          <t>DEGERFORS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46308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68578-2021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46308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67998-2021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46308</v>
      </c>
      <c r="F64" t="inlineStr">
        <is>
          <t>ÖREBRO LÄN</t>
        </is>
      </c>
      <c r="G64" t="inlineStr">
        <is>
          <t>DEGERFORS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46308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46308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46308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46308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46308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46308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45912</v>
      </c>
      <c r="E71" s="1" t="n">
        <v>46308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46308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24689-2026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46171</v>
      </c>
      <c r="E73" s="1" t="n">
        <v>46308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45912</v>
      </c>
      <c r="E74" s="1" t="n">
        <v>46308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61750-2021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46308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45705</v>
      </c>
      <c r="E76" s="1" t="n">
        <v>46308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48625-2025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45936</v>
      </c>
      <c r="E77" s="1" t="n">
        <v>46308</v>
      </c>
      <c r="F77" t="inlineStr">
        <is>
          <t>ÖREBRO LÄN</t>
        </is>
      </c>
      <c r="G77" t="inlineStr">
        <is>
          <t>DEGERFORS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26857-2026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46185</v>
      </c>
      <c r="E78" s="1" t="n">
        <v>46308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15.1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26946-2026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46185</v>
      </c>
      <c r="E79" s="1" t="n">
        <v>46308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26947-2026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46185</v>
      </c>
      <c r="E80" s="1" t="n">
        <v>46308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50207-2024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46308</v>
      </c>
      <c r="F81" t="inlineStr">
        <is>
          <t>ÖREBRO LÄN</t>
        </is>
      </c>
      <c r="G81" t="inlineStr">
        <is>
          <t>DEGERFORS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50208-2024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45600</v>
      </c>
      <c r="E82" s="1" t="n">
        <v>46308</v>
      </c>
      <c r="F82" t="inlineStr">
        <is>
          <t>ÖREBRO LÄN</t>
        </is>
      </c>
      <c r="G82" t="inlineStr">
        <is>
          <t>DEGERFORS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51040-2025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45947</v>
      </c>
      <c r="E83" s="1" t="n">
        <v>46308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46308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27745-2026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46191</v>
      </c>
      <c r="E85" s="1" t="n">
        <v>46308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27746-2026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46191</v>
      </c>
      <c r="E86" s="1" t="n">
        <v>46308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12108-2024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45376</v>
      </c>
      <c r="E87" s="1" t="n">
        <v>46308</v>
      </c>
      <c r="F87" t="inlineStr">
        <is>
          <t>ÖREBRO LÄN</t>
        </is>
      </c>
      <c r="G87" t="inlineStr">
        <is>
          <t>DEGERFORS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45952</v>
      </c>
      <c r="E88" s="1" t="n">
        <v>46308</v>
      </c>
      <c r="F88" t="inlineStr">
        <is>
          <t>ÖREBRO LÄN</t>
        </is>
      </c>
      <c r="G88" t="inlineStr">
        <is>
          <t>DEGERFORS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46308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28696-2026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46198</v>
      </c>
      <c r="E90" s="1" t="n">
        <v>46308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28708-2026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46198</v>
      </c>
      <c r="E91" s="1" t="n">
        <v>46308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28695-2026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46198</v>
      </c>
      <c r="E92" s="1" t="n">
        <v>46308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32154-2023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46308</v>
      </c>
      <c r="F93" t="inlineStr">
        <is>
          <t>ÖREBRO LÄN</t>
        </is>
      </c>
      <c r="G93" t="inlineStr">
        <is>
          <t>DEGERFORS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29130-2026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46202</v>
      </c>
      <c r="E94" s="1" t="n">
        <v>46308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10.3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28930-2026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46199</v>
      </c>
      <c r="E95" s="1" t="n">
        <v>46308</v>
      </c>
      <c r="F95" t="inlineStr">
        <is>
          <t>ÖREBRO LÄN</t>
        </is>
      </c>
      <c r="G95" t="inlineStr">
        <is>
          <t>DEGERFORS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27438-2024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45474</v>
      </c>
      <c r="E96" s="1" t="n">
        <v>46308</v>
      </c>
      <c r="F96" t="inlineStr">
        <is>
          <t>ÖREBRO LÄN</t>
        </is>
      </c>
      <c r="G96" t="inlineStr">
        <is>
          <t>DEGERFORS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46288-2024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45581</v>
      </c>
      <c r="E97" s="1" t="n">
        <v>46308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45223</v>
      </c>
      <c r="E98" s="1" t="n">
        <v>46308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55341-2025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45971</v>
      </c>
      <c r="E99" s="1" t="n">
        <v>46308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45635</v>
      </c>
      <c r="E100" s="1" t="n">
        <v>46308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18675-2025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45763</v>
      </c>
      <c r="E101" s="1" t="n">
        <v>46308</v>
      </c>
      <c r="F101" t="inlineStr">
        <is>
          <t>ÖREBRO LÄN</t>
        </is>
      </c>
      <c r="G101" t="inlineStr">
        <is>
          <t>DEGERFORS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45215</v>
      </c>
      <c r="E102" s="1" t="n">
        <v>46308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57086-2025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45979</v>
      </c>
      <c r="E103" s="1" t="n">
        <v>46308</v>
      </c>
      <c r="F103" t="inlineStr">
        <is>
          <t>ÖREBRO LÄN</t>
        </is>
      </c>
      <c r="G103" t="inlineStr">
        <is>
          <t>DEGERFORS</t>
        </is>
      </c>
      <c r="I103" t="n">
        <v>6.1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62982-2023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45272</v>
      </c>
      <c r="E104" s="1" t="n">
        <v>46308</v>
      </c>
      <c r="F104" t="inlineStr">
        <is>
          <t>ÖREBRO LÄN</t>
        </is>
      </c>
      <c r="G104" t="inlineStr">
        <is>
          <t>DEGERFORS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21935-2024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45443</v>
      </c>
      <c r="E105" s="1" t="n">
        <v>46308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45707</v>
      </c>
      <c r="E106" s="1" t="n">
        <v>46308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29607-2022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46308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23460-2024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45453</v>
      </c>
      <c r="E108" s="1" t="n">
        <v>46308</v>
      </c>
      <c r="F108" t="inlineStr">
        <is>
          <t>ÖREBRO LÄN</t>
        </is>
      </c>
      <c r="G108" t="inlineStr">
        <is>
          <t>DEGERFORS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24707-2025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46308</v>
      </c>
      <c r="F109" t="inlineStr">
        <is>
          <t>ÖREBRO LÄN</t>
        </is>
      </c>
      <c r="G109" t="inlineStr">
        <is>
          <t>DEGERFORS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45330</v>
      </c>
      <c r="E110" s="1" t="n">
        <v>46308</v>
      </c>
      <c r="F110" t="inlineStr">
        <is>
          <t>ÖREBRO LÄN</t>
        </is>
      </c>
      <c r="G110" t="inlineStr">
        <is>
          <t>DEGERFORS</t>
        </is>
      </c>
      <c r="H110" t="inlineStr">
        <is>
          <t>Sveaskog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36339-2026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46268</v>
      </c>
      <c r="E111" s="1" t="n">
        <v>46308</v>
      </c>
      <c r="F111" t="inlineStr">
        <is>
          <t>ÖREBRO LÄN</t>
        </is>
      </c>
      <c r="G111" t="inlineStr">
        <is>
          <t>DEGERFORS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36345-2026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46268</v>
      </c>
      <c r="E112" s="1" t="n">
        <v>46308</v>
      </c>
      <c r="F112" t="inlineStr">
        <is>
          <t>ÖREBRO LÄN</t>
        </is>
      </c>
      <c r="G112" t="inlineStr">
        <is>
          <t>DEGERFORS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46308</v>
      </c>
      <c r="F113" t="inlineStr">
        <is>
          <t>ÖREBRO LÄN</t>
        </is>
      </c>
      <c r="G113" t="inlineStr">
        <is>
          <t>DEGERFORS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60736-2025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45996</v>
      </c>
      <c r="E114" s="1" t="n">
        <v>46308</v>
      </c>
      <c r="F114" t="inlineStr">
        <is>
          <t>ÖREBRO LÄN</t>
        </is>
      </c>
      <c r="G114" t="inlineStr">
        <is>
          <t>DEGERFORS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60708-2025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45996</v>
      </c>
      <c r="E115" s="1" t="n">
        <v>46308</v>
      </c>
      <c r="F115" t="inlineStr">
        <is>
          <t>ÖREBRO LÄN</t>
        </is>
      </c>
      <c r="G115" t="inlineStr">
        <is>
          <t>DEGERFORS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31813-2026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46230</v>
      </c>
      <c r="E116" s="1" t="n">
        <v>46308</v>
      </c>
      <c r="F116" t="inlineStr">
        <is>
          <t>ÖREBRO LÄN</t>
        </is>
      </c>
      <c r="G116" t="inlineStr">
        <is>
          <t>DEGERFORS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45810</v>
      </c>
      <c r="E117" s="1" t="n">
        <v>46308</v>
      </c>
      <c r="F117" t="inlineStr">
        <is>
          <t>ÖREBRO LÄN</t>
        </is>
      </c>
      <c r="G117" t="inlineStr">
        <is>
          <t>DEGERFORS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38917-2023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46308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37672-2024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45541</v>
      </c>
      <c r="E119" s="1" t="n">
        <v>46308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46308</v>
      </c>
      <c r="F120" t="inlineStr">
        <is>
          <t>ÖREBRO LÄN</t>
        </is>
      </c>
      <c r="G120" t="inlineStr">
        <is>
          <t>DEGERFORS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48118-2023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45205</v>
      </c>
      <c r="E121" s="1" t="n">
        <v>46308</v>
      </c>
      <c r="F121" t="inlineStr">
        <is>
          <t>ÖREBRO LÄN</t>
        </is>
      </c>
      <c r="G121" t="inlineStr">
        <is>
          <t>DEGERFORS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31870-2026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46231</v>
      </c>
      <c r="E122" s="1" t="n">
        <v>46308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46231</v>
      </c>
      <c r="E123" s="1" t="n">
        <v>46308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45819</v>
      </c>
      <c r="E124" s="1" t="n">
        <v>46308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28368-2025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45819</v>
      </c>
      <c r="E125" s="1" t="n">
        <v>46308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37809-2026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46279</v>
      </c>
      <c r="E126" s="1" t="n">
        <v>46308</v>
      </c>
      <c r="F126" t="inlineStr">
        <is>
          <t>ÖREBRO LÄN</t>
        </is>
      </c>
      <c r="G126" t="inlineStr">
        <is>
          <t>DEGERFORS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23066-2022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46308</v>
      </c>
      <c r="F127" t="inlineStr">
        <is>
          <t>ÖREBRO LÄN</t>
        </is>
      </c>
      <c r="G127" t="inlineStr">
        <is>
          <t>DEGERFORS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46027</v>
      </c>
      <c r="E128" s="1" t="n">
        <v>46308</v>
      </c>
      <c r="F128" t="inlineStr">
        <is>
          <t>ÖREBRO LÄN</t>
        </is>
      </c>
      <c r="G128" t="inlineStr">
        <is>
          <t>DEGERFORS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46281</v>
      </c>
      <c r="E129" s="1" t="n">
        <v>46308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46239</v>
      </c>
      <c r="E130" s="1" t="n">
        <v>46308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38651-2026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46283</v>
      </c>
      <c r="E131" s="1" t="n">
        <v>46308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38463-2026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46282</v>
      </c>
      <c r="E132" s="1" t="n">
        <v>46308</v>
      </c>
      <c r="F132" t="inlineStr">
        <is>
          <t>ÖREBRO LÄN</t>
        </is>
      </c>
      <c r="G132" t="inlineStr">
        <is>
          <t>DEGERFORS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32508-2026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46239</v>
      </c>
      <c r="E133" s="1" t="n">
        <v>46308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46283</v>
      </c>
      <c r="E134" s="1" t="n">
        <v>46308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45841</v>
      </c>
      <c r="E135" s="1" t="n">
        <v>46308</v>
      </c>
      <c r="F135" t="inlineStr">
        <is>
          <t>ÖREBRO LÄN</t>
        </is>
      </c>
      <c r="G135" t="inlineStr">
        <is>
          <t>DEGERFORS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59863-2024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46308</v>
      </c>
      <c r="F136" t="inlineStr">
        <is>
          <t>ÖREBRO LÄN</t>
        </is>
      </c>
      <c r="G136" t="inlineStr">
        <is>
          <t>DEGERFORS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32810-2026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46241</v>
      </c>
      <c r="E137" s="1" t="n">
        <v>46308</v>
      </c>
      <c r="F137" t="inlineStr">
        <is>
          <t>ÖREBRO LÄN</t>
        </is>
      </c>
      <c r="G137" t="inlineStr">
        <is>
          <t>DEGERFORS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46308</v>
      </c>
      <c r="F138" t="inlineStr">
        <is>
          <t>ÖREBRO LÄN</t>
        </is>
      </c>
      <c r="G138" t="inlineStr">
        <is>
          <t>DEGERFORS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45351</v>
      </c>
      <c r="E139" s="1" t="n">
        <v>46308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37333-2025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45876</v>
      </c>
      <c r="E140" s="1" t="n">
        <v>46308</v>
      </c>
      <c r="F140" t="inlineStr">
        <is>
          <t>ÖREBRO LÄN</t>
        </is>
      </c>
      <c r="G140" t="inlineStr">
        <is>
          <t>DEGERFORS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37265-2025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45876</v>
      </c>
      <c r="E141" s="1" t="n">
        <v>46308</v>
      </c>
      <c r="F141" t="inlineStr">
        <is>
          <t>ÖREBRO LÄN</t>
        </is>
      </c>
      <c r="G141" t="inlineStr">
        <is>
          <t>DEGERFORS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15594-2025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46308</v>
      </c>
      <c r="F142" t="inlineStr">
        <is>
          <t>ÖREBRO LÄN</t>
        </is>
      </c>
      <c r="G142" t="inlineStr">
        <is>
          <t>DEGERFORS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9273-2026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46070</v>
      </c>
      <c r="E143" s="1" t="n">
        <v>46308</v>
      </c>
      <c r="F143" t="inlineStr">
        <is>
          <t>ÖREBRO LÄN</t>
        </is>
      </c>
      <c r="G143" t="inlineStr">
        <is>
          <t>DEGERFORS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12159-2026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46086</v>
      </c>
      <c r="E144" s="1" t="n">
        <v>46308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46086</v>
      </c>
      <c r="E145" s="1" t="n">
        <v>46308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38875-2025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45887</v>
      </c>
      <c r="E146" s="1" t="n">
        <v>46308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12936-2026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46308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8.800000000000001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13293-2026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46308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13040-2026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46093</v>
      </c>
      <c r="E149" s="1" t="n">
        <v>46308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7.1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13039-2026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46308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44986</v>
      </c>
      <c r="E151" s="1" t="n">
        <v>46308</v>
      </c>
      <c r="F151" t="inlineStr">
        <is>
          <t>ÖREBRO LÄN</t>
        </is>
      </c>
      <c r="G151" t="inlineStr">
        <is>
          <t>DEGERFORS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31872-2026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46231</v>
      </c>
      <c r="E152" s="1" t="n">
        <v>46308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36437-2024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45535</v>
      </c>
      <c r="E153" s="1" t="n">
        <v>46308</v>
      </c>
      <c r="F153" t="inlineStr">
        <is>
          <t>ÖREBRO LÄN</t>
        </is>
      </c>
      <c r="G153" t="inlineStr">
        <is>
          <t>DEGERFORS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38921-2023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46308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29552-2026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46204</v>
      </c>
      <c r="E155" s="1" t="n">
        <v>46308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46303</v>
      </c>
      <c r="E156" s="1" t="n">
        <v>46308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6.3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35213-2026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46260</v>
      </c>
      <c r="E157" s="1" t="n">
        <v>46308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9.5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18913-2026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46129</v>
      </c>
      <c r="E158" s="1" t="n">
        <v>46308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8.300000000000001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18506-2026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46127</v>
      </c>
      <c r="E159" s="1" t="n">
        <v>46308</v>
      </c>
      <c r="F159" t="inlineStr">
        <is>
          <t>ÖREBRO LÄN</t>
        </is>
      </c>
      <c r="G159" t="inlineStr">
        <is>
          <t>DEGERFORS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19227-2026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46132</v>
      </c>
      <c r="E160" s="1" t="n">
        <v>46308</v>
      </c>
      <c r="F160" t="inlineStr">
        <is>
          <t>ÖREBRO LÄN</t>
        </is>
      </c>
      <c r="G160" t="inlineStr">
        <is>
          <t>DEGERFORS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46303</v>
      </c>
      <c r="E161" s="1" t="n">
        <v>46308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5.6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42336-2026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46307</v>
      </c>
      <c r="E162" s="1" t="n">
        <v>46308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28789-2026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46195</v>
      </c>
      <c r="E163" s="1" t="n">
        <v>46308</v>
      </c>
      <c r="F163" t="inlineStr">
        <is>
          <t>ÖREBRO LÄN</t>
        </is>
      </c>
      <c r="G163" t="inlineStr">
        <is>
          <t>DEGERFORS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44579</v>
      </c>
      <c r="E164" s="1" t="n">
        <v>46308</v>
      </c>
      <c r="F164" t="inlineStr">
        <is>
          <t>ÖREBRO LÄN</t>
        </is>
      </c>
      <c r="G164" t="inlineStr">
        <is>
          <t>DEGERFORS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54082-2024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45616</v>
      </c>
      <c r="E165" s="1" t="n">
        <v>46308</v>
      </c>
      <c r="F165" t="inlineStr">
        <is>
          <t>ÖREBRO LÄN</t>
        </is>
      </c>
      <c r="G165" t="inlineStr">
        <is>
          <t>DEGERFORS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45912</v>
      </c>
      <c r="E166" s="1" t="n">
        <v>46308</v>
      </c>
      <c r="F166" t="inlineStr">
        <is>
          <t>ÖREBRO LÄN</t>
        </is>
      </c>
      <c r="G166" t="inlineStr">
        <is>
          <t>DEGERFORS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60907-2023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45261</v>
      </c>
      <c r="E167" s="1" t="n">
        <v>46308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20567-2026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46308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20568-2026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46140</v>
      </c>
      <c r="E169" s="1" t="n">
        <v>46308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6.3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20478-2026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46140</v>
      </c>
      <c r="E170" s="1" t="n">
        <v>46308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26176-2024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45468</v>
      </c>
      <c r="E171" s="1" t="n">
        <v>46308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44582</v>
      </c>
      <c r="E172" s="1" t="n">
        <v>46308</v>
      </c>
      <c r="F172" t="inlineStr">
        <is>
          <t>ÖREBRO LÄN</t>
        </is>
      </c>
      <c r="G172" t="inlineStr">
        <is>
          <t>DEGERFORS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50766-2024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45602</v>
      </c>
      <c r="E173" s="1" t="n">
        <v>46308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8184-2022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44609</v>
      </c>
      <c r="E174" s="1" t="n">
        <v>46308</v>
      </c>
      <c r="F174" t="inlineStr">
        <is>
          <t>ÖREBRO LÄN</t>
        </is>
      </c>
      <c r="G174" t="inlineStr">
        <is>
          <t>DEGERFORS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52523-2024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46308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4.4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21440-2026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46148</v>
      </c>
      <c r="E176" s="1" t="n">
        <v>46308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6.5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21442-2026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46148</v>
      </c>
      <c r="E177" s="1" t="n">
        <v>46308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21401-2026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46148</v>
      </c>
      <c r="E178" s="1" t="n">
        <v>46308</v>
      </c>
      <c r="F178" t="inlineStr">
        <is>
          <t>ÖREBRO LÄN</t>
        </is>
      </c>
      <c r="G178" t="inlineStr">
        <is>
          <t>DEGERFORS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45190</v>
      </c>
      <c r="E179" s="1" t="n">
        <v>46308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46308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46219-2024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45581</v>
      </c>
      <c r="E181" s="1" t="n">
        <v>46308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54515-2023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45233</v>
      </c>
      <c r="E182" s="1" t="n">
        <v>46308</v>
      </c>
      <c r="F182" t="inlineStr">
        <is>
          <t>ÖREBRO LÄN</t>
        </is>
      </c>
      <c r="G182" t="inlineStr">
        <is>
          <t>DEGERFORS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45621</v>
      </c>
      <c r="E183" s="1" t="n">
        <v>46308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23230-2026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46308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23229-2026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46162</v>
      </c>
      <c r="E185" s="1" t="n">
        <v>46308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14678-2025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45742</v>
      </c>
      <c r="E186" s="1" t="n">
        <v>46308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46308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46167</v>
      </c>
      <c r="E188" s="1" t="n">
        <v>46308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20.9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38233-2023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45160</v>
      </c>
      <c r="E189" s="1" t="n">
        <v>46308</v>
      </c>
      <c r="F189" t="inlineStr">
        <is>
          <t>ÖREBRO LÄN</t>
        </is>
      </c>
      <c r="G189" t="inlineStr">
        <is>
          <t>DEGERFORS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24460-2026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46170</v>
      </c>
      <c r="E190" s="1" t="n">
        <v>46308</v>
      </c>
      <c r="F190" t="inlineStr">
        <is>
          <t>ÖREBRO LÄN</t>
        </is>
      </c>
      <c r="G190" t="inlineStr">
        <is>
          <t>DEGERFORS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24462-2026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46170</v>
      </c>
      <c r="E191" s="1" t="n">
        <v>46308</v>
      </c>
      <c r="F191" t="inlineStr">
        <is>
          <t>ÖREBRO LÄN</t>
        </is>
      </c>
      <c r="G191" t="inlineStr">
        <is>
          <t>DEGERFORS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10674-2024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45369</v>
      </c>
      <c r="E192" s="1" t="n">
        <v>46308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60933-2024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45645</v>
      </c>
      <c r="E193" s="1" t="n">
        <v>46308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73693-2021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44552</v>
      </c>
      <c r="E194" s="1" t="n">
        <v>46308</v>
      </c>
      <c r="F194" t="inlineStr">
        <is>
          <t>ÖREBRO LÄN</t>
        </is>
      </c>
      <c r="G194" t="inlineStr">
        <is>
          <t>DEGERFORS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60937-2024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45645</v>
      </c>
      <c r="E195" s="1" t="n">
        <v>46308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46308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52566-2023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46308</v>
      </c>
      <c r="F197" t="inlineStr">
        <is>
          <t>ÖREBRO LÄN</t>
        </is>
      </c>
      <c r="G197" t="inlineStr">
        <is>
          <t>DEGERFORS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57234-2024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45629</v>
      </c>
      <c r="E198" s="1" t="n">
        <v>46308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8074-2024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45351</v>
      </c>
      <c r="E199" s="1" t="n">
        <v>46308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21952-2024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45443</v>
      </c>
      <c r="E200" s="1" t="n">
        <v>46308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62972-2023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45272</v>
      </c>
      <c r="E201" s="1" t="n">
        <v>46308</v>
      </c>
      <c r="F201" t="inlineStr">
        <is>
          <t>ÖREBRO LÄN</t>
        </is>
      </c>
      <c r="G201" t="inlineStr">
        <is>
          <t>DEGERFORS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12143-2025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45729</v>
      </c>
      <c r="E202" s="1" t="n">
        <v>46308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46308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20577-2023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45057</v>
      </c>
      <c r="E204" s="1" t="n">
        <v>46308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45192</v>
      </c>
      <c r="E205" s="1" t="n">
        <v>46308</v>
      </c>
      <c r="F205" t="inlineStr">
        <is>
          <t>ÖREBRO LÄN</t>
        </is>
      </c>
      <c r="G205" t="inlineStr">
        <is>
          <t>DEGERFORS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6387-2024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45338</v>
      </c>
      <c r="E206" s="1" t="n">
        <v>46308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6240-2024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45337</v>
      </c>
      <c r="E207" s="1" t="n">
        <v>46308</v>
      </c>
      <c r="F207" t="inlineStr">
        <is>
          <t>ÖREBRO LÄN</t>
        </is>
      </c>
      <c r="G207" t="inlineStr">
        <is>
          <t>DEGERFORS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6394-2024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45338</v>
      </c>
      <c r="E208" s="1" t="n">
        <v>46308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46308</v>
      </c>
      <c r="F209" t="inlineStr">
        <is>
          <t>ÖREBRO LÄN</t>
        </is>
      </c>
      <c r="G209" t="inlineStr">
        <is>
          <t>DEGERFORS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46308</v>
      </c>
      <c r="F210" t="inlineStr">
        <is>
          <t>ÖREBRO LÄN</t>
        </is>
      </c>
      <c r="G210" t="inlineStr">
        <is>
          <t>DEGERFORS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50378-2024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45601</v>
      </c>
      <c r="E211" s="1" t="n">
        <v>46308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4.9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45116</v>
      </c>
      <c r="E212" s="1" t="n">
        <v>46308</v>
      </c>
      <c r="F212" t="inlineStr">
        <is>
          <t>ÖREBRO LÄN</t>
        </is>
      </c>
      <c r="G212" t="inlineStr">
        <is>
          <t>DEGERFORS</t>
        </is>
      </c>
      <c r="I212" t="n">
        <v>17.2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44807-2023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45190</v>
      </c>
      <c r="E213" s="1" t="n">
        <v>46308</v>
      </c>
      <c r="F213" t="inlineStr">
        <is>
          <t>ÖREBRO LÄN</t>
        </is>
      </c>
      <c r="G213" t="inlineStr">
        <is>
          <t>DEGERFORS</t>
        </is>
      </c>
      <c r="H213" t="inlineStr">
        <is>
          <t>Sveaskog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45222</v>
      </c>
      <c r="E214" s="1" t="n">
        <v>46308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44457-2022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44839</v>
      </c>
      <c r="E215" s="1" t="n">
        <v>46308</v>
      </c>
      <c r="F215" t="inlineStr">
        <is>
          <t>ÖREBRO LÄN</t>
        </is>
      </c>
      <c r="G215" t="inlineStr">
        <is>
          <t>DEGERFORS</t>
        </is>
      </c>
      <c r="I215" t="n">
        <v>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32211-2022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44781</v>
      </c>
      <c r="E216" s="1" t="n">
        <v>46308</v>
      </c>
      <c r="F216" t="inlineStr">
        <is>
          <t>ÖREBRO LÄN</t>
        </is>
      </c>
      <c r="G216" t="inlineStr">
        <is>
          <t>DEGERFORS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13405-2024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45387</v>
      </c>
      <c r="E217" s="1" t="n">
        <v>46308</v>
      </c>
      <c r="F217" t="inlineStr">
        <is>
          <t>ÖREBRO LÄN</t>
        </is>
      </c>
      <c r="G217" t="inlineStr">
        <is>
          <t>DEGERFORS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12729-2024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45384</v>
      </c>
      <c r="E218" s="1" t="n">
        <v>46308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63905-2021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44509</v>
      </c>
      <c r="E219" s="1" t="n">
        <v>46308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46308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47935-2024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45589</v>
      </c>
      <c r="E221" s="1" t="n">
        <v>46308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50377-2024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45601</v>
      </c>
      <c r="E222" s="1" t="n">
        <v>46308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8059-2024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45351</v>
      </c>
      <c r="E223" s="1" t="n">
        <v>46308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29482-2023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45106</v>
      </c>
      <c r="E224" s="1" t="n">
        <v>46308</v>
      </c>
      <c r="F224" t="inlineStr">
        <is>
          <t>ÖREBRO LÄN</t>
        </is>
      </c>
      <c r="G224" t="inlineStr">
        <is>
          <t>DEGERFORS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59158-2022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44904</v>
      </c>
      <c r="E225" s="1" t="n">
        <v>46308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45763</v>
      </c>
      <c r="E226" s="1" t="n">
        <v>46308</v>
      </c>
      <c r="F226" t="inlineStr">
        <is>
          <t>ÖREBRO LÄN</t>
        </is>
      </c>
      <c r="G226" t="inlineStr">
        <is>
          <t>DEGERFORS</t>
        </is>
      </c>
      <c r="I226" t="n">
        <v>13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44986</v>
      </c>
      <c r="E227" s="1" t="n">
        <v>46308</v>
      </c>
      <c r="F227" t="inlineStr">
        <is>
          <t>ÖREBRO LÄN</t>
        </is>
      </c>
      <c r="G227" t="inlineStr">
        <is>
          <t>DEGERFORS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10797-2023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44989</v>
      </c>
      <c r="E228" s="1" t="n">
        <v>46308</v>
      </c>
      <c r="F228" t="inlineStr">
        <is>
          <t>ÖREBRO LÄN</t>
        </is>
      </c>
      <c r="G228" t="inlineStr">
        <is>
          <t>DEGERFORS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11084-2023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44986</v>
      </c>
      <c r="E229" s="1" t="n">
        <v>46308</v>
      </c>
      <c r="F229" t="inlineStr">
        <is>
          <t>ÖREBRO LÄN</t>
        </is>
      </c>
      <c r="G229" t="inlineStr">
        <is>
          <t>DEGERFORS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50764-2024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45602</v>
      </c>
      <c r="E230" s="1" t="n">
        <v>46308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33658-2024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45520</v>
      </c>
      <c r="E231" s="1" t="n">
        <v>46308</v>
      </c>
      <c r="F231" t="inlineStr">
        <is>
          <t>ÖREBRO LÄN</t>
        </is>
      </c>
      <c r="G231" t="inlineStr">
        <is>
          <t>DEGERFORS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45861-2023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45195</v>
      </c>
      <c r="E232" s="1" t="n">
        <v>46308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43768-2024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45569</v>
      </c>
      <c r="E233" s="1" t="n">
        <v>46308</v>
      </c>
      <c r="F233" t="inlineStr">
        <is>
          <t>ÖREBRO LÄN</t>
        </is>
      </c>
      <c r="G233" t="inlineStr">
        <is>
          <t>DEGERFORS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46308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46308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46308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46308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46308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46308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46308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46308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2026-10-13T01:59:27Z</dcterms:created>
  <dcterms:modified xmlns:dcterms="http://purl.org/dc/terms/" xmlns:xsi="http://www.w3.org/2001/XMLSchema-instance" xsi:type="dcterms:W3CDTF">2026-10-13T01:59:27Z</dcterms:modified>
</cp:coreProperties>
</file>