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45837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45837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45837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45837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45837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45837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50106-2023</t>
        </is>
      </c>
      <c r="B8" s="1" t="n">
        <v>45215</v>
      </c>
      <c r="C8" s="1" t="n">
        <v>45837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Dropptaggsvamp
Grönpyrola
Tjäder</t>
        </is>
      </c>
      <c r="S8">
        <f>HYPERLINK("https://klasma.github.io/Logging_1862/artfynd/A 50106-2023 artfynd.xlsx", "A 50106-2023")</f>
        <v/>
      </c>
      <c r="T8">
        <f>HYPERLINK("https://klasma.github.io/Logging_1862/kartor/A 50106-2023 karta.png", "A 50106-2023")</f>
        <v/>
      </c>
      <c r="V8">
        <f>HYPERLINK("https://klasma.github.io/Logging_1862/klagomål/A 50106-2023 FSC-klagomål.docx", "A 50106-2023")</f>
        <v/>
      </c>
      <c r="W8">
        <f>HYPERLINK("https://klasma.github.io/Logging_1862/klagomålsmail/A 50106-2023 FSC-klagomål mail.docx", "A 50106-2023")</f>
        <v/>
      </c>
      <c r="X8">
        <f>HYPERLINK("https://klasma.github.io/Logging_1862/tillsyn/A 50106-2023 tillsynsbegäran.docx", "A 50106-2023")</f>
        <v/>
      </c>
      <c r="Y8">
        <f>HYPERLINK("https://klasma.github.io/Logging_1862/tillsynsmail/A 50106-2023 tillsynsbegäran mail.docx", "A 50106-2023")</f>
        <v/>
      </c>
      <c r="Z8">
        <f>HYPERLINK("https://klasma.github.io/Logging_1862/fåglar/A 50106-2023 prioriterade fågelarter.docx", "A 50106-2023")</f>
        <v/>
      </c>
    </row>
    <row r="9" ht="15" customHeight="1">
      <c r="A9" t="inlineStr">
        <is>
          <t>A 48112-2023</t>
        </is>
      </c>
      <c r="B9" s="1" t="n">
        <v>45205</v>
      </c>
      <c r="C9" s="1" t="n">
        <v>45837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HYPERLINK("https://klasma.github.io/Logging_1862/artfynd/A 48112-2023 artfynd.xlsx", "A 48112-2023")</f>
        <v/>
      </c>
      <c r="T9">
        <f>HYPERLINK("https://klasma.github.io/Logging_1862/kartor/A 48112-2023 karta.png", "A 48112-2023")</f>
        <v/>
      </c>
      <c r="U9">
        <f>HYPERLINK("https://klasma.github.io/Logging_1862/knärot/A 48112-2023 karta knärot.png", "A 48112-2023")</f>
        <v/>
      </c>
      <c r="V9">
        <f>HYPERLINK("https://klasma.github.io/Logging_1862/klagomål/A 48112-2023 FSC-klagomål.docx", "A 48112-2023")</f>
        <v/>
      </c>
      <c r="W9">
        <f>HYPERLINK("https://klasma.github.io/Logging_1862/klagomålsmail/A 48112-2023 FSC-klagomål mail.docx", "A 48112-2023")</f>
        <v/>
      </c>
      <c r="X9">
        <f>HYPERLINK("https://klasma.github.io/Logging_1862/tillsyn/A 48112-2023 tillsynsbegäran.docx", "A 48112-2023")</f>
        <v/>
      </c>
      <c r="Y9">
        <f>HYPERLINK("https://klasma.github.io/Logging_1862/tillsynsmail/A 48112-2023 tillsynsbegäran mail.docx", "A 48112-2023")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45837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45837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45837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45837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7384-2023</t>
        </is>
      </c>
      <c r="B14" s="1" t="n">
        <v>44966</v>
      </c>
      <c r="C14" s="1" t="n">
        <v>45837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HYPERLINK("https://klasma.github.io/Logging_1862/artfynd/A 7384-2023 artfynd.xlsx", "A 7384-2023")</f>
        <v/>
      </c>
      <c r="T14">
        <f>HYPERLINK("https://klasma.github.io/Logging_1862/kartor/A 7384-2023 karta.png", "A 7384-2023")</f>
        <v/>
      </c>
      <c r="V14">
        <f>HYPERLINK("https://klasma.github.io/Logging_1862/klagomål/A 7384-2023 FSC-klagomål.docx", "A 7384-2023")</f>
        <v/>
      </c>
      <c r="W14">
        <f>HYPERLINK("https://klasma.github.io/Logging_1862/klagomålsmail/A 7384-2023 FSC-klagomål mail.docx", "A 7384-2023")</f>
        <v/>
      </c>
      <c r="X14">
        <f>HYPERLINK("https://klasma.github.io/Logging_1862/tillsyn/A 7384-2023 tillsynsbegäran.docx", "A 7384-2023")</f>
        <v/>
      </c>
      <c r="Y14">
        <f>HYPERLINK("https://klasma.github.io/Logging_1862/tillsynsmail/A 7384-2023 tillsynsbegäran mail.docx", "A 7384-2023")</f>
        <v/>
      </c>
    </row>
    <row r="15" ht="15" customHeight="1">
      <c r="A15" t="inlineStr">
        <is>
          <t>A 27088-2023</t>
        </is>
      </c>
      <c r="B15" s="1" t="n">
        <v>45096</v>
      </c>
      <c r="C15" s="1" t="n">
        <v>45837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Stubbspretmossa</t>
        </is>
      </c>
      <c r="S15">
        <f>HYPERLINK("https://klasma.github.io/Logging_1862/artfynd/A 27088-2023 artfynd.xlsx", "A 27088-2023")</f>
        <v/>
      </c>
      <c r="T15">
        <f>HYPERLINK("https://klasma.github.io/Logging_1862/kartor/A 27088-2023 karta.png", "A 27088-2023")</f>
        <v/>
      </c>
      <c r="V15">
        <f>HYPERLINK("https://klasma.github.io/Logging_1862/klagomål/A 27088-2023 FSC-klagomål.docx", "A 27088-2023")</f>
        <v/>
      </c>
      <c r="W15">
        <f>HYPERLINK("https://klasma.github.io/Logging_1862/klagomålsmail/A 27088-2023 FSC-klagomål mail.docx", "A 27088-2023")</f>
        <v/>
      </c>
      <c r="X15">
        <f>HYPERLINK("https://klasma.github.io/Logging_1862/tillsyn/A 27088-2023 tillsynsbegäran.docx", "A 27088-2023")</f>
        <v/>
      </c>
      <c r="Y15">
        <f>HYPERLINK("https://klasma.github.io/Logging_1862/tillsynsmail/A 27088-2023 tillsynsbegäran mail.docx", "A 27088-2023")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45837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41520-2023</t>
        </is>
      </c>
      <c r="B17" s="1" t="n">
        <v>45175</v>
      </c>
      <c r="C17" s="1" t="n">
        <v>45837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41520-2023 artfynd.xlsx", "A 41520-2023")</f>
        <v/>
      </c>
      <c r="T17">
        <f>HYPERLINK("https://klasma.github.io/Logging_1862/kartor/A 41520-2023 karta.png", "A 41520-2023")</f>
        <v/>
      </c>
      <c r="V17">
        <f>HYPERLINK("https://klasma.github.io/Logging_1862/klagomål/A 41520-2023 FSC-klagomål.docx", "A 41520-2023")</f>
        <v/>
      </c>
      <c r="W17">
        <f>HYPERLINK("https://klasma.github.io/Logging_1862/klagomålsmail/A 41520-2023 FSC-klagomål mail.docx", "A 41520-2023")</f>
        <v/>
      </c>
      <c r="X17">
        <f>HYPERLINK("https://klasma.github.io/Logging_1862/tillsyn/A 41520-2023 tillsynsbegäran.docx", "A 41520-2023")</f>
        <v/>
      </c>
      <c r="Y17">
        <f>HYPERLINK("https://klasma.github.io/Logging_1862/tillsynsmail/A 41520-2023 tillsynsbegäran mail.docx", "A 41520-2023")</f>
        <v/>
      </c>
      <c r="Z17">
        <f>HYPERLINK("https://klasma.github.io/Logging_1862/fåglar/A 41520-2023 prioriterade fågelarter.docx", "A 41520-2023")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45837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45837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45837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45837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45837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45837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45837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45837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45837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45837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45837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45837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45837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45837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45837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45837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45837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45837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45837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45837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45837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45837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45837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45837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45837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45837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45837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45837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45837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45837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45837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45837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45837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45837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45837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45837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45837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45837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45837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45837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45837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45837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45837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45837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45837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45837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45837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45837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45837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45837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45837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45837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45837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45837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45837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45837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45837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45837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45837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45837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45837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45837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45837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45837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45837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45837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45837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45837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45837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45837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45837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45837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45837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45837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45837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45837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45837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45837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45837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45837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45837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45837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45837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45837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45837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45837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45837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45837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45837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45837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45837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45837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45837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45837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45837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45837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45837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45837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45837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45837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45837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45837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45837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45837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45837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45837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45837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45837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45837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45837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45837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45837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45837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45837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45837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45837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45837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45837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45837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45837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45837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45837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45837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45837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45837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45837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45837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45837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45837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45837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45837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45837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45837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45837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45837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45837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45837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45837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45837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45837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45837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45837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45837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45837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45837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45837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45837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45837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45837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45837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45837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45837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45837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45837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45837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45837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45837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45837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45837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45837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45837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45837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45837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45837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45837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45837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45837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45837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45837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45837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45837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45837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45837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45837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45837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45837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45837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45837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45837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45837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45837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45837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45837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45837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45837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45837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45837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45837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45837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45837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45837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45837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45837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45837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45837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45837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45837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45837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45837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45837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45837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45837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45837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45837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45837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45837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45837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45837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45837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45837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45837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45837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45837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45837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45837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45837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45837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45837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45837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45837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45837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45837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45837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45837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45837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45837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45837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45837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45837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45837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45837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45837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45837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45837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45837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45837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45837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45837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45837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45837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45837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45837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45837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45837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45837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45837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45837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45837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45837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45837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45837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45837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45837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45837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45837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45837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45837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45837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45837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45837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45837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45837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45837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45837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45837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45837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45837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45837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45837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45837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45837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45837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45837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45837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45837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45837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45837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45837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45837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45837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45837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45837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45837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45837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45837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45837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45837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45837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45837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45837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45837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45837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45837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45837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45837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45837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45837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45837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45837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45837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45837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45837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45837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45837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45837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45837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45837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45837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45837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45837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45837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45837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45837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45837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45837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45837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45837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45837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45837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45837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45837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45837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45837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45837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45837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45837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45837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45837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45837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45837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45837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45837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45837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45837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45837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45837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45837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45837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45837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45837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45837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45837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45837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45837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45837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45837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45837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45837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45837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45837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45837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45837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45837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45837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45837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45837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45837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45837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45837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45837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45837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45837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45837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45837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45837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45837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45837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45837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45837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45837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45837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45837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45837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45837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45837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45837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45837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45837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45837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45837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45837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45837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45837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45837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45837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45837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45837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45837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45837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45837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45837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45837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45837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45837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45837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45837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45837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45837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45837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45837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45837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45837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45837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45837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45837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45837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45837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45837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45837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45837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45837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45837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45837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45837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45837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45837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45837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45837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45837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45837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45837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45837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45837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45837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45837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45837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45837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45837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45837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45837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45837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45837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45837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45837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45837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45837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45837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45837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45837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45837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45837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45837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45837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45837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45837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45837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45837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45837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45837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45837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45837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45837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45837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45837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45837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45837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45837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45837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45837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45837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45837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45837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45837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45837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45837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45837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45837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45837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45837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45837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45837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45837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45837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45837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45837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45837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45837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45837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45837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45837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45837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45837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45837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45837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45837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45837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45837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45837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45837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45837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45837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45837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45837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45837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45837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45837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45837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45837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26301-2025</t>
        </is>
      </c>
      <c r="B516" s="1" t="n">
        <v>45805</v>
      </c>
      <c r="C516" s="1" t="n">
        <v>45837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45837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45837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28369-2025</t>
        </is>
      </c>
      <c r="B519" s="1" t="n">
        <v>45819</v>
      </c>
      <c r="C519" s="1" t="n">
        <v>45837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28368-2025</t>
        </is>
      </c>
      <c r="B520" s="1" t="n">
        <v>45819</v>
      </c>
      <c r="C520" s="1" t="n">
        <v>45837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28370-2025</t>
        </is>
      </c>
      <c r="B521" s="1" t="n">
        <v>45819</v>
      </c>
      <c r="C521" s="1" t="n">
        <v>45837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28367-2025</t>
        </is>
      </c>
      <c r="B522" s="1" t="n">
        <v>45819</v>
      </c>
      <c r="C522" s="1" t="n">
        <v>45837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31603-2025</t>
        </is>
      </c>
      <c r="B523" s="1" t="n">
        <v>45833</v>
      </c>
      <c r="C523" s="1" t="n">
        <v>45837</v>
      </c>
      <c r="D523" t="inlineStr">
        <is>
          <t>ÖREBRO LÄN</t>
        </is>
      </c>
      <c r="E523" t="inlineStr">
        <is>
          <t>DEGERFORS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32300-2025</t>
        </is>
      </c>
      <c r="B524" s="1" t="n">
        <v>45835</v>
      </c>
      <c r="C524" s="1" t="n">
        <v>45837</v>
      </c>
      <c r="D524" t="inlineStr">
        <is>
          <t>ÖREBRO LÄN</t>
        </is>
      </c>
      <c r="E524" t="inlineStr">
        <is>
          <t>DEGERFORS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2025-06-29T19:13:40Z</dcterms:created>
  <dcterms:modified xmlns:dcterms="http://purl.org/dc/terms/" xmlns:xsi="http://www.w3.org/2001/XMLSchema-instance" xsi:type="dcterms:W3CDTF">2025-06-29T19:13:41Z</dcterms:modified>
</cp:coreProperties>
</file>