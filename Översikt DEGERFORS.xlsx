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46232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46232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39</v>
      </c>
      <c r="U3" t="n">
        <v>39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8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10</v>
      </c>
      <c r="T4" t="n">
        <v>18</v>
      </c>
      <c r="U4" t="n">
        <v>17</v>
      </c>
      <c r="V4" s="2" t="inlineStr">
        <is>
          <t>Tornseglare
Dropptaggsvamp
Duvhök
Järnsparv
Orange taggsvamp
Talltita
Spillkråka
Tjäder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8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10</v>
      </c>
      <c r="T5" t="n">
        <v>32</v>
      </c>
      <c r="U5" t="n">
        <v>32</v>
      </c>
      <c r="V5" s="2" t="inlineStr">
        <is>
          <t>Tornseglare
Dropptaggsvamp
Duvhök
Talltita
Tretåig hackspett
Grönpyrola
Nattskärra
Spillkråka
Tofsmes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12721-2024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46232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3.5</v>
      </c>
      <c r="J9" t="n">
        <v>4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Kolflarnlav
Tretåig hackspett
Vaddporing
Flagellkvastmossa
Spillkråka
Tjäder
Fläcknycklar</t>
        </is>
      </c>
      <c r="W9">
        <f>HYPERLINK("https://klasma.github.io/Logging_1862/artfynd/A 12721-2024 artfynd.xlsx", "A 12721-2024")</f>
        <v/>
      </c>
      <c r="X9">
        <f>HYPERLINK("https://klasma.github.io/Logging_1862/kartor/A 12721-2024 karta.png", "A 12721-2024")</f>
        <v/>
      </c>
      <c r="Y9">
        <f>HYPERLINK("https://klasma.github.io/Logging_1862/kartor_geotiff/A 12721-2024 georefererad karta.tif", "A 12721-2024")</f>
        <v/>
      </c>
      <c r="AA9">
        <f>HYPERLINK("https://klasma.github.io/Logging_1862/klagomål/A 12721-2024 FSC-klagomål.docx", "A 12721-2024")</f>
        <v/>
      </c>
      <c r="AB9">
        <f>HYPERLINK("https://klasma.github.io/Logging_1862/klagomålsmail/A 12721-2024 FSC-klagomål mail.docx", "A 12721-2024")</f>
        <v/>
      </c>
      <c r="AC9">
        <f>HYPERLINK("https://klasma.github.io/Logging_1862/tillsyn/A 12721-2024 tillsynsbegäran.docx", "A 12721-2024")</f>
        <v/>
      </c>
      <c r="AD9">
        <f>HYPERLINK("https://klasma.github.io/Logging_1862/tillsynsmail/A 12721-2024 tillsynsbegäran mail.docx", "A 12721-2024")</f>
        <v/>
      </c>
      <c r="AE9">
        <f>HYPERLINK("https://klasma.github.io/Logging_1862/fåglar/A 12721-2024 prioriterade fågelarter.docx", "A 12721-2024")</f>
        <v/>
      </c>
    </row>
    <row r="10" ht="15" customHeight="1">
      <c r="A10" t="inlineStr">
        <is>
          <t>A 12719-2024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11.7</v>
      </c>
      <c r="J10" t="n">
        <v>4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21</v>
      </c>
      <c r="U10" t="n">
        <v>20</v>
      </c>
      <c r="V10" s="2" t="inlineStr">
        <is>
          <t>Jungfrulin
Motaggsvamp
Svinrot
Tretåig hackspett
Tjäder
Åkergroda
Fläcknycklar</t>
        </is>
      </c>
      <c r="W10">
        <f>HYPERLINK("https://klasma.github.io/Logging_1862/artfynd/A 12719-2024 artfynd.xlsx", "A 12719-2024")</f>
        <v/>
      </c>
      <c r="X10">
        <f>HYPERLINK("https://klasma.github.io/Logging_1862/kartor/A 12719-2024 karta.png", "A 12719-2024")</f>
        <v/>
      </c>
      <c r="Y10">
        <f>HYPERLINK("https://klasma.github.io/Logging_1862/kartor_geotiff/A 12719-2024 georefererad karta.tif", "A 12719-2024")</f>
        <v/>
      </c>
      <c r="AA10">
        <f>HYPERLINK("https://klasma.github.io/Logging_1862/klagomål/A 12719-2024 FSC-klagomål.docx", "A 12719-2024")</f>
        <v/>
      </c>
      <c r="AB10">
        <f>HYPERLINK("https://klasma.github.io/Logging_1862/klagomålsmail/A 12719-2024 FSC-klagomål mail.docx", "A 12719-2024")</f>
        <v/>
      </c>
      <c r="AC10">
        <f>HYPERLINK("https://klasma.github.io/Logging_1862/tillsyn/A 12719-2024 tillsynsbegäran.docx", "A 12719-2024")</f>
        <v/>
      </c>
      <c r="AD10">
        <f>HYPERLINK("https://klasma.github.io/Logging_1862/tillsynsmail/A 12719-2024 tillsynsbegäran mail.docx", "A 12719-2024")</f>
        <v/>
      </c>
      <c r="AE10">
        <f>HYPERLINK("https://klasma.github.io/Logging_1862/fåglar/A 12719-2024 prioriterade fågelarter.docx", "A 12719-2024")</f>
        <v/>
      </c>
    </row>
    <row r="11" ht="15" customHeight="1">
      <c r="A11" t="inlineStr">
        <is>
          <t>A 27668-2026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46190</v>
      </c>
      <c r="E11" s="1" t="n">
        <v>46232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2.3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24</v>
      </c>
      <c r="U11" t="n">
        <v>24</v>
      </c>
      <c r="V11" s="2" t="inlineStr">
        <is>
          <t>Tretåig hackspett
Grönpyrola
Mattlummer
Spillkråka
Tjäder
Vanlig snok
Revlummer</t>
        </is>
      </c>
      <c r="W11">
        <f>HYPERLINK("https://klasma.github.io/Logging_1862/artfynd/A 27668-2026 artfynd.xlsx", "A 27668-2026")</f>
        <v/>
      </c>
      <c r="X11">
        <f>HYPERLINK("https://klasma.github.io/Logging_1862/kartor/A 27668-2026 karta.png", "A 27668-2026")</f>
        <v/>
      </c>
      <c r="Y11">
        <f>HYPERLINK("https://klasma.github.io/Logging_1862/kartor_geotiff/A 27668-2026 georefererad karta.tif", "A 27668-2026")</f>
        <v/>
      </c>
      <c r="AA11">
        <f>HYPERLINK("https://klasma.github.io/Logging_1862/klagomål/A 27668-2026 FSC-klagomål.docx", "A 27668-2026")</f>
        <v/>
      </c>
      <c r="AB11">
        <f>HYPERLINK("https://klasma.github.io/Logging_1862/klagomålsmail/A 27668-2026 FSC-klagomål mail.docx", "A 27668-2026")</f>
        <v/>
      </c>
      <c r="AC11">
        <f>HYPERLINK("https://klasma.github.io/Logging_1862/tillsyn/A 27668-2026 tillsynsbegäran.docx", "A 27668-2026")</f>
        <v/>
      </c>
      <c r="AD11">
        <f>HYPERLINK("https://klasma.github.io/Logging_1862/tillsynsmail/A 27668-2026 tillsynsbegäran mail.docx", "A 27668-2026")</f>
        <v/>
      </c>
      <c r="AE11">
        <f>HYPERLINK("https://klasma.github.io/Logging_1862/fåglar/A 27668-2026 prioriterade fågelarter.docx", "A 27668-2026")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46232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6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7</v>
      </c>
      <c r="T12" t="n">
        <v>10</v>
      </c>
      <c r="U12" t="n">
        <v>10</v>
      </c>
      <c r="V12" s="2" t="inlineStr">
        <is>
          <t>Björktrast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46232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t="n">
        <v>27</v>
      </c>
      <c r="V13" s="2" t="inlineStr">
        <is>
          <t>Tretåig hackspett
Grönpyrola
Thomsons trägnagare
Vågbandad barkbock
Spillkråka
Tjäder</t>
        </is>
      </c>
      <c r="W13">
        <f>HYPERLINK("https://klasma.github.io/Logging_1862/artfynd/A 38916-2023 artfynd.xlsx", "A 38916-2023")</f>
        <v/>
      </c>
      <c r="X13">
        <f>HYPERLINK("https://klasma.github.io/Logging_1862/kartor/A 38916-2023 karta.png", "A 38916-2023")</f>
        <v/>
      </c>
      <c r="Y13">
        <f>HYPERLINK("https://klasma.github.io/Logging_1862/kartor_geotiff/A 38916-2023 georefererad karta.tif", "A 38916-2023")</f>
        <v/>
      </c>
      <c r="AA13">
        <f>HYPERLINK("https://klasma.github.io/Logging_1862/klagomål/A 38916-2023 FSC-klagomål.docx", "A 38916-2023")</f>
        <v/>
      </c>
      <c r="AB13">
        <f>HYPERLINK("https://klasma.github.io/Logging_1862/klagomålsmail/A 38916-2023 FSC-klagomål mail.docx", "A 38916-2023")</f>
        <v/>
      </c>
      <c r="AC13">
        <f>HYPERLINK("https://klasma.github.io/Logging_1862/tillsyn/A 38916-2023 tillsynsbegäran.docx", "A 38916-2023")</f>
        <v/>
      </c>
      <c r="AD13">
        <f>HYPERLINK("https://klasma.github.io/Logging_1862/tillsynsmail/A 38916-2023 tillsynsbegäran mail.docx", "A 38916-2023")</f>
        <v/>
      </c>
      <c r="AE13">
        <f>HYPERLINK("https://klasma.github.io/Logging_1862/fåglar/A 38916-2023 prioriterade fågelarter.docx", "A 38916-2023")</f>
        <v/>
      </c>
    </row>
    <row r="14" ht="15" customHeight="1">
      <c r="A14" t="inlineStr">
        <is>
          <t>A 27663-2026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46232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6.8</v>
      </c>
      <c r="J14" t="n">
        <v>5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15</v>
      </c>
      <c r="U14" t="n">
        <v>15</v>
      </c>
      <c r="V14" s="2" t="inlineStr">
        <is>
          <t>Tretåig hackspett
Thomsons trägnagare
Mattlummer
Spillkråka
Tjäder
Revlummer</t>
        </is>
      </c>
      <c r="W14">
        <f>HYPERLINK("https://klasma.github.io/Logging_1862/artfynd/A 27663-2026 artfynd.xlsx", "A 27663-2026")</f>
        <v/>
      </c>
      <c r="X14">
        <f>HYPERLINK("https://klasma.github.io/Logging_1862/kartor/A 27663-2026 karta.png", "A 27663-2026")</f>
        <v/>
      </c>
      <c r="Y14">
        <f>HYPERLINK("https://klasma.github.io/Logging_1862/kartor_geotiff/A 27663-2026 georefererad karta.tif", "A 27663-2026")</f>
        <v/>
      </c>
      <c r="AA14">
        <f>HYPERLINK("https://klasma.github.io/Logging_1862/klagomål/A 27663-2026 FSC-klagomål.docx", "A 27663-2026")</f>
        <v/>
      </c>
      <c r="AB14">
        <f>HYPERLINK("https://klasma.github.io/Logging_1862/klagomålsmail/A 27663-2026 FSC-klagomål mail.docx", "A 27663-2026")</f>
        <v/>
      </c>
      <c r="AC14">
        <f>HYPERLINK("https://klasma.github.io/Logging_1862/tillsyn/A 27663-2026 tillsynsbegäran.docx", "A 27663-2026")</f>
        <v/>
      </c>
      <c r="AD14">
        <f>HYPERLINK("https://klasma.github.io/Logging_1862/tillsynsmail/A 27663-2026 tillsynsbegäran mail.docx", "A 27663-2026")</f>
        <v/>
      </c>
      <c r="AE14">
        <f>HYPERLINK("https://klasma.github.io/Logging_1862/fåglar/A 27663-2026 prioriterade fågelarter.docx", "A 27663-2026")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46232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46232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46232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46232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46232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46232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46232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46232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Tjäder
Fläcknycklar</t>
        </is>
      </c>
      <c r="W31">
        <f>HYPERLINK("https://klasma.github.io/Logging_1862/artfynd/A 38910-2023 artfynd.xlsx", "A 38910-2023")</f>
        <v/>
      </c>
      <c r="X31">
        <f>HYPERLINK("https://klasma.github.io/Logging_1862/kartor/A 38910-2023 karta.png", "A 38910-2023")</f>
        <v/>
      </c>
      <c r="Y31">
        <f>HYPERLINK("https://klasma.github.io/Logging_1862/kartor_geotiff/A 38910-2023 georefererad karta.tif", "A 38910-2023")</f>
        <v/>
      </c>
      <c r="AA31">
        <f>HYPERLINK("https://klasma.github.io/Logging_1862/klagomål/A 38910-2023 FSC-klagomål.docx", "A 38910-2023")</f>
        <v/>
      </c>
      <c r="AB31">
        <f>HYPERLINK("https://klasma.github.io/Logging_1862/klagomålsmail/A 38910-2023 FSC-klagomål mail.docx", "A 38910-2023")</f>
        <v/>
      </c>
      <c r="AC31">
        <f>HYPERLINK("https://klasma.github.io/Logging_1862/tillsyn/A 38910-2023 tillsynsbegäran.docx", "A 38910-2023")</f>
        <v/>
      </c>
      <c r="AD31">
        <f>HYPERLINK("https://klasma.github.io/Logging_1862/tillsynsmail/A 38910-2023 tillsynsbegäran mail.docx", "A 38910-2023")</f>
        <v/>
      </c>
      <c r="AE31">
        <f>HYPERLINK("https://klasma.github.io/Logging_1862/fåglar/A 38910-2023 prioriterade fågelarter.docx", "A 38910-2023")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46232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46232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46232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46232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46232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46232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46232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46232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46232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14177-2026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46232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HYPERLINK("https://klasma.github.io/Logging_1862/artfynd/A 14177-2026 artfynd.xlsx", "A 14177-2026")</f>
        <v/>
      </c>
      <c r="X44">
        <f>HYPERLINK("https://klasma.github.io/Logging_1862/kartor/A 14177-2026 karta.png", "A 14177-2026")</f>
        <v/>
      </c>
      <c r="Y44">
        <f>HYPERLINK("https://klasma.github.io/Logging_1862/kartor_geotiff/A 14177-2026 georefererad karta.tif", "A 14177-2026")</f>
        <v/>
      </c>
      <c r="AA44">
        <f>HYPERLINK("https://klasma.github.io/Logging_1862/klagomål/A 14177-2026 FSC-klagomål.docx", "A 14177-2026")</f>
        <v/>
      </c>
      <c r="AB44">
        <f>HYPERLINK("https://klasma.github.io/Logging_1862/klagomålsmail/A 14177-2026 FSC-klagomål mail.docx", "A 14177-2026")</f>
        <v/>
      </c>
      <c r="AC44">
        <f>HYPERLINK("https://klasma.github.io/Logging_1862/tillsyn/A 14177-2026 tillsynsbegäran.docx", "A 14177-2026")</f>
        <v/>
      </c>
      <c r="AD44">
        <f>HYPERLINK("https://klasma.github.io/Logging_1862/tillsynsmail/A 14177-2026 tillsynsbegäran mail.docx", "A 14177-2026")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46232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47915-2024 artfynd.xlsx", "A 47915-2024")</f>
        <v/>
      </c>
      <c r="X46">
        <f>HYPERLINK("https://klasma.github.io/Logging_1862/kartor/A 47915-2024 karta.png", "A 47915-2024")</f>
        <v/>
      </c>
      <c r="Y46">
        <f>HYPERLINK("https://klasma.github.io/Logging_1862/kartor_geotiff/A 47915-2024 georefererad karta.tif", "A 47915-2024")</f>
        <v/>
      </c>
      <c r="AA46">
        <f>HYPERLINK("https://klasma.github.io/Logging_1862/klagomål/A 47915-2024 FSC-klagomål.docx", "A 47915-2024")</f>
        <v/>
      </c>
      <c r="AB46">
        <f>HYPERLINK("https://klasma.github.io/Logging_1862/klagomålsmail/A 47915-2024 FSC-klagomål mail.docx", "A 47915-2024")</f>
        <v/>
      </c>
      <c r="AC46">
        <f>HYPERLINK("https://klasma.github.io/Logging_1862/tillsyn/A 47915-2024 tillsynsbegäran.docx", "A 47915-2024")</f>
        <v/>
      </c>
      <c r="AD46">
        <f>HYPERLINK("https://klasma.github.io/Logging_1862/tillsynsmail/A 47915-2024 tillsynsbegäran mail.docx", "A 47915-2024")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46232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46232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46232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46232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46232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46232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46232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46232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46232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46232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46232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46232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46232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46232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46232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46232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46232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46232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46232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46232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46232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46232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46232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46232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46232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46232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46232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46232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46232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45535</v>
      </c>
      <c r="E80" s="1" t="n">
        <v>46232</v>
      </c>
      <c r="F80" t="inlineStr">
        <is>
          <t>ÖREBRO LÄN</t>
        </is>
      </c>
      <c r="G80" t="inlineStr">
        <is>
          <t>DEGERFORS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46027</v>
      </c>
      <c r="E81" s="1" t="n">
        <v>46232</v>
      </c>
      <c r="F81" t="inlineStr">
        <is>
          <t>ÖREBRO LÄN</t>
        </is>
      </c>
      <c r="G81" t="inlineStr">
        <is>
          <t>DEGERFORS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46232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46232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46232</v>
      </c>
      <c r="F84" t="inlineStr">
        <is>
          <t>ÖREBRO LÄN</t>
        </is>
      </c>
      <c r="G84" t="inlineStr">
        <is>
          <t>DEGERFORS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46232</v>
      </c>
      <c r="F85" t="inlineStr">
        <is>
          <t>ÖREBRO LÄN</t>
        </is>
      </c>
      <c r="G85" t="inlineStr">
        <is>
          <t>DEGERFORS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46232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46232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46232</v>
      </c>
      <c r="F88" t="inlineStr">
        <is>
          <t>ÖREBRO LÄN</t>
        </is>
      </c>
      <c r="G88" t="inlineStr">
        <is>
          <t>DEGERFORS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46232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46232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60907-2023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45261</v>
      </c>
      <c r="E91" s="1" t="n">
        <v>46232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46232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46232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46232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46232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45468</v>
      </c>
      <c r="E96" s="1" t="n">
        <v>46232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46232</v>
      </c>
      <c r="F97" t="inlineStr">
        <is>
          <t>ÖREBRO LÄN</t>
        </is>
      </c>
      <c r="G97" t="inlineStr">
        <is>
          <t>DEGERFORS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46232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46232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46232</v>
      </c>
      <c r="F100" t="inlineStr">
        <is>
          <t>ÖREBRO LÄN</t>
        </is>
      </c>
      <c r="G100" t="inlineStr">
        <is>
          <t>DEGERFORS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52523-2024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46232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46232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37333-2025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45876</v>
      </c>
      <c r="E103" s="1" t="n">
        <v>46232</v>
      </c>
      <c r="F103" t="inlineStr">
        <is>
          <t>ÖREBRO LÄN</t>
        </is>
      </c>
      <c r="G103" t="inlineStr">
        <is>
          <t>DEGERFORS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46232</v>
      </c>
      <c r="F104" t="inlineStr">
        <is>
          <t>ÖREBRO LÄN</t>
        </is>
      </c>
      <c r="G104" t="inlineStr">
        <is>
          <t>DEGERFORS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45233</v>
      </c>
      <c r="E105" s="1" t="n">
        <v>46232</v>
      </c>
      <c r="F105" t="inlineStr">
        <is>
          <t>ÖREBRO LÄN</t>
        </is>
      </c>
      <c r="G105" t="inlineStr">
        <is>
          <t>DEGERFORS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45621</v>
      </c>
      <c r="E106" s="1" t="n">
        <v>46232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46232</v>
      </c>
      <c r="F107" t="inlineStr">
        <is>
          <t>ÖREBRO LÄN</t>
        </is>
      </c>
      <c r="G107" t="inlineStr">
        <is>
          <t>DEGERFORS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51040-2025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46232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46232</v>
      </c>
      <c r="F109" t="inlineStr">
        <is>
          <t>ÖREBRO LÄN</t>
        </is>
      </c>
      <c r="G109" t="inlineStr">
        <is>
          <t>DEGERFORS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46232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46232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38233-2023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45160</v>
      </c>
      <c r="E112" s="1" t="n">
        <v>46232</v>
      </c>
      <c r="F112" t="inlineStr">
        <is>
          <t>ÖREBRO LÄN</t>
        </is>
      </c>
      <c r="G112" t="inlineStr">
        <is>
          <t>DEGERFORS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10674-2024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45369</v>
      </c>
      <c r="E113" s="1" t="n">
        <v>46232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46232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46232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73693-2021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44552</v>
      </c>
      <c r="E116" s="1" t="n">
        <v>46232</v>
      </c>
      <c r="F116" t="inlineStr">
        <is>
          <t>ÖREBRO LÄN</t>
        </is>
      </c>
      <c r="G116" t="inlineStr">
        <is>
          <t>DEGERFORS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46232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45645</v>
      </c>
      <c r="E118" s="1" t="n">
        <v>46232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46232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46232</v>
      </c>
      <c r="F120" t="inlineStr">
        <is>
          <t>ÖREBRO LÄN</t>
        </is>
      </c>
      <c r="G120" t="inlineStr">
        <is>
          <t>DEGERFORS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46232</v>
      </c>
      <c r="F121" t="inlineStr">
        <is>
          <t>ÖREBRO LÄN</t>
        </is>
      </c>
      <c r="G121" t="inlineStr">
        <is>
          <t>DEGERFORS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46232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46232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46232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46232</v>
      </c>
      <c r="F125" t="inlineStr">
        <is>
          <t>ÖREBRO LÄN</t>
        </is>
      </c>
      <c r="G125" t="inlineStr">
        <is>
          <t>DEGERFORS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46232</v>
      </c>
      <c r="F126" t="inlineStr">
        <is>
          <t>ÖREBRO LÄN</t>
        </is>
      </c>
      <c r="G126" t="inlineStr">
        <is>
          <t>DEGERFORS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46232</v>
      </c>
      <c r="F127" t="inlineStr">
        <is>
          <t>ÖREBRO LÄN</t>
        </is>
      </c>
      <c r="G127" t="inlineStr">
        <is>
          <t>DEGERFORS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12148-2025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45729</v>
      </c>
      <c r="E128" s="1" t="n">
        <v>46232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46232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46232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46232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46232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46232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13039-2026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46232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45351</v>
      </c>
      <c r="E135" s="1" t="n">
        <v>46232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21952-2024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45443</v>
      </c>
      <c r="E136" s="1" t="n">
        <v>46232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46232</v>
      </c>
      <c r="F137" t="inlineStr">
        <is>
          <t>ÖREBRO LÄN</t>
        </is>
      </c>
      <c r="G137" t="inlineStr">
        <is>
          <t>DEGERFORS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45729</v>
      </c>
      <c r="E138" s="1" t="n">
        <v>46232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46232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20577-2023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45057</v>
      </c>
      <c r="E140" s="1" t="n">
        <v>46232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45365-2023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45192</v>
      </c>
      <c r="E141" s="1" t="n">
        <v>46232</v>
      </c>
      <c r="F141" t="inlineStr">
        <is>
          <t>ÖREBRO LÄN</t>
        </is>
      </c>
      <c r="G141" t="inlineStr">
        <is>
          <t>DEGERFORS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45338</v>
      </c>
      <c r="E142" s="1" t="n">
        <v>46232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46232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46232</v>
      </c>
      <c r="F144" t="inlineStr">
        <is>
          <t>ÖREBRO LÄN</t>
        </is>
      </c>
      <c r="G144" t="inlineStr">
        <is>
          <t>DEGERFORS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46232</v>
      </c>
      <c r="F145" t="inlineStr">
        <is>
          <t>ÖREBRO LÄN</t>
        </is>
      </c>
      <c r="G145" t="inlineStr">
        <is>
          <t>DEGERFORS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46132</v>
      </c>
      <c r="E146" s="1" t="n">
        <v>46232</v>
      </c>
      <c r="F146" t="inlineStr">
        <is>
          <t>ÖREBRO LÄN</t>
        </is>
      </c>
      <c r="G146" t="inlineStr">
        <is>
          <t>DEGERFORS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6394-2024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45338</v>
      </c>
      <c r="E147" s="1" t="n">
        <v>46232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46232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46232</v>
      </c>
      <c r="F149" t="inlineStr">
        <is>
          <t>ÖREBRO LÄN</t>
        </is>
      </c>
      <c r="G149" t="inlineStr">
        <is>
          <t>DEGERFORS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46232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45116</v>
      </c>
      <c r="E151" s="1" t="n">
        <v>46232</v>
      </c>
      <c r="F151" t="inlineStr">
        <is>
          <t>ÖREBRO LÄN</t>
        </is>
      </c>
      <c r="G151" t="inlineStr">
        <is>
          <t>DEGERFORS</t>
        </is>
      </c>
      <c r="I151" t="n">
        <v>17.2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46232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46232</v>
      </c>
      <c r="F153" t="inlineStr">
        <is>
          <t>ÖREBRO LÄN</t>
        </is>
      </c>
      <c r="G153" t="inlineStr">
        <is>
          <t>DEGERFORS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46232</v>
      </c>
      <c r="F154" t="inlineStr">
        <is>
          <t>ÖREBRO LÄN</t>
        </is>
      </c>
      <c r="G154" t="inlineStr">
        <is>
          <t>DEGERFORS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46232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46232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46232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46232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46232</v>
      </c>
      <c r="F159" t="inlineStr">
        <is>
          <t>ÖREBRO LÄN</t>
        </is>
      </c>
      <c r="G159" t="inlineStr">
        <is>
          <t>DEGERFORS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46232</v>
      </c>
      <c r="F160" t="inlineStr">
        <is>
          <t>ÖREBRO LÄN</t>
        </is>
      </c>
      <c r="G160" t="inlineStr">
        <is>
          <t>DEGERFORS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45387</v>
      </c>
      <c r="E161" s="1" t="n">
        <v>46232</v>
      </c>
      <c r="F161" t="inlineStr">
        <is>
          <t>ÖREBRO LÄN</t>
        </is>
      </c>
      <c r="G161" t="inlineStr">
        <is>
          <t>DEGERFORS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46232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46232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46232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46232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46232</v>
      </c>
      <c r="F167" t="inlineStr">
        <is>
          <t>ÖREBRO LÄN</t>
        </is>
      </c>
      <c r="G167" t="inlineStr">
        <is>
          <t>DEGERFORS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46232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46232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46232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46232</v>
      </c>
      <c r="F171" t="inlineStr">
        <is>
          <t>ÖREBRO LÄN</t>
        </is>
      </c>
      <c r="G171" t="inlineStr">
        <is>
          <t>DEGERFORS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46149</v>
      </c>
      <c r="E172" s="1" t="n">
        <v>46232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46232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46232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46232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46232</v>
      </c>
      <c r="F176" t="inlineStr">
        <is>
          <t>ÖREBRO LÄN</t>
        </is>
      </c>
      <c r="G176" t="inlineStr">
        <is>
          <t>DEGERFORS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46232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46199</v>
      </c>
      <c r="E178" s="1" t="n">
        <v>46232</v>
      </c>
      <c r="F178" t="inlineStr">
        <is>
          <t>ÖREBRO LÄN</t>
        </is>
      </c>
      <c r="G178" t="inlineStr">
        <is>
          <t>DEGERFORS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46232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46232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46232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46232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46232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46202</v>
      </c>
      <c r="E184" s="1" t="n">
        <v>46232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46232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45601</v>
      </c>
      <c r="E186" s="1" t="n">
        <v>46232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46162</v>
      </c>
      <c r="E187" s="1" t="n">
        <v>46232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46232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46232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44735-2021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46232</v>
      </c>
      <c r="F190" t="inlineStr">
        <is>
          <t>ÖREBRO LÄN</t>
        </is>
      </c>
      <c r="G190" t="inlineStr">
        <is>
          <t>DEGERFORS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14678-2025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45742</v>
      </c>
      <c r="E191" s="1" t="n">
        <v>46232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46232</v>
      </c>
      <c r="F192" t="inlineStr">
        <is>
          <t>ÖREBRO LÄN</t>
        </is>
      </c>
      <c r="G192" t="inlineStr">
        <is>
          <t>DEGERFORS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59158-2022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44904</v>
      </c>
      <c r="E193" s="1" t="n">
        <v>46232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46204</v>
      </c>
      <c r="E194" s="1" t="n">
        <v>46232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46232</v>
      </c>
      <c r="F195" t="inlineStr">
        <is>
          <t>ÖREBRO LÄN</t>
        </is>
      </c>
      <c r="G195" t="inlineStr">
        <is>
          <t>DEGERFORS</t>
        </is>
      </c>
      <c r="I195" t="n">
        <v>13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46232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44986</v>
      </c>
      <c r="E197" s="1" t="n">
        <v>46232</v>
      </c>
      <c r="F197" t="inlineStr">
        <is>
          <t>ÖREBRO LÄN</t>
        </is>
      </c>
      <c r="G197" t="inlineStr">
        <is>
          <t>DEGERFORS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44989</v>
      </c>
      <c r="E198" s="1" t="n">
        <v>46232</v>
      </c>
      <c r="F198" t="inlineStr">
        <is>
          <t>ÖREBRO LÄN</t>
        </is>
      </c>
      <c r="G198" t="inlineStr">
        <is>
          <t>DEGERFORS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46232</v>
      </c>
      <c r="F199" t="inlineStr">
        <is>
          <t>ÖREBRO LÄN</t>
        </is>
      </c>
      <c r="G199" t="inlineStr">
        <is>
          <t>DEGERFORS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46232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46232</v>
      </c>
      <c r="F201" t="inlineStr">
        <is>
          <t>ÖREBRO LÄN</t>
        </is>
      </c>
      <c r="G201" t="inlineStr">
        <is>
          <t>DEGERFORS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45861-2023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45195</v>
      </c>
      <c r="E202" s="1" t="n">
        <v>46232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46232</v>
      </c>
      <c r="F203" t="inlineStr">
        <is>
          <t>ÖREBRO LÄN</t>
        </is>
      </c>
      <c r="G203" t="inlineStr">
        <is>
          <t>DEGERFORS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46232</v>
      </c>
      <c r="F204" t="inlineStr">
        <is>
          <t>ÖREBRO LÄN</t>
        </is>
      </c>
      <c r="G204" t="inlineStr">
        <is>
          <t>DEGERFORS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46232</v>
      </c>
      <c r="F205" t="inlineStr">
        <is>
          <t>ÖREBRO LÄN</t>
        </is>
      </c>
      <c r="G205" t="inlineStr">
        <is>
          <t>DEGERFORS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46232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46232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46232</v>
      </c>
      <c r="F208" t="inlineStr">
        <is>
          <t>ÖREBRO LÄN</t>
        </is>
      </c>
      <c r="G208" t="inlineStr">
        <is>
          <t>DEGERFORS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61750-2021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46232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46232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46232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46232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46232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46230</v>
      </c>
      <c r="E214" s="1" t="n">
        <v>46232</v>
      </c>
      <c r="F214" t="inlineStr">
        <is>
          <t>ÖREBRO LÄN</t>
        </is>
      </c>
      <c r="G214" t="inlineStr">
        <is>
          <t>DEGERFORS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46185</v>
      </c>
      <c r="E215" s="1" t="n">
        <v>46232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46232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46232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46232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46232</v>
      </c>
      <c r="F219" t="inlineStr">
        <is>
          <t>ÖREBRO LÄN</t>
        </is>
      </c>
      <c r="G219" t="inlineStr">
        <is>
          <t>DEGERFORS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46232</v>
      </c>
      <c r="F220" t="inlineStr">
        <is>
          <t>ÖREBRO LÄN</t>
        </is>
      </c>
      <c r="G220" t="inlineStr">
        <is>
          <t>DEGERFORS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46232</v>
      </c>
      <c r="F221" t="inlineStr">
        <is>
          <t>ÖREBRO LÄN</t>
        </is>
      </c>
      <c r="G221" t="inlineStr">
        <is>
          <t>DEGERFORS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46232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46232</v>
      </c>
      <c r="F223" t="inlineStr">
        <is>
          <t>ÖREBRO LÄN</t>
        </is>
      </c>
      <c r="G223" t="inlineStr">
        <is>
          <t>DEGERFORS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46232</v>
      </c>
      <c r="F224" t="inlineStr">
        <is>
          <t>ÖREBRO LÄN</t>
        </is>
      </c>
      <c r="G224" t="inlineStr">
        <is>
          <t>DEGERFORS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46232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46232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46232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46232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46232</v>
      </c>
      <c r="F229" t="inlineStr">
        <is>
          <t>ÖREBRO LÄN</t>
        </is>
      </c>
      <c r="G229" t="inlineStr">
        <is>
          <t>DEGERFORS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46232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46232</v>
      </c>
      <c r="F231" t="inlineStr">
        <is>
          <t>ÖREBRO LÄN</t>
        </is>
      </c>
      <c r="G231" t="inlineStr">
        <is>
          <t>DEGERFORS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46232</v>
      </c>
      <c r="F232" t="inlineStr">
        <is>
          <t>ÖREBRO LÄN</t>
        </is>
      </c>
      <c r="G232" t="inlineStr">
        <is>
          <t>DEGERFORS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46232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46232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2026-07-29T01:48:38Z</dcterms:created>
  <dcterms:modified xmlns:dcterms="http://purl.org/dc/terms/" xmlns:xsi="http://www.w3.org/2001/XMLSchema-instance" xsi:type="dcterms:W3CDTF">2026-07-29T01:48:38Z</dcterms:modified>
</cp:coreProperties>
</file>