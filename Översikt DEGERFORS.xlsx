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46315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46315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46315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46315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46315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46315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46315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46315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46315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46315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46315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46315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46315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46315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46315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46315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46315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46315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46315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46315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46315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46315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46315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46315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46315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46315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46315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46315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46315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46315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46315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46315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HYPERLINK("https://klasma.github.io/Logging_1862/artfynd/A 47915-2024 artfynd.xlsx", "A 47915-2024")</f>
        <v/>
      </c>
      <c r="X33">
        <f>HYPERLINK("https://klasma.github.io/Logging_1862/kartor/A 47915-2024 karta.png", "A 47915-2024")</f>
        <v/>
      </c>
      <c r="Y33">
        <f>HYPERLINK("https://klasma.github.io/Logging_1862/kartor_geotiff/A 47915-2024 georefererad karta.tif", "A 47915-2024")</f>
        <v/>
      </c>
      <c r="AA33">
        <f>HYPERLINK("https://klasma.github.io/Logging_1862/klagomål/A 47915-2024 FSC-klagomål.docx", "A 47915-2024")</f>
        <v/>
      </c>
      <c r="AB33">
        <f>HYPERLINK("https://klasma.github.io/Logging_1862/klagomålsmail/A 47915-2024 FSC-klagomål mail.docx", "A 47915-2024")</f>
        <v/>
      </c>
      <c r="AC33">
        <f>HYPERLINK("https://klasma.github.io/Logging_1862/tillsyn/A 47915-2024 tillsynsbegäran.docx", "A 47915-2024")</f>
        <v/>
      </c>
      <c r="AD33">
        <f>HYPERLINK("https://klasma.github.io/Logging_1862/tillsynsmail/A 47915-2024 tillsynsbegäran mail.docx", "A 47915-2024")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46315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38904-2023 artfynd.xlsx", "A 38904-2023")</f>
        <v/>
      </c>
      <c r="X34">
        <f>HYPERLINK("https://klasma.github.io/Logging_1862/kartor/A 38904-2023 karta.png", "A 38904-2023")</f>
        <v/>
      </c>
      <c r="Y34">
        <f>HYPERLINK("https://klasma.github.io/Logging_1862/kartor_geotiff/A 38904-2023 georefererad karta.tif", "A 38904-2023")</f>
        <v/>
      </c>
      <c r="AA34">
        <f>HYPERLINK("https://klasma.github.io/Logging_1862/klagomål/A 38904-2023 FSC-klagomål.docx", "A 38904-2023")</f>
        <v/>
      </c>
      <c r="AB34">
        <f>HYPERLINK("https://klasma.github.io/Logging_1862/klagomålsmail/A 38904-2023 FSC-klagomål mail.docx", "A 38904-2023")</f>
        <v/>
      </c>
      <c r="AC34">
        <f>HYPERLINK("https://klasma.github.io/Logging_1862/tillsyn/A 38904-2023 tillsynsbegäran.docx", "A 38904-2023")</f>
        <v/>
      </c>
      <c r="AD34">
        <f>HYPERLINK("https://klasma.github.io/Logging_1862/tillsynsmail/A 38904-2023 tillsynsbegäran mail.docx", "A 38904-2023")</f>
        <v/>
      </c>
      <c r="AE34">
        <f>HYPERLINK("https://klasma.github.io/Logging_1862/fåglar/A 38904-2023 prioriterade fågelarter.docx", "A 38904-2023")</f>
        <v/>
      </c>
    </row>
    <row r="35" ht="15" customHeight="1">
      <c r="A35" t="inlineStr">
        <is>
          <t>A 48285-2023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45205</v>
      </c>
      <c r="E35" s="1" t="n">
        <v>46315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48285-2023 artfynd.xlsx", "A 48285-2023")</f>
        <v/>
      </c>
      <c r="X35">
        <f>HYPERLINK("https://klasma.github.io/Logging_1862/kartor/A 48285-2023 karta.png", "A 48285-2023")</f>
        <v/>
      </c>
      <c r="Y35">
        <f>HYPERLINK("https://klasma.github.io/Logging_1862/kartor_geotiff/A 48285-2023 georefererad karta.tif", "A 48285-2023")</f>
        <v/>
      </c>
      <c r="AA35">
        <f>HYPERLINK("https://klasma.github.io/Logging_1862/klagomål/A 48285-2023 FSC-klagomål.docx", "A 48285-2023")</f>
        <v/>
      </c>
      <c r="AB35">
        <f>HYPERLINK("https://klasma.github.io/Logging_1862/klagomålsmail/A 48285-2023 FSC-klagomål mail.docx", "A 48285-2023")</f>
        <v/>
      </c>
      <c r="AC35">
        <f>HYPERLINK("https://klasma.github.io/Logging_1862/tillsyn/A 48285-2023 tillsynsbegäran.docx", "A 48285-2023")</f>
        <v/>
      </c>
      <c r="AD35">
        <f>HYPERLINK("https://klasma.github.io/Logging_1862/tillsynsmail/A 48285-2023 tillsynsbegäran mail.docx", "A 48285-2023")</f>
        <v/>
      </c>
      <c r="AE35">
        <f>HYPERLINK("https://klasma.github.io/Logging_1862/fåglar/A 48285-2023 prioriterade fågelarter.docx", "A 48285-2023")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46315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HYPERLINK("https://klasma.github.io/Logging_1862/artfynd/A 49306-2025 artfynd.xlsx", "A 49306-2025")</f>
        <v/>
      </c>
      <c r="X36">
        <f>HYPERLINK("https://klasma.github.io/Logging_1862/kartor/A 49306-2025 karta.png", "A 49306-2025")</f>
        <v/>
      </c>
      <c r="Y36">
        <f>HYPERLINK("https://klasma.github.io/Logging_1862/kartor_geotiff/A 49306-2025 georefererad karta.tif", "A 49306-2025")</f>
        <v/>
      </c>
      <c r="AA36">
        <f>HYPERLINK("https://klasma.github.io/Logging_1862/klagomål/A 49306-2025 FSC-klagomål.docx", "A 49306-2025")</f>
        <v/>
      </c>
      <c r="AB36">
        <f>HYPERLINK("https://klasma.github.io/Logging_1862/klagomålsmail/A 49306-2025 FSC-klagomål mail.docx", "A 49306-2025")</f>
        <v/>
      </c>
      <c r="AC36">
        <f>HYPERLINK("https://klasma.github.io/Logging_1862/tillsyn/A 49306-2025 tillsynsbegäran.docx", "A 49306-2025")</f>
        <v/>
      </c>
      <c r="AD36">
        <f>HYPERLINK("https://klasma.github.io/Logging_1862/tillsynsmail/A 49306-2025 tillsynsbegäran mail.docx", "A 49306-2025")</f>
        <v/>
      </c>
    </row>
    <row r="37" ht="15" customHeight="1">
      <c r="A37" t="inlineStr">
        <is>
          <t>A 27093-2023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46315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27093-2023 artfynd.xlsx", "A 27093-2023")</f>
        <v/>
      </c>
      <c r="X37">
        <f>HYPERLINK("https://klasma.github.io/Logging_1862/kartor/A 27093-2023 karta.png", "A 27093-2023")</f>
        <v/>
      </c>
      <c r="Y37">
        <f>HYPERLINK("https://klasma.github.io/Logging_1862/kartor_geotiff/A 27093-2023 georefererad karta.tif", "A 27093-2023")</f>
        <v/>
      </c>
      <c r="AA37">
        <f>HYPERLINK("https://klasma.github.io/Logging_1862/klagomål/A 27093-2023 FSC-klagomål.docx", "A 27093-2023")</f>
        <v/>
      </c>
      <c r="AB37">
        <f>HYPERLINK("https://klasma.github.io/Logging_1862/klagomålsmail/A 27093-2023 FSC-klagomål mail.docx", "A 27093-2023")</f>
        <v/>
      </c>
      <c r="AC37">
        <f>HYPERLINK("https://klasma.github.io/Logging_1862/tillsyn/A 27093-2023 tillsynsbegäran.docx", "A 27093-2023")</f>
        <v/>
      </c>
      <c r="AD37">
        <f>HYPERLINK("https://klasma.github.io/Logging_1862/tillsynsmail/A 27093-2023 tillsynsbegäran mail.docx", "A 27093-2023")</f>
        <v/>
      </c>
      <c r="AE37">
        <f>HYPERLINK("https://klasma.github.io/Logging_1862/fåglar/A 27093-2023 prioriterade fågelarter.docx", "A 27093-2023")</f>
        <v/>
      </c>
    </row>
    <row r="38" ht="15" customHeight="1">
      <c r="A38" t="inlineStr">
        <is>
          <t>A 47787-2025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46315</v>
      </c>
      <c r="F38" t="inlineStr">
        <is>
          <t>ÖREBRO LÄN</t>
        </is>
      </c>
      <c r="G38" t="inlineStr">
        <is>
          <t>DEGERFORS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Tretåig hackspett</t>
        </is>
      </c>
      <c r="W38">
        <f>HYPERLINK("https://klasma.github.io/Logging_1862/artfynd/A 47787-2025 artfynd.xlsx", "A 47787-2025")</f>
        <v/>
      </c>
      <c r="X38">
        <f>HYPERLINK("https://klasma.github.io/Logging_1862/kartor/A 47787-2025 karta.png", "A 47787-2025")</f>
        <v/>
      </c>
      <c r="Y38">
        <f>HYPERLINK("https://klasma.github.io/Logging_1862/kartor_geotiff/A 47787-2025 georefererad karta.tif", "A 47787-2025")</f>
        <v/>
      </c>
      <c r="AA38">
        <f>HYPERLINK("https://klasma.github.io/Logging_1862/klagomål/A 47787-2025 FSC-klagomål.docx", "A 47787-2025")</f>
        <v/>
      </c>
      <c r="AB38">
        <f>HYPERLINK("https://klasma.github.io/Logging_1862/klagomålsmail/A 47787-2025 FSC-klagomål mail.docx", "A 47787-2025")</f>
        <v/>
      </c>
      <c r="AC38">
        <f>HYPERLINK("https://klasma.github.io/Logging_1862/tillsyn/A 47787-2025 tillsynsbegäran.docx", "A 47787-2025")</f>
        <v/>
      </c>
      <c r="AD38">
        <f>HYPERLINK("https://klasma.github.io/Logging_1862/tillsynsmail/A 47787-2025 tillsynsbegäran mail.docx", "A 47787-2025")</f>
        <v/>
      </c>
      <c r="AE38">
        <f>HYPERLINK("https://klasma.github.io/Logging_1862/fåglar/A 47787-2025 prioriterade fågelarter.docx", "A 47787-2025")</f>
        <v/>
      </c>
    </row>
    <row r="39" ht="15" customHeight="1">
      <c r="A39" t="inlineStr">
        <is>
          <t>A 47941-2024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46315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Brunfläckig pärlemorfjäril</t>
        </is>
      </c>
      <c r="W39">
        <f>HYPERLINK("https://klasma.github.io/Logging_1862/artfynd/A 47941-2024 artfynd.xlsx", "A 47941-2024")</f>
        <v/>
      </c>
      <c r="X39">
        <f>HYPERLINK("https://klasma.github.io/Logging_1862/kartor/A 47941-2024 karta.png", "A 47941-2024")</f>
        <v/>
      </c>
      <c r="Y39">
        <f>HYPERLINK("https://klasma.github.io/Logging_1862/kartor_geotiff/A 47941-2024 georefererad karta.tif", "A 47941-2024")</f>
        <v/>
      </c>
      <c r="AA39">
        <f>HYPERLINK("https://klasma.github.io/Logging_1862/klagomål/A 47941-2024 FSC-klagomål.docx", "A 47941-2024")</f>
        <v/>
      </c>
      <c r="AB39">
        <f>HYPERLINK("https://klasma.github.io/Logging_1862/klagomålsmail/A 47941-2024 FSC-klagomål mail.docx", "A 47941-2024")</f>
        <v/>
      </c>
      <c r="AC39">
        <f>HYPERLINK("https://klasma.github.io/Logging_1862/tillsyn/A 47941-2024 tillsynsbegäran.docx", "A 47941-2024")</f>
        <v/>
      </c>
      <c r="AD39">
        <f>HYPERLINK("https://klasma.github.io/Logging_1862/tillsynsmail/A 47941-2024 tillsynsbegäran mail.docx", "A 47941-2024")</f>
        <v/>
      </c>
    </row>
    <row r="40" ht="15" customHeight="1">
      <c r="A40" t="inlineStr">
        <is>
          <t>A 14121-2022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46315</v>
      </c>
      <c r="F40" t="inlineStr">
        <is>
          <t>ÖREBRO LÄN</t>
        </is>
      </c>
      <c r="G40" t="inlineStr">
        <is>
          <t>DEGERFORS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Hårklomossa</t>
        </is>
      </c>
      <c r="W40">
        <f>HYPERLINK("https://klasma.github.io/Logging_1862/artfynd/A 14121-2022 artfynd.xlsx", "A 14121-2022")</f>
        <v/>
      </c>
      <c r="X40">
        <f>HYPERLINK("https://klasma.github.io/Logging_1862/kartor/A 14121-2022 karta.png", "A 14121-2022")</f>
        <v/>
      </c>
      <c r="Y40">
        <f>HYPERLINK("https://klasma.github.io/Logging_1862/kartor_geotiff/A 14121-2022 georefererad karta.tif", "A 14121-2022")</f>
        <v/>
      </c>
      <c r="AA40">
        <f>HYPERLINK("https://klasma.github.io/Logging_1862/klagomål/A 14121-2022 FSC-klagomål.docx", "A 14121-2022")</f>
        <v/>
      </c>
      <c r="AB40">
        <f>HYPERLINK("https://klasma.github.io/Logging_1862/klagomålsmail/A 14121-2022 FSC-klagomål mail.docx", "A 14121-2022")</f>
        <v/>
      </c>
      <c r="AC40">
        <f>HYPERLINK("https://klasma.github.io/Logging_1862/tillsyn/A 14121-2022 tillsynsbegäran.docx", "A 14121-2022")</f>
        <v/>
      </c>
      <c r="AD40">
        <f>HYPERLINK("https://klasma.github.io/Logging_1862/tillsynsmail/A 14121-2022 tillsynsbegäran mail.docx", "A 14121-2022")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46315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27071-2026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46186</v>
      </c>
      <c r="E42" s="1" t="n">
        <v>46315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Vedticka</t>
        </is>
      </c>
      <c r="W42">
        <f>HYPERLINK("https://klasma.github.io/Logging_1862/artfynd/A 27071-2026 artfynd.xlsx", "A 27071-2026")</f>
        <v/>
      </c>
      <c r="X42">
        <f>HYPERLINK("https://klasma.github.io/Logging_1862/kartor/A 27071-2026 karta.png", "A 27071-2026")</f>
        <v/>
      </c>
      <c r="Y42">
        <f>HYPERLINK("https://klasma.github.io/Logging_1862/kartor_geotiff/A 27071-2026 georefererad karta.tif", "A 27071-2026")</f>
        <v/>
      </c>
      <c r="AA42">
        <f>HYPERLINK("https://klasma.github.io/Logging_1862/klagomål/A 27071-2026 FSC-klagomål.docx", "A 27071-2026")</f>
        <v/>
      </c>
      <c r="AB42">
        <f>HYPERLINK("https://klasma.github.io/Logging_1862/klagomålsmail/A 27071-2026 FSC-klagomål mail.docx", "A 27071-2026")</f>
        <v/>
      </c>
      <c r="AC42">
        <f>HYPERLINK("https://klasma.github.io/Logging_1862/tillsyn/A 27071-2026 tillsynsbegäran.docx", "A 27071-2026")</f>
        <v/>
      </c>
      <c r="AD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46315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7.6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HYPERLINK("https://klasma.github.io/Logging_1862/artfynd/A 27072-2026 artfynd.xlsx", "A 27072-2026")</f>
        <v/>
      </c>
      <c r="X43">
        <f>HYPERLINK("https://klasma.github.io/Logging_1862/kartor/A 27072-2026 karta.png", "A 27072-2026")</f>
        <v/>
      </c>
      <c r="Y43">
        <f>HYPERLINK("https://klasma.github.io/Logging_1862/kartor_geotiff/A 27072-2026 georefererad karta.tif", "A 27072-2026")</f>
        <v/>
      </c>
      <c r="AA43">
        <f>HYPERLINK("https://klasma.github.io/Logging_1862/klagomål/A 27072-2026 FSC-klagomål.docx", "A 27072-2026")</f>
        <v/>
      </c>
      <c r="AB43">
        <f>HYPERLINK("https://klasma.github.io/Logging_1862/klagomålsmail/A 27072-2026 FSC-klagomål mail.docx", "A 27072-2026")</f>
        <v/>
      </c>
      <c r="AC43">
        <f>HYPERLINK("https://klasma.github.io/Logging_1862/tillsyn/A 27072-2026 tillsynsbegäran.docx", "A 27072-2026")</f>
        <v/>
      </c>
      <c r="AD43">
        <f>HYPERLINK("https://klasma.github.io/Logging_1862/tillsynsmail/A 27072-2026 tillsynsbegäran mail.docx", "A 27072-2026")</f>
        <v/>
      </c>
      <c r="AE43">
        <f>HYPERLINK("https://klasma.github.io/Logging_1862/fåglar/A 27072-2026 prioriterade fågelarter.docx", "A 27072-2026")</f>
        <v/>
      </c>
    </row>
    <row r="44" ht="15" customHeight="1">
      <c r="A44" t="inlineStr">
        <is>
          <t>A 33297-2023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45116</v>
      </c>
      <c r="E44" s="1" t="n">
        <v>46315</v>
      </c>
      <c r="F44" t="inlineStr">
        <is>
          <t>ÖREBRO LÄN</t>
        </is>
      </c>
      <c r="G44" t="inlineStr">
        <is>
          <t>DEGERFORS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HYPERLINK("https://klasma.github.io/Logging_1862/artfynd/A 33297-2023 artfynd.xlsx", "A 33297-2023")</f>
        <v/>
      </c>
      <c r="X44">
        <f>HYPERLINK("https://klasma.github.io/Logging_1862/kartor/A 33297-2023 karta.png", "A 33297-2023")</f>
        <v/>
      </c>
      <c r="Y44">
        <f>HYPERLINK("https://klasma.github.io/Logging_1862/kartor_geotiff/A 33297-2023 georefererad karta.tif", "A 33297-2023")</f>
        <v/>
      </c>
      <c r="AA44">
        <f>HYPERLINK("https://klasma.github.io/Logging_1862/klagomål/A 33297-2023 FSC-klagomål.docx", "A 33297-2023")</f>
        <v/>
      </c>
      <c r="AB44">
        <f>HYPERLINK("https://klasma.github.io/Logging_1862/klagomålsmail/A 33297-2023 FSC-klagomål mail.docx", "A 33297-2023")</f>
        <v/>
      </c>
      <c r="AC44">
        <f>HYPERLINK("https://klasma.github.io/Logging_1862/tillsyn/A 33297-2023 tillsynsbegäran.docx", "A 33297-2023")</f>
        <v/>
      </c>
      <c r="AD44">
        <f>HYPERLINK("https://klasma.github.io/Logging_1862/tillsynsmail/A 33297-2023 tillsynsbegäran mail.docx", "A 33297-2023")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46315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46315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2357-2022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46315</v>
      </c>
      <c r="F47" t="inlineStr">
        <is>
          <t>ÖREBRO LÄN</t>
        </is>
      </c>
      <c r="G47" t="inlineStr">
        <is>
          <t>DEGERFORS</t>
        </is>
      </c>
      <c r="I47" t="n">
        <v>4.5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2357-2022 artfynd.xlsx", "A 2357-2022")</f>
        <v/>
      </c>
      <c r="X47">
        <f>HYPERLINK("https://klasma.github.io/Logging_1862/kartor/A 2357-2022 karta.png", "A 2357-2022")</f>
        <v/>
      </c>
      <c r="Y47">
        <f>HYPERLINK("https://klasma.github.io/Logging_1862/kartor_geotiff/A 2357-2022 georefererad karta.tif", "A 2357-2022")</f>
        <v/>
      </c>
      <c r="AA47">
        <f>HYPERLINK("https://klasma.github.io/Logging_1862/klagomål/A 2357-2022 FSC-klagomål.docx", "A 2357-2022")</f>
        <v/>
      </c>
      <c r="AB47">
        <f>HYPERLINK("https://klasma.github.io/Logging_1862/klagomålsmail/A 2357-2022 FSC-klagomål mail.docx", "A 2357-2022")</f>
        <v/>
      </c>
      <c r="AC47">
        <f>HYPERLINK("https://klasma.github.io/Logging_1862/tillsyn/A 2357-2022 tillsynsbegäran.docx", "A 2357-2022")</f>
        <v/>
      </c>
      <c r="AD47">
        <f>HYPERLINK("https://klasma.github.io/Logging_1862/tillsynsmail/A 2357-2022 tillsynsbegäran mail.docx", "A 2357-2022")</f>
        <v/>
      </c>
      <c r="AE47">
        <f>HYPERLINK("https://klasma.github.io/Logging_1862/fåglar/A 2357-2022 prioriterade fågelarter.docx", "A 2357-2022")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46315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42337-2026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46315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4.7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42337-2026 artfynd.xlsx", "A 42337-2026")</f>
        <v/>
      </c>
      <c r="X49">
        <f>HYPERLINK("https://klasma.github.io/Logging_1862/kartor/A 42337-2026 karta.png", "A 42337-2026")</f>
        <v/>
      </c>
      <c r="Y49">
        <f>HYPERLINK("https://klasma.github.io/Logging_1862/kartor_geotiff/A 42337-2026 georefererad karta.tif", "A 42337-2026")</f>
        <v/>
      </c>
      <c r="AA49">
        <f>HYPERLINK("https://klasma.github.io/Logging_1862/klagomål/A 42337-2026 FSC-klagomål.docx", "A 42337-2026")</f>
        <v/>
      </c>
      <c r="AB49">
        <f>HYPERLINK("https://klasma.github.io/Logging_1862/klagomålsmail/A 42337-2026 FSC-klagomål mail.docx", "A 42337-2026")</f>
        <v/>
      </c>
      <c r="AC49">
        <f>HYPERLINK("https://klasma.github.io/Logging_1862/tillsyn/A 42337-2026 tillsynsbegäran.docx", "A 42337-2026")</f>
        <v/>
      </c>
      <c r="AD49">
        <f>HYPERLINK("https://klasma.github.io/Logging_1862/tillsynsmail/A 42337-2026 tillsynsbegäran mail.docx", "A 42337-2026")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46315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46315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46315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46315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46315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46315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46315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46315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46315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46315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46315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46315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46315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46315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46315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45861-2023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45195</v>
      </c>
      <c r="E65" s="1" t="n">
        <v>46315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6394-2024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45338</v>
      </c>
      <c r="E66" s="1" t="n">
        <v>46315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46315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46315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46315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46315</v>
      </c>
      <c r="F70" t="inlineStr">
        <is>
          <t>ÖREBRO LÄN</t>
        </is>
      </c>
      <c r="G70" t="inlineStr">
        <is>
          <t>DEGERFORS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45601</v>
      </c>
      <c r="E71" s="1" t="n">
        <v>46315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45387</v>
      </c>
      <c r="E72" s="1" t="n">
        <v>46315</v>
      </c>
      <c r="F72" t="inlineStr">
        <is>
          <t>ÖREBRO LÄN</t>
        </is>
      </c>
      <c r="G72" t="inlineStr">
        <is>
          <t>DEGERFORS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46315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46315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6387-2024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45338</v>
      </c>
      <c r="E75" s="1" t="n">
        <v>46315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59158-2022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44904</v>
      </c>
      <c r="E76" s="1" t="n">
        <v>46315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46315</v>
      </c>
      <c r="F77" t="inlineStr">
        <is>
          <t>ÖREBRO LÄN</t>
        </is>
      </c>
      <c r="G77" t="inlineStr">
        <is>
          <t>DEGERFORS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43768-2024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45569</v>
      </c>
      <c r="E78" s="1" t="n">
        <v>46315</v>
      </c>
      <c r="F78" t="inlineStr">
        <is>
          <t>ÖREBRO LÄN</t>
        </is>
      </c>
      <c r="G78" t="inlineStr">
        <is>
          <t>DEGERFORS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46315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21952-2024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45443</v>
      </c>
      <c r="E80" s="1" t="n">
        <v>46315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46315</v>
      </c>
      <c r="F81" t="inlineStr">
        <is>
          <t>ÖREBRO LÄN</t>
        </is>
      </c>
      <c r="G81" t="inlineStr">
        <is>
          <t>DEGERFORS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46315</v>
      </c>
      <c r="F82" t="inlineStr">
        <is>
          <t>ÖREBRO LÄN</t>
        </is>
      </c>
      <c r="G82" t="inlineStr">
        <is>
          <t>DEGERFORS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46315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11085-2023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46315</v>
      </c>
      <c r="F84" t="inlineStr">
        <is>
          <t>ÖREBRO LÄN</t>
        </is>
      </c>
      <c r="G84" t="inlineStr">
        <is>
          <t>DEGERFORS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46315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46315</v>
      </c>
      <c r="F86" t="inlineStr">
        <is>
          <t>ÖREBRO LÄN</t>
        </is>
      </c>
      <c r="G86" t="inlineStr">
        <is>
          <t>DEGERFORS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46315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46315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45163</v>
      </c>
      <c r="E89" s="1" t="n">
        <v>46315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20478-2026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46315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46315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46315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46315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46315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46315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46315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46315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46315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20577-2023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45057</v>
      </c>
      <c r="E99" s="1" t="n">
        <v>46315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44989</v>
      </c>
      <c r="E100" s="1" t="n">
        <v>46315</v>
      </c>
      <c r="F100" t="inlineStr">
        <is>
          <t>ÖREBRO LÄN</t>
        </is>
      </c>
      <c r="G100" t="inlineStr">
        <is>
          <t>DEGERFORS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44839</v>
      </c>
      <c r="E101" s="1" t="n">
        <v>46315</v>
      </c>
      <c r="F101" t="inlineStr">
        <is>
          <t>ÖREBRO LÄN</t>
        </is>
      </c>
      <c r="G101" t="inlineStr">
        <is>
          <t>DEGERFORS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46315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46315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46315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46315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46315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46315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46148</v>
      </c>
      <c r="E108" s="1" t="n">
        <v>46315</v>
      </c>
      <c r="F108" t="inlineStr">
        <is>
          <t>ÖREBRO LÄN</t>
        </is>
      </c>
      <c r="G108" t="inlineStr">
        <is>
          <t>DEGERFORS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46315</v>
      </c>
      <c r="F109" t="inlineStr">
        <is>
          <t>ÖREBRO LÄN</t>
        </is>
      </c>
      <c r="G109" t="inlineStr">
        <is>
          <t>DEGERFORS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44986</v>
      </c>
      <c r="E110" s="1" t="n">
        <v>46315</v>
      </c>
      <c r="F110" t="inlineStr">
        <is>
          <t>ÖREBRO LÄN</t>
        </is>
      </c>
      <c r="G110" t="inlineStr">
        <is>
          <t>DEGERFORS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46315</v>
      </c>
      <c r="F111" t="inlineStr">
        <is>
          <t>ÖREBRO LÄN</t>
        </is>
      </c>
      <c r="G111" t="inlineStr">
        <is>
          <t>DEGERFORS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46315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46315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46315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46315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61750-2021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46315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46315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44754</v>
      </c>
      <c r="E118" s="1" t="n">
        <v>46315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46315</v>
      </c>
      <c r="F119" t="inlineStr">
        <is>
          <t>ÖREBRO LÄN</t>
        </is>
      </c>
      <c r="G119" t="inlineStr">
        <is>
          <t>DEGERFORS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14678-2025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45742</v>
      </c>
      <c r="E120" s="1" t="n">
        <v>46315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57086-2025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45979</v>
      </c>
      <c r="E121" s="1" t="n">
        <v>46315</v>
      </c>
      <c r="F121" t="inlineStr">
        <is>
          <t>ÖREBRO LÄN</t>
        </is>
      </c>
      <c r="G121" t="inlineStr">
        <is>
          <t>DEGERFORS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23230-2026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46162</v>
      </c>
      <c r="E122" s="1" t="n">
        <v>46315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46162</v>
      </c>
      <c r="E123" s="1" t="n">
        <v>46315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45520</v>
      </c>
      <c r="E124" s="1" t="n">
        <v>46315</v>
      </c>
      <c r="F124" t="inlineStr">
        <is>
          <t>ÖREBRO LÄN</t>
        </is>
      </c>
      <c r="G124" t="inlineStr">
        <is>
          <t>DEGERFORS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38233-2023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45160</v>
      </c>
      <c r="E125" s="1" t="n">
        <v>46315</v>
      </c>
      <c r="F125" t="inlineStr">
        <is>
          <t>ÖREBRO LÄN</t>
        </is>
      </c>
      <c r="G125" t="inlineStr">
        <is>
          <t>DEGERFORS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46315</v>
      </c>
      <c r="F126" t="inlineStr">
        <is>
          <t>ÖREBRO LÄN</t>
        </is>
      </c>
      <c r="G126" t="inlineStr">
        <is>
          <t>DEGERFORS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46315</v>
      </c>
      <c r="F127" t="inlineStr">
        <is>
          <t>ÖREBRO LÄN</t>
        </is>
      </c>
      <c r="G127" t="inlineStr">
        <is>
          <t>DEGERFORS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45602</v>
      </c>
      <c r="E128" s="1" t="n">
        <v>46315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46315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45205</v>
      </c>
      <c r="E130" s="1" t="n">
        <v>46315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46315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46170</v>
      </c>
      <c r="E132" s="1" t="n">
        <v>46315</v>
      </c>
      <c r="F132" t="inlineStr">
        <is>
          <t>ÖREBRO LÄN</t>
        </is>
      </c>
      <c r="G132" t="inlineStr">
        <is>
          <t>DEGERFORS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46315</v>
      </c>
      <c r="F133" t="inlineStr">
        <is>
          <t>ÖREBRO LÄN</t>
        </is>
      </c>
      <c r="G133" t="inlineStr">
        <is>
          <t>DEGERFORS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46315</v>
      </c>
      <c r="F134" t="inlineStr">
        <is>
          <t>ÖREBRO LÄN</t>
        </is>
      </c>
      <c r="G134" t="inlineStr">
        <is>
          <t>DEGERFORS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46171</v>
      </c>
      <c r="E135" s="1" t="n">
        <v>46315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46170</v>
      </c>
      <c r="E136" s="1" t="n">
        <v>46315</v>
      </c>
      <c r="F136" t="inlineStr">
        <is>
          <t>ÖREBRO LÄN</t>
        </is>
      </c>
      <c r="G136" t="inlineStr">
        <is>
          <t>DEGERFORS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46027</v>
      </c>
      <c r="E137" s="1" t="n">
        <v>46315</v>
      </c>
      <c r="F137" t="inlineStr">
        <is>
          <t>ÖREBRO LÄN</t>
        </is>
      </c>
      <c r="G137" t="inlineStr">
        <is>
          <t>DEGERFORS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45729</v>
      </c>
      <c r="E138" s="1" t="n">
        <v>46315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46315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46315</v>
      </c>
      <c r="F140" t="inlineStr">
        <is>
          <t>ÖREBRO LÄN</t>
        </is>
      </c>
      <c r="G140" t="inlineStr">
        <is>
          <t>DEGERFORS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46315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46315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46315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46315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46315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46185</v>
      </c>
      <c r="E146" s="1" t="n">
        <v>46315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46315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45116</v>
      </c>
      <c r="E148" s="1" t="n">
        <v>46315</v>
      </c>
      <c r="F148" t="inlineStr">
        <is>
          <t>ÖREBRO LÄN</t>
        </is>
      </c>
      <c r="G148" t="inlineStr">
        <is>
          <t>DEGERFORS</t>
        </is>
      </c>
      <c r="I148" t="n">
        <v>17.2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46315</v>
      </c>
      <c r="F149" t="inlineStr">
        <is>
          <t>ÖREBRO LÄN</t>
        </is>
      </c>
      <c r="G149" t="inlineStr">
        <is>
          <t>DEGERFORS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32154-2023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46315</v>
      </c>
      <c r="F150" t="inlineStr">
        <is>
          <t>ÖREBRO LÄN</t>
        </is>
      </c>
      <c r="G150" t="inlineStr">
        <is>
          <t>DEGERFORS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46315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46315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27411-2026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46315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46315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46315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46315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46315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46191</v>
      </c>
      <c r="E158" s="1" t="n">
        <v>46315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46315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45351</v>
      </c>
      <c r="E160" s="1" t="n">
        <v>46315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46315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60907-2023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45261</v>
      </c>
      <c r="E162" s="1" t="n">
        <v>46315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46315</v>
      </c>
      <c r="F163" t="inlineStr">
        <is>
          <t>ÖREBRO LÄN</t>
        </is>
      </c>
      <c r="G163" t="inlineStr">
        <is>
          <t>DEGERFORS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46315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46315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46127</v>
      </c>
      <c r="E166" s="1" t="n">
        <v>46315</v>
      </c>
      <c r="F166" t="inlineStr">
        <is>
          <t>ÖREBRO LÄN</t>
        </is>
      </c>
      <c r="G166" t="inlineStr">
        <is>
          <t>DEGERFORS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46132</v>
      </c>
      <c r="E167" s="1" t="n">
        <v>46315</v>
      </c>
      <c r="F167" t="inlineStr">
        <is>
          <t>ÖREBRO LÄN</t>
        </is>
      </c>
      <c r="G167" t="inlineStr">
        <is>
          <t>DEGERFORS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46199</v>
      </c>
      <c r="E168" s="1" t="n">
        <v>46315</v>
      </c>
      <c r="F168" t="inlineStr">
        <is>
          <t>ÖREBRO LÄN</t>
        </is>
      </c>
      <c r="G168" t="inlineStr">
        <is>
          <t>DEGERFORS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46315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46315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46202</v>
      </c>
      <c r="E171" s="1" t="n">
        <v>46315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73693-2021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46315</v>
      </c>
      <c r="F172" t="inlineStr">
        <is>
          <t>ÖREBRO LÄN</t>
        </is>
      </c>
      <c r="G172" t="inlineStr">
        <is>
          <t>DEGERFORS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45535</v>
      </c>
      <c r="E173" s="1" t="n">
        <v>46315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45912</v>
      </c>
      <c r="E174" s="1" t="n">
        <v>46315</v>
      </c>
      <c r="F174" t="inlineStr">
        <is>
          <t>ÖREBRO LÄN</t>
        </is>
      </c>
      <c r="G174" t="inlineStr">
        <is>
          <t>DEGERFORS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45192</v>
      </c>
      <c r="E175" s="1" t="n">
        <v>46315</v>
      </c>
      <c r="F175" t="inlineStr">
        <is>
          <t>ÖREBRO LÄN</t>
        </is>
      </c>
      <c r="G175" t="inlineStr">
        <is>
          <t>DEGERFORS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37672-2024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45541</v>
      </c>
      <c r="E176" s="1" t="n">
        <v>46315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46315</v>
      </c>
      <c r="F177" t="inlineStr">
        <is>
          <t>ÖREBRO LÄN</t>
        </is>
      </c>
      <c r="G177" t="inlineStr">
        <is>
          <t>DEGERFORS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46315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46315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46315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10674-2024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45369</v>
      </c>
      <c r="E181" s="1" t="n">
        <v>46315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46315</v>
      </c>
      <c r="F182" t="inlineStr">
        <is>
          <t>ÖREBRO LÄN</t>
        </is>
      </c>
      <c r="G182" t="inlineStr">
        <is>
          <t>DEGERFORS</t>
        </is>
      </c>
      <c r="I182" t="n">
        <v>13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45222</v>
      </c>
      <c r="E183" s="1" t="n">
        <v>46315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12108-2024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46315</v>
      </c>
      <c r="F184" t="inlineStr">
        <is>
          <t>ÖREBRO LÄN</t>
        </is>
      </c>
      <c r="G184" t="inlineStr">
        <is>
          <t>DEGERFORS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46315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46279</v>
      </c>
      <c r="E186" s="1" t="n">
        <v>46315</v>
      </c>
      <c r="F186" t="inlineStr">
        <is>
          <t>ÖREBRO LÄN</t>
        </is>
      </c>
      <c r="G186" t="inlineStr">
        <is>
          <t>DEGERFORS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46281</v>
      </c>
      <c r="E187" s="1" t="n">
        <v>46315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46282</v>
      </c>
      <c r="E188" s="1" t="n">
        <v>46315</v>
      </c>
      <c r="F188" t="inlineStr">
        <is>
          <t>ÖREBRO LÄN</t>
        </is>
      </c>
      <c r="G188" t="inlineStr">
        <is>
          <t>DEGERFORS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46315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46239</v>
      </c>
      <c r="E190" s="1" t="n">
        <v>46315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46283</v>
      </c>
      <c r="E191" s="1" t="n">
        <v>46315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46241</v>
      </c>
      <c r="E192" s="1" t="n">
        <v>46315</v>
      </c>
      <c r="F192" t="inlineStr">
        <is>
          <t>ÖREBRO LÄN</t>
        </is>
      </c>
      <c r="G192" t="inlineStr">
        <is>
          <t>DEGERFORS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46315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45351</v>
      </c>
      <c r="E194" s="1" t="n">
        <v>46315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46315</v>
      </c>
      <c r="F195" t="inlineStr">
        <is>
          <t>ÖREBRO LÄN</t>
        </is>
      </c>
      <c r="G195" t="inlineStr">
        <is>
          <t>DEGERFORS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44816</v>
      </c>
      <c r="E196" s="1" t="n">
        <v>46315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45384</v>
      </c>
      <c r="E197" s="1" t="n">
        <v>46315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46315</v>
      </c>
      <c r="F198" t="inlineStr">
        <is>
          <t>ÖREBRO LÄN</t>
        </is>
      </c>
      <c r="G198" t="inlineStr">
        <is>
          <t>DEGERFORS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46315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46315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46315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46315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46315</v>
      </c>
      <c r="F203" t="inlineStr">
        <is>
          <t>ÖREBRO LÄN</t>
        </is>
      </c>
      <c r="G203" t="inlineStr">
        <is>
          <t>DEGERFORS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46315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45223</v>
      </c>
      <c r="E205" s="1" t="n">
        <v>46315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45272</v>
      </c>
      <c r="E206" s="1" t="n">
        <v>46315</v>
      </c>
      <c r="F206" t="inlineStr">
        <is>
          <t>ÖREBRO LÄN</t>
        </is>
      </c>
      <c r="G206" t="inlineStr">
        <is>
          <t>DEGERFORS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46315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45443</v>
      </c>
      <c r="E208" s="1" t="n">
        <v>46315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46231</v>
      </c>
      <c r="E209" s="1" t="n">
        <v>46315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46315</v>
      </c>
      <c r="F210" t="inlineStr">
        <is>
          <t>ÖREBRO LÄN</t>
        </is>
      </c>
      <c r="G210" t="inlineStr">
        <is>
          <t>DEGERFORS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46315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46315</v>
      </c>
      <c r="F212" t="inlineStr">
        <is>
          <t>ÖREBRO LÄN</t>
        </is>
      </c>
      <c r="G212" t="inlineStr">
        <is>
          <t>DEGERFORS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46303</v>
      </c>
      <c r="E213" s="1" t="n">
        <v>46315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46260</v>
      </c>
      <c r="E214" s="1" t="n">
        <v>46315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9.5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45810</v>
      </c>
      <c r="E215" s="1" t="n">
        <v>46315</v>
      </c>
      <c r="F215" t="inlineStr">
        <is>
          <t>ÖREBRO LÄN</t>
        </is>
      </c>
      <c r="G215" t="inlineStr">
        <is>
          <t>DEGERFORS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46315</v>
      </c>
      <c r="F216" t="inlineStr">
        <is>
          <t>ÖREBRO LÄN</t>
        </is>
      </c>
      <c r="G216" t="inlineStr">
        <is>
          <t>DEGERFORS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46315</v>
      </c>
      <c r="F217" t="inlineStr">
        <is>
          <t>ÖREBRO LÄN</t>
        </is>
      </c>
      <c r="G217" t="inlineStr">
        <is>
          <t>DEGERFORS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46307</v>
      </c>
      <c r="E218" s="1" t="n">
        <v>46315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46315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46315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44719</v>
      </c>
      <c r="E221" s="1" t="n">
        <v>46315</v>
      </c>
      <c r="F221" t="inlineStr">
        <is>
          <t>ÖREBRO LÄN</t>
        </is>
      </c>
      <c r="G221" t="inlineStr">
        <is>
          <t>DEGERFORS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46303</v>
      </c>
      <c r="E222" s="1" t="n">
        <v>46315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46315</v>
      </c>
      <c r="F223" t="inlineStr">
        <is>
          <t>ÖREBRO LÄN</t>
        </is>
      </c>
      <c r="G223" t="inlineStr">
        <is>
          <t>DEGERFORS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46315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46268</v>
      </c>
      <c r="E225" s="1" t="n">
        <v>46315</v>
      </c>
      <c r="F225" t="inlineStr">
        <is>
          <t>ÖREBRO LÄN</t>
        </is>
      </c>
      <c r="G225" t="inlineStr">
        <is>
          <t>DEGERFORS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46315</v>
      </c>
      <c r="F226" t="inlineStr">
        <is>
          <t>ÖREBRO LÄN</t>
        </is>
      </c>
      <c r="G226" t="inlineStr">
        <is>
          <t>DEGERFORS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45639</v>
      </c>
      <c r="E227" s="1" t="n">
        <v>46315</v>
      </c>
      <c r="F227" t="inlineStr">
        <is>
          <t>ÖREBRO LÄN</t>
        </is>
      </c>
      <c r="G227" t="inlineStr">
        <is>
          <t>DEGERFORS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45876</v>
      </c>
      <c r="E228" s="1" t="n">
        <v>46315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45876</v>
      </c>
      <c r="E229" s="1" t="n">
        <v>46315</v>
      </c>
      <c r="F229" t="inlineStr">
        <is>
          <t>ÖREBRO LÄN</t>
        </is>
      </c>
      <c r="G229" t="inlineStr">
        <is>
          <t>DEGERFORS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46315</v>
      </c>
      <c r="F230" t="inlineStr">
        <is>
          <t>ÖREBRO LÄN</t>
        </is>
      </c>
      <c r="G230" t="inlineStr">
        <is>
          <t>DEGERFORS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46315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46315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46315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46315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46315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46315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46315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46315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2026-10-20T01:50:31Z</dcterms:created>
  <dcterms:modified xmlns:dcterms="http://purl.org/dc/terms/" xmlns:xsi="http://www.w3.org/2001/XMLSchema-instance" xsi:type="dcterms:W3CDTF">2026-10-20T01:50:31Z</dcterms:modified>
</cp:coreProperties>
</file>